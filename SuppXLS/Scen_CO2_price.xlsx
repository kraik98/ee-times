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SuppXLS\"/>
    </mc:Choice>
  </mc:AlternateContent>
  <xr:revisionPtr revIDLastSave="0" documentId="13_ncr:1_{F30397E7-AB6A-4E29-81DA-2371269732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2" sheetId="1" r:id="rId1"/>
    <sheet name="c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J6" i="1" l="1"/>
  <c r="I6" i="1"/>
  <c r="H6" i="1"/>
  <c r="G6" i="1"/>
  <c r="F6" i="1"/>
  <c r="AD7" i="2"/>
  <c r="AD8" i="2"/>
  <c r="AD9" i="2"/>
  <c r="AD10" i="2"/>
  <c r="AD6" i="2"/>
  <c r="AC7" i="2"/>
  <c r="AC8" i="2"/>
  <c r="AC9" i="2"/>
  <c r="AC10" i="2"/>
  <c r="AC6" i="2"/>
  <c r="AB7" i="2"/>
  <c r="AB8" i="2"/>
  <c r="AB9" i="2"/>
  <c r="AB10" i="2"/>
  <c r="AB6" i="2"/>
  <c r="R5" i="2"/>
  <c r="T5" i="2" s="1"/>
</calcChain>
</file>

<file path=xl/sharedStrings.xml><?xml version="1.0" encoding="utf-8"?>
<sst xmlns="http://schemas.openxmlformats.org/spreadsheetml/2006/main" count="26" uniqueCount="23">
  <si>
    <t>~TFM_INS-TS</t>
  </si>
  <si>
    <t>TimeSlice</t>
  </si>
  <si>
    <t>LimType</t>
  </si>
  <si>
    <t>Attribute</t>
  </si>
  <si>
    <t>Commodity</t>
  </si>
  <si>
    <t>*</t>
  </si>
  <si>
    <t>com_taxnet</t>
  </si>
  <si>
    <t>TOTCO2</t>
  </si>
  <si>
    <t>Trends and projections in the EU-ETS in 2025.</t>
  </si>
  <si>
    <t>EUR2023</t>
  </si>
  <si>
    <t>EUR2025</t>
  </si>
  <si>
    <t>USD24/tCO2</t>
  </si>
  <si>
    <t>2024 avg usd to eur rate (eur/usd)</t>
  </si>
  <si>
    <t>EUR24/tCO2</t>
  </si>
  <si>
    <t>avg eur25 inflation rate (EU)</t>
  </si>
  <si>
    <t>EUR25/Tco2</t>
  </si>
  <si>
    <t>Year</t>
  </si>
  <si>
    <t>WEM-ETS</t>
  </si>
  <si>
    <t>WAM-ETS</t>
  </si>
  <si>
    <t>WOM-ETS</t>
  </si>
  <si>
    <t>HICP_2023</t>
  </si>
  <si>
    <t>HICP_2025</t>
  </si>
  <si>
    <t>Meur25/kt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</si>
</sst>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186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 applyFont="1"/>
    <xf numFmtId="0" fontId="1" fillId="0" borderId="0" xfId="1"/>
    <xf numFmtId="0" fontId="3" fillId="2" borderId="1" xfId="1" applyFont="1" applyFill="1" applyBorder="1"/>
    <xf numFmtId="0" fontId="3" fillId="3" borderId="1" xfId="1" applyFont="1" applyFill="1" applyBorder="1"/>
    <xf numFmtId="0" fontId="0" fillId="4" borderId="0" xfId="0" applyFill="1"/>
    <xf numFmtId="0" fontId="5" fillId="0" borderId="0" xfId="3"/>
    <xf numFmtId="2" fontId="0" fillId="0" borderId="0" xfId="0" applyNumberFormat="1"/>
    <xf numFmtId="164" fontId="0" fillId="0" borderId="0" xfId="2" applyNumberFormat="1" applyFont="1"/>
    <xf numFmtId="1" fontId="0" fillId="0" borderId="0" xfId="0" applyNumberFormat="1"/>
    <xf numFmtId="0" fontId="0" fillId="0" borderId="0" xfId="0" applyAlignment="1">
      <alignment horizontal="center"/>
    </xf>
  </cellXfs>
  <cellStyles count="4">
    <cellStyle name="Hyperlink" xfId="3" builtinId="8"/>
    <cellStyle name="Normal" xfId="0" builtinId="0"/>
    <cellStyle name="Normal 3" xfId="1" xr:uid="{1CBB1D75-2929-4283-8A12-6E05369FA01C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2</xdr:row>
      <xdr:rowOff>133350</xdr:rowOff>
    </xdr:from>
    <xdr:to>
      <xdr:col>13</xdr:col>
      <xdr:colOff>191505</xdr:colOff>
      <xdr:row>24</xdr:row>
      <xdr:rowOff>105356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A5201-C9DF-4A6E-83AA-ED520AB63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7425" y="704850"/>
          <a:ext cx="7201905" cy="4163006"/>
        </a:xfrm>
        <a:prstGeom prst="rect">
          <a:avLst/>
        </a:prstGeom>
      </xdr:spPr>
    </xdr:pic>
    <xdr:clientData/>
  </xdr:twoCellAnchor>
  <xdr:twoCellAnchor editAs="oneCell">
    <xdr:from>
      <xdr:col>18</xdr:col>
      <xdr:colOff>704849</xdr:colOff>
      <xdr:row>16</xdr:row>
      <xdr:rowOff>123825</xdr:rowOff>
    </xdr:from>
    <xdr:to>
      <xdr:col>24</xdr:col>
      <xdr:colOff>284015</xdr:colOff>
      <xdr:row>23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993F3F-708A-447B-9BCA-D3B8273FA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02799" y="3371850"/>
          <a:ext cx="3332016" cy="126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eionet.europa.eu/etcs/etc-cm/products/etc-cm-report-2025-06/@@download/file/ETS-Report_2025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6"/>
  <sheetViews>
    <sheetView tabSelected="1" workbookViewId="0">
      <selection activeCell="D9" sqref="D9"/>
    </sheetView>
  </sheetViews>
  <sheetFormatPr defaultRowHeight="15" x14ac:dyDescent="0.25"/>
  <cols>
    <col min="2" max="2" width="13.28515625" bestFit="1" customWidth="1"/>
    <col min="3" max="3" width="10.28515625" bestFit="1" customWidth="1"/>
    <col min="4" max="4" width="11.42578125" bestFit="1" customWidth="1"/>
  </cols>
  <sheetData>
    <row r="3" spans="2:11" x14ac:dyDescent="0.25">
      <c r="B3" s="1" t="s">
        <v>0</v>
      </c>
      <c r="C3" s="2"/>
      <c r="D3" s="2"/>
    </row>
    <row r="4" spans="2:11" ht="15.75" thickBot="1" x14ac:dyDescent="0.3">
      <c r="B4" s="3" t="s">
        <v>1</v>
      </c>
      <c r="C4" s="3" t="s">
        <v>2</v>
      </c>
      <c r="D4" s="3" t="s">
        <v>3</v>
      </c>
      <c r="E4" s="4">
        <v>2025</v>
      </c>
      <c r="F4" s="4">
        <v>2030</v>
      </c>
      <c r="G4" s="4">
        <v>2035</v>
      </c>
      <c r="H4" s="4">
        <v>2040</v>
      </c>
      <c r="I4" s="4">
        <v>2045</v>
      </c>
      <c r="J4" s="4">
        <v>2050</v>
      </c>
      <c r="K4" s="3" t="s">
        <v>4</v>
      </c>
    </row>
    <row r="5" spans="2:11" x14ac:dyDescent="0.25">
      <c r="B5" s="5" t="s">
        <v>5</v>
      </c>
      <c r="C5" s="5" t="s">
        <v>22</v>
      </c>
    </row>
    <row r="6" spans="2:11" x14ac:dyDescent="0.25">
      <c r="D6" t="s">
        <v>6</v>
      </c>
      <c r="E6">
        <f>cite!AB5/1000</f>
        <v>7.2999999999999995E-2</v>
      </c>
      <c r="F6">
        <f>cite!AB6/1000</f>
        <v>9.9873138444567022E-2</v>
      </c>
      <c r="G6">
        <f>cite!AB7/1000</f>
        <v>0.10512961941533369</v>
      </c>
      <c r="H6">
        <f>cite!AB8/1000</f>
        <v>0.10512961941533369</v>
      </c>
      <c r="I6">
        <f>cite!AB9/1000</f>
        <v>0.16820739106453392</v>
      </c>
      <c r="J6">
        <f>cite!AB10/1000</f>
        <v>0.19974627688913404</v>
      </c>
      <c r="K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3FEF-5AD3-4D6A-BAA4-53FFF204BAEE}">
  <dimension ref="O2:AD13"/>
  <sheetViews>
    <sheetView topLeftCell="E1" zoomScale="58" workbookViewId="0">
      <selection activeCell="AB5" sqref="AB5"/>
    </sheetView>
  </sheetViews>
  <sheetFormatPr defaultRowHeight="15" x14ac:dyDescent="0.25"/>
  <sheetData>
    <row r="2" spans="15:30" x14ac:dyDescent="0.25">
      <c r="X2" s="6" t="s">
        <v>8</v>
      </c>
    </row>
    <row r="3" spans="15:30" x14ac:dyDescent="0.25">
      <c r="Y3" s="10" t="s">
        <v>9</v>
      </c>
      <c r="Z3" s="10"/>
      <c r="AA3" s="10"/>
      <c r="AB3" s="10" t="s">
        <v>10</v>
      </c>
      <c r="AC3" s="10"/>
      <c r="AD3" s="10"/>
    </row>
    <row r="4" spans="15:30" x14ac:dyDescent="0.25">
      <c r="P4" t="s">
        <v>11</v>
      </c>
      <c r="Q4" t="s">
        <v>12</v>
      </c>
      <c r="R4" t="s">
        <v>13</v>
      </c>
      <c r="S4" t="s">
        <v>14</v>
      </c>
      <c r="T4" t="s">
        <v>15</v>
      </c>
      <c r="X4" t="s">
        <v>16</v>
      </c>
      <c r="Y4" t="s">
        <v>17</v>
      </c>
      <c r="Z4" t="s">
        <v>18</v>
      </c>
      <c r="AA4" t="s">
        <v>19</v>
      </c>
      <c r="AB4" t="s">
        <v>17</v>
      </c>
      <c r="AC4" t="s">
        <v>18</v>
      </c>
      <c r="AD4" t="s">
        <v>19</v>
      </c>
    </row>
    <row r="5" spans="15:30" x14ac:dyDescent="0.25">
      <c r="O5">
        <v>2035</v>
      </c>
      <c r="P5">
        <v>174</v>
      </c>
      <c r="Q5">
        <v>0.9244</v>
      </c>
      <c r="R5" s="7">
        <f>P5*Q5</f>
        <v>160.84559999999999</v>
      </c>
      <c r="S5" s="8">
        <v>2.3E-2</v>
      </c>
      <c r="T5" s="9">
        <f>R5*(1+S5)</f>
        <v>164.54504879999999</v>
      </c>
      <c r="X5">
        <v>2025</v>
      </c>
      <c r="AB5">
        <v>73</v>
      </c>
      <c r="AC5">
        <v>73</v>
      </c>
      <c r="AD5">
        <v>73</v>
      </c>
    </row>
    <row r="6" spans="15:30" x14ac:dyDescent="0.25">
      <c r="X6">
        <v>2030</v>
      </c>
      <c r="Y6">
        <v>95</v>
      </c>
      <c r="Z6">
        <v>95</v>
      </c>
      <c r="AA6">
        <v>73</v>
      </c>
      <c r="AB6" s="9">
        <f>Y6*($V$13/$V$12)</f>
        <v>99.873138444567019</v>
      </c>
      <c r="AC6" s="9">
        <f>Z6*($V$13/$V$12)</f>
        <v>99.873138444567019</v>
      </c>
      <c r="AD6" s="9">
        <f>AA6*($V$13/$V$12)</f>
        <v>76.744622173193605</v>
      </c>
    </row>
    <row r="7" spans="15:30" x14ac:dyDescent="0.25">
      <c r="X7">
        <v>2035</v>
      </c>
      <c r="Y7">
        <v>100</v>
      </c>
      <c r="Z7">
        <v>140</v>
      </c>
      <c r="AA7">
        <v>73</v>
      </c>
      <c r="AB7" s="9">
        <f t="shared" ref="AB7:AB10" si="0">Y7*($V$13/$V$12)</f>
        <v>105.12961941533369</v>
      </c>
      <c r="AC7" s="9">
        <f t="shared" ref="AC7:AC10" si="1">Z7*($V$13/$V$12)</f>
        <v>147.18146718146718</v>
      </c>
      <c r="AD7" s="9">
        <f t="shared" ref="AD7:AD10" si="2">AA7*($V$13/$V$12)</f>
        <v>76.744622173193605</v>
      </c>
    </row>
    <row r="8" spans="15:30" x14ac:dyDescent="0.25">
      <c r="X8">
        <v>2040</v>
      </c>
      <c r="Y8">
        <v>100</v>
      </c>
      <c r="Z8">
        <v>290</v>
      </c>
      <c r="AA8">
        <v>73</v>
      </c>
      <c r="AB8" s="9">
        <f t="shared" si="0"/>
        <v>105.12961941533369</v>
      </c>
      <c r="AC8" s="9">
        <f t="shared" si="1"/>
        <v>304.87589630446774</v>
      </c>
      <c r="AD8" s="9">
        <f t="shared" si="2"/>
        <v>76.744622173193605</v>
      </c>
    </row>
    <row r="9" spans="15:30" x14ac:dyDescent="0.25">
      <c r="X9">
        <v>2045</v>
      </c>
      <c r="Y9">
        <v>160</v>
      </c>
      <c r="Z9">
        <v>430</v>
      </c>
      <c r="AA9">
        <v>73</v>
      </c>
      <c r="AB9" s="9">
        <f t="shared" si="0"/>
        <v>168.20739106453391</v>
      </c>
      <c r="AC9" s="9">
        <f t="shared" si="1"/>
        <v>452.0573634859349</v>
      </c>
      <c r="AD9" s="9">
        <f t="shared" si="2"/>
        <v>76.744622173193605</v>
      </c>
    </row>
    <row r="10" spans="15:30" x14ac:dyDescent="0.25">
      <c r="X10">
        <v>2050</v>
      </c>
      <c r="Y10">
        <v>190</v>
      </c>
      <c r="Z10">
        <v>490</v>
      </c>
      <c r="AA10">
        <v>73</v>
      </c>
      <c r="AB10" s="9">
        <f t="shared" si="0"/>
        <v>199.74627688913404</v>
      </c>
      <c r="AC10" s="9">
        <f t="shared" si="1"/>
        <v>515.1351351351351</v>
      </c>
      <c r="AD10" s="9">
        <f t="shared" si="2"/>
        <v>76.744622173193605</v>
      </c>
    </row>
    <row r="12" spans="15:30" x14ac:dyDescent="0.25">
      <c r="U12" t="s">
        <v>20</v>
      </c>
      <c r="V12">
        <v>126.91</v>
      </c>
    </row>
    <row r="13" spans="15:30" x14ac:dyDescent="0.25">
      <c r="U13" t="s">
        <v>21</v>
      </c>
      <c r="V13">
        <v>133.41999999999999</v>
      </c>
    </row>
  </sheetData>
  <mergeCells count="2">
    <mergeCell ref="Y3:AA3"/>
    <mergeCell ref="AB3:AD3"/>
  </mergeCells>
  <hyperlinks>
    <hyperlink ref="X2" r:id="rId1" display="https://www.eionet.europa.eu/etcs/etc-cm/products/etc-cm-report-2025-06/@@download/file/ETS-Report_2025_final.pdf" xr:uid="{FCAB02CA-783C-42B9-9133-A467F919A18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CO2</vt:lpstr>
      <vt:lpstr>cite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2026-10-23T09:29:07Z</dcterms:modified>
</cp:coreProperties>
</file>