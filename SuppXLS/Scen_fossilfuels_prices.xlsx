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SuppXLS\"/>
    </mc:Choice>
  </mc:AlternateContent>
  <xr:revisionPtr revIDLastSave="0" documentId="13_ncr:1_{5D16E5E5-38A1-4A8F-98A0-5C15FC701E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uel_costs" sheetId="1" r:id="rId1"/>
    <sheet name="c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/>
  <c r="H9" i="1"/>
  <c r="I9" i="1"/>
  <c r="J9" i="1"/>
  <c r="K9" i="1"/>
  <c r="F10" i="1"/>
  <c r="G10" i="1"/>
  <c r="H10" i="1"/>
  <c r="I10" i="1"/>
  <c r="J10" i="1"/>
  <c r="K10" i="1"/>
  <c r="G8" i="1"/>
  <c r="H8" i="1"/>
  <c r="I8" i="1"/>
  <c r="J8" i="1"/>
  <c r="K8" i="1"/>
  <c r="F8" i="1"/>
  <c r="F6" i="1" l="1"/>
  <c r="J17" i="1"/>
  <c r="G17" i="1"/>
  <c r="H17" i="1"/>
  <c r="I17" i="1"/>
  <c r="F17" i="1"/>
  <c r="G7" i="1" s="1"/>
  <c r="F5" i="1"/>
  <c r="F4" i="1"/>
  <c r="AA15" i="2"/>
  <c r="AA16" i="2"/>
  <c r="AA14" i="2"/>
  <c r="V16" i="2"/>
  <c r="V15" i="2"/>
  <c r="V14" i="2"/>
  <c r="AD15" i="2"/>
  <c r="AD16" i="2"/>
  <c r="AC16" i="2"/>
  <c r="AC15" i="2"/>
  <c r="AD14" i="2"/>
  <c r="AC14" i="2"/>
  <c r="Y16" i="2"/>
  <c r="Y15" i="2"/>
  <c r="Y14" i="2"/>
  <c r="X16" i="2"/>
  <c r="X15" i="2"/>
  <c r="X14" i="2"/>
  <c r="T16" i="2"/>
  <c r="T15" i="2"/>
  <c r="T14" i="2"/>
  <c r="S15" i="2"/>
  <c r="S16" i="2"/>
  <c r="S14" i="2"/>
  <c r="Q15" i="2"/>
  <c r="Q16" i="2"/>
  <c r="Q14" i="2"/>
  <c r="N6" i="2"/>
  <c r="E11" i="2"/>
  <c r="M9" i="2"/>
  <c r="P9" i="2" s="1"/>
  <c r="R9" i="2" s="1"/>
  <c r="L8" i="2"/>
  <c r="N8" i="2" s="1"/>
  <c r="L7" i="2"/>
  <c r="N7" i="2" s="1"/>
  <c r="M6" i="2"/>
  <c r="P6" i="2" s="1"/>
  <c r="R6" i="2" s="1"/>
  <c r="L6" i="2"/>
  <c r="B6" i="2"/>
  <c r="H7" i="1" l="1"/>
  <c r="Q7" i="1"/>
  <c r="R7" i="1" s="1"/>
  <c r="S7" i="1" s="1"/>
  <c r="T7" i="1" s="1"/>
  <c r="U7" i="1" s="1"/>
  <c r="M8" i="2"/>
  <c r="P8" i="2" s="1"/>
  <c r="R8" i="2" s="1"/>
  <c r="M7" i="2"/>
  <c r="P7" i="2" s="1"/>
  <c r="R7" i="2" s="1"/>
  <c r="I7" i="1" l="1"/>
  <c r="G5" i="1"/>
  <c r="H5" i="1"/>
  <c r="I5" i="1"/>
  <c r="J5" i="1"/>
  <c r="K5" i="1"/>
  <c r="G6" i="1"/>
  <c r="H6" i="1"/>
  <c r="I6" i="1"/>
  <c r="J6" i="1"/>
  <c r="K6" i="1"/>
  <c r="E20" i="1"/>
  <c r="F20" i="1"/>
  <c r="G20" i="1"/>
  <c r="H20" i="1"/>
  <c r="I20" i="1"/>
  <c r="J20" i="1"/>
  <c r="G4" i="1"/>
  <c r="H4" i="1"/>
  <c r="I4" i="1"/>
  <c r="J4" i="1"/>
  <c r="K4" i="1"/>
  <c r="X5" i="1"/>
  <c r="J7" i="1" l="1"/>
  <c r="K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tc={A37A1BED-B590-4A30-8DE1-2369A5A4D082}</author>
    <author>tc={455AD0A5-A0B5-4DBD-886C-0DDA58F97F30}</author>
    <author>tc={5DF566F9-E3D9-4812-8D55-F249A5D242F4}</author>
  </authors>
  <commentList>
    <comment ref="B5" authorId="0" shapeId="0" xr:uid="{A37A1BED-B590-4A30-8DE1-2369A5A4D082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High-grade, premium thermal steam coal 6000 kcal/kg, conversion number from kcal and KJ is 4,184</t>
      </text>
    </comment>
    <comment ref="P14" authorId="1" shapeId="0" xr:uid="{455AD0A5-A0B5-4DBD-886C-0DDA58F97F3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https://energy.ec.europa.eu/data-and-analysis/market-analysis_en</t>
      </text>
    </comment>
    <comment ref="P15" authorId="2" shapeId="0" xr:uid="{5DF566F9-E3D9-4812-8D55-F249A5D242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https://mining-report.de/english/blog/euracoal-market-report-2026-no-1-global-and-eu-data-for-2025/
</t>
      </text>
    </comment>
  </commentList>
</comments>
</file>

<file path=xl/sharedStrings.xml><?xml version="1.0" encoding="utf-8"?>
<sst xmlns="http://schemas.openxmlformats.org/spreadsheetml/2006/main" count="54" uniqueCount="46">
  <si>
    <t>~TFM_INS-TS</t>
  </si>
  <si>
    <t>TimeSlice</t>
  </si>
  <si>
    <t>LimType</t>
  </si>
  <si>
    <t>Attribute</t>
  </si>
  <si>
    <t>Gas</t>
  </si>
  <si>
    <t>flo_cost</t>
  </si>
  <si>
    <t>Coal</t>
  </si>
  <si>
    <t>Oil</t>
  </si>
  <si>
    <t>mwh2PJ</t>
  </si>
  <si>
    <t>BIO</t>
  </si>
  <si>
    <t>COA</t>
  </si>
  <si>
    <t>SHL</t>
  </si>
  <si>
    <t>1ton2GJ</t>
  </si>
  <si>
    <t>1mmbtu2GJ</t>
  </si>
  <si>
    <t>1barrelcrude2GJ</t>
  </si>
  <si>
    <t>GJ2MWh</t>
  </si>
  <si>
    <t>conversion coeff</t>
  </si>
  <si>
    <t>Fuel prices 2024</t>
  </si>
  <si>
    <t>$/barrel or $/MMBtu</t>
  </si>
  <si>
    <t>$/GJ</t>
  </si>
  <si>
    <t>$/MWh</t>
  </si>
  <si>
    <t>$/TWh</t>
  </si>
  <si>
    <t>2024 avg usd to eur rate (eur/usd)</t>
  </si>
  <si>
    <t>eur24/MWh</t>
  </si>
  <si>
    <t>avg eur25 inflation rate (EU)</t>
  </si>
  <si>
    <t>eur25/MWh</t>
  </si>
  <si>
    <t>MMBtu2twh</t>
  </si>
  <si>
    <t>barrel2twh</t>
  </si>
  <si>
    <t>GAS</t>
  </si>
  <si>
    <t>tonne2twh</t>
  </si>
  <si>
    <t>Biogas</t>
  </si>
  <si>
    <t>STEPS</t>
  </si>
  <si>
    <t>CPS</t>
  </si>
  <si>
    <t>NZE</t>
  </si>
  <si>
    <t>Maagaas, €/MWh</t>
  </si>
  <si>
    <t>Kivisüsi, €/MWh</t>
  </si>
  <si>
    <t>Nafta, €/MWh</t>
  </si>
  <si>
    <t>cost</t>
  </si>
  <si>
    <t>pset_pn</t>
  </si>
  <si>
    <t>MINSHL1</t>
  </si>
  <si>
    <t>IMPOIL1</t>
  </si>
  <si>
    <t>IMPCOA1</t>
  </si>
  <si>
    <t>IMPGAS1</t>
  </si>
  <si>
    <t>EXPGAS1</t>
  </si>
  <si>
    <t>EXPCOA1</t>
  </si>
  <si>
    <t>EXPOIL1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</si>
</sst>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186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/>
    <xf numFmtId="0" fontId="3" fillId="3" borderId="1" xfId="1" applyFont="1" applyFill="1" applyBorder="1"/>
    <xf numFmtId="164" fontId="0" fillId="0" borderId="0" xfId="0" applyNumberFormat="1"/>
    <xf numFmtId="2" fontId="0" fillId="0" borderId="0" xfId="0" applyNumberFormat="1"/>
    <xf numFmtId="11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5" fillId="0" borderId="3" xfId="0" applyFont="1" applyBorder="1"/>
    <xf numFmtId="0" fontId="5" fillId="0" borderId="4" xfId="0" applyFont="1" applyBorder="1"/>
    <xf numFmtId="9" fontId="0" fillId="0" borderId="0" xfId="2" applyFont="1"/>
    <xf numFmtId="0" fontId="0" fillId="0" borderId="0" xfId="0" applyAlignment="1">
      <alignment horizontal="center" vertical="center"/>
    </xf>
    <xf numFmtId="165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3" xfId="1" xr:uid="{6E471F9A-F1C0-4897-A6E6-B4645C4A680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10</xdr:row>
      <xdr:rowOff>133350</xdr:rowOff>
    </xdr:from>
    <xdr:to>
      <xdr:col>15</xdr:col>
      <xdr:colOff>63792</xdr:colOff>
      <xdr:row>34</xdr:row>
      <xdr:rowOff>120876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F9E8A-8906-4CAA-9EE8-ABAAA70F1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2225" y="3571875"/>
          <a:ext cx="5616867" cy="4559526"/>
        </a:xfrm>
        <a:prstGeom prst="rect">
          <a:avLst/>
        </a:prstGeom>
      </xdr:spPr>
    </xdr:pic>
    <xdr:clientData/>
  </xdr:twoCellAnchor>
  <xdr:twoCellAnchor editAs="oneCell">
    <xdr:from>
      <xdr:col>15</xdr:col>
      <xdr:colOff>139700</xdr:colOff>
      <xdr:row>19</xdr:row>
      <xdr:rowOff>142875</xdr:rowOff>
    </xdr:from>
    <xdr:to>
      <xdr:col>19</xdr:col>
      <xdr:colOff>343040</xdr:colOff>
      <xdr:row>22</xdr:row>
      <xdr:rowOff>92101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013CDA-4ACC-4256-87C2-D4E243541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19100" y="5295900"/>
          <a:ext cx="2641740" cy="5207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A88F4701-2449-4492-B075-3BAFBF39B0DB}" userId="S::krraik@taltech.ee::b956339b-354b-46f9-8dd3-3584d8dbf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8-31T08:44:32.28" personId="{A88F4701-2449-4492-B075-3BAFBF39B0DB}" id="{A37A1BED-B590-4A30-8DE1-2369A5A4D082}">
    <text>High-grade, premium thermal steam coal 6000 kcal/kg, conversion number from kcal and KJ is 4,184</text>
  </threadedComment>
  <threadedComment ref="P14" dT="2026-08-31T08:54:07.53" personId="{A88F4701-2449-4492-B075-3BAFBF39B0DB}" id="{455AD0A5-A0B5-4DBD-886C-0DDA58F97F30}">
    <text>https://energy.ec.europa.eu/data-and-analysis/market-analysis_en</text>
    <extLst>
      <x:ext xmlns:xltc2="http://schemas.microsoft.com/office/spreadsheetml/2020/threadedcomments2" uri="{F7C98A9C-CBB3-438F-8F68-D28B6AF4A901}">
        <xltc2:checksum>2708192309</xltc2:checksum>
        <xltc2:hyperlink startIndex="0" length="64" url="https://energy.ec.europa.eu/data-and-analysis/market-analysis_en"/>
      </x:ext>
    </extLst>
  </threadedComment>
  <threadedComment ref="P15" dT="2026-08-31T08:51:40.35" personId="{A88F4701-2449-4492-B075-3BAFBF39B0DB}" id="{5DF566F9-E3D9-4812-8D55-F249A5D242F4}">
    <text xml:space="preserve">https://mining-report.de/english/blog/euracoal-market-report-2026-no-1-global-and-eu-data-for-2025/
</text>
    <extLst>
      <x:ext xmlns:xltc2="http://schemas.microsoft.com/office/spreadsheetml/2020/threadedcomments2" uri="{F7C98A9C-CBB3-438F-8F68-D28B6AF4A901}">
        <xltc2:checksum>1503142410</xltc2:checksum>
        <xltc2:hyperlink startIndex="0" length="99" url="https://mining-report.de/english/blog/euracoal-market-report-2026-no-1-global-and-eu-data-for-2025/"/>
      </x:ext>
    </extLs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20"/>
  <sheetViews>
    <sheetView tabSelected="1" workbookViewId="0">
      <selection activeCell="H14" sqref="H14"/>
    </sheetView>
  </sheetViews>
  <sheetFormatPr defaultRowHeight="15" x14ac:dyDescent="0.25"/>
  <cols>
    <col min="2" max="2" width="13.28515625" bestFit="1" customWidth="1"/>
    <col min="11" max="11" width="11.28515625" bestFit="1" customWidth="1"/>
  </cols>
  <sheetData>
    <row r="2" spans="2:24" x14ac:dyDescent="0.25">
      <c r="B2" s="1" t="s">
        <v>0</v>
      </c>
      <c r="C2" s="2"/>
      <c r="E2" s="2"/>
    </row>
    <row r="3" spans="2:24" ht="15.75" thickBot="1" x14ac:dyDescent="0.3">
      <c r="B3" s="3" t="s">
        <v>1</v>
      </c>
      <c r="C3" s="3" t="s">
        <v>2</v>
      </c>
      <c r="D3" s="3" t="s">
        <v>38</v>
      </c>
      <c r="E3" s="3" t="s">
        <v>3</v>
      </c>
      <c r="F3" s="4">
        <v>2025</v>
      </c>
      <c r="G3" s="4">
        <v>2030</v>
      </c>
      <c r="H3" s="4">
        <v>2035</v>
      </c>
      <c r="I3" s="4">
        <v>2040</v>
      </c>
      <c r="J3" s="4">
        <v>2045</v>
      </c>
      <c r="K3" s="4">
        <v>2050</v>
      </c>
      <c r="L3" s="3"/>
      <c r="P3" s="4">
        <v>2025</v>
      </c>
      <c r="Q3" s="4">
        <v>2030</v>
      </c>
      <c r="R3" s="4">
        <v>2035</v>
      </c>
      <c r="S3" s="4">
        <v>2040</v>
      </c>
      <c r="T3" s="4">
        <v>2045</v>
      </c>
      <c r="U3" s="4">
        <v>2050</v>
      </c>
      <c r="W3" t="s">
        <v>8</v>
      </c>
      <c r="X3">
        <v>3.5999999999999998E-6</v>
      </c>
    </row>
    <row r="4" spans="2:24" x14ac:dyDescent="0.25">
      <c r="D4" t="s">
        <v>42</v>
      </c>
      <c r="E4" t="s">
        <v>37</v>
      </c>
      <c r="F4" s="6">
        <f>P4/$X$3/1000000</f>
        <v>10</v>
      </c>
      <c r="G4" s="6">
        <f>Q4/$X$3/1000000</f>
        <v>7.8611111111111116</v>
      </c>
      <c r="H4" s="6">
        <f>R4/$X$3/1000000</f>
        <v>5.6944444444444446</v>
      </c>
      <c r="I4" s="6">
        <f>S4/$X$3/1000000</f>
        <v>6.25</v>
      </c>
      <c r="J4" s="6">
        <f>T4/$X$3/1000000</f>
        <v>6.8055555555555562</v>
      </c>
      <c r="K4" s="6">
        <f>U4/$X$3/1000000</f>
        <v>7.3611111111111107</v>
      </c>
      <c r="P4" s="10">
        <v>36</v>
      </c>
      <c r="Q4" s="10">
        <v>28.3</v>
      </c>
      <c r="R4" s="10">
        <v>20.5</v>
      </c>
      <c r="S4" s="10">
        <v>22.5</v>
      </c>
      <c r="T4" s="10">
        <v>24.5</v>
      </c>
      <c r="U4" s="10">
        <v>26.5</v>
      </c>
      <c r="V4" t="s">
        <v>4</v>
      </c>
    </row>
    <row r="5" spans="2:24" x14ac:dyDescent="0.25">
      <c r="D5" t="s">
        <v>41</v>
      </c>
      <c r="E5" t="s">
        <v>37</v>
      </c>
      <c r="F5" s="6">
        <f>P5/$X$3/1000000</f>
        <v>3.6944444444444451</v>
      </c>
      <c r="G5" s="6">
        <f>Q5/$X$3/1000000</f>
        <v>3.2777777777777781</v>
      </c>
      <c r="H5" s="6">
        <f>R5/$X$3/1000000</f>
        <v>2.8611111111111116</v>
      </c>
      <c r="I5" s="6">
        <f>S5/$X$3/1000000</f>
        <v>2.7222222222222223</v>
      </c>
      <c r="J5" s="6">
        <f>T5/$X$3/1000000</f>
        <v>2.5555555555555554</v>
      </c>
      <c r="K5" s="6">
        <f>U5/$X$3/1000000</f>
        <v>2.4166666666666665</v>
      </c>
      <c r="P5" s="10">
        <v>13.3</v>
      </c>
      <c r="Q5" s="10">
        <v>11.8</v>
      </c>
      <c r="R5" s="10">
        <v>10.3</v>
      </c>
      <c r="S5" s="10">
        <v>9.8000000000000007</v>
      </c>
      <c r="T5" s="10">
        <v>9.1999999999999993</v>
      </c>
      <c r="U5" s="10">
        <v>8.6999999999999993</v>
      </c>
      <c r="V5" t="s">
        <v>10</v>
      </c>
      <c r="X5">
        <f>1/X3</f>
        <v>277777.77777777781</v>
      </c>
    </row>
    <row r="6" spans="2:24" ht="15.75" thickBot="1" x14ac:dyDescent="0.3">
      <c r="D6" t="s">
        <v>40</v>
      </c>
      <c r="E6" t="s">
        <v>37</v>
      </c>
      <c r="F6" s="6">
        <f>P6/$X$3/1000000</f>
        <v>12.194444444444445</v>
      </c>
      <c r="G6" s="6">
        <f>Q6/$X$3/1000000</f>
        <v>12.27777777777778</v>
      </c>
      <c r="H6" s="6">
        <f>R6/$X$3/1000000</f>
        <v>12.361111111111112</v>
      </c>
      <c r="I6" s="6">
        <f>S6/$X$3/1000000</f>
        <v>12.166666666666666</v>
      </c>
      <c r="J6" s="6">
        <f>T6/$X$3/1000000</f>
        <v>11.944444444444446</v>
      </c>
      <c r="K6" s="6">
        <f>U6/$X$3/1000000</f>
        <v>11.75</v>
      </c>
      <c r="P6" s="11">
        <v>43.9</v>
      </c>
      <c r="Q6" s="11">
        <v>44.2</v>
      </c>
      <c r="R6" s="11">
        <v>44.5</v>
      </c>
      <c r="S6" s="11">
        <v>43.8</v>
      </c>
      <c r="T6" s="11">
        <v>43</v>
      </c>
      <c r="U6" s="10">
        <v>42.3</v>
      </c>
      <c r="V6" t="s">
        <v>7</v>
      </c>
    </row>
    <row r="7" spans="2:24" x14ac:dyDescent="0.25">
      <c r="D7" t="s">
        <v>39</v>
      </c>
      <c r="E7" t="s">
        <v>37</v>
      </c>
      <c r="F7" s="6">
        <v>3.1578947368421053</v>
      </c>
      <c r="G7" s="6">
        <f>F7*F17</f>
        <v>2.8017411950929954</v>
      </c>
      <c r="H7" s="6">
        <f>G7*G17</f>
        <v>2.4455876533438858</v>
      </c>
      <c r="I7" s="6">
        <f>H7*H17</f>
        <v>2.3268698060941828</v>
      </c>
      <c r="J7" s="6">
        <f>I7*I17</f>
        <v>2.1844083893945387</v>
      </c>
      <c r="K7" s="6">
        <f>J7*J17</f>
        <v>2.0656905421448357</v>
      </c>
      <c r="P7">
        <v>3.1578947368421053</v>
      </c>
      <c r="Q7">
        <f>P7*F17</f>
        <v>2.8017411950929954</v>
      </c>
      <c r="R7">
        <f>Q7*G17</f>
        <v>2.4455876533438858</v>
      </c>
      <c r="S7">
        <f>R7*H17</f>
        <v>2.3268698060941828</v>
      </c>
      <c r="T7">
        <f>S7*I17</f>
        <v>2.1844083893945387</v>
      </c>
      <c r="U7">
        <f>T7*J17</f>
        <v>2.0656905421448357</v>
      </c>
      <c r="V7" t="s">
        <v>11</v>
      </c>
    </row>
    <row r="8" spans="2:24" x14ac:dyDescent="0.25">
      <c r="D8" t="s">
        <v>43</v>
      </c>
      <c r="E8" t="s">
        <v>37</v>
      </c>
      <c r="F8" s="6">
        <f>F4</f>
        <v>10</v>
      </c>
      <c r="G8" s="6">
        <f t="shared" ref="G8:K8" si="0">G4</f>
        <v>7.8611111111111116</v>
      </c>
      <c r="H8" s="6">
        <f t="shared" si="0"/>
        <v>5.6944444444444446</v>
      </c>
      <c r="I8" s="6">
        <f t="shared" si="0"/>
        <v>6.25</v>
      </c>
      <c r="J8" s="6">
        <f t="shared" si="0"/>
        <v>6.8055555555555562</v>
      </c>
      <c r="K8" s="6">
        <f t="shared" si="0"/>
        <v>7.3611111111111107</v>
      </c>
    </row>
    <row r="9" spans="2:24" x14ac:dyDescent="0.25">
      <c r="D9" t="s">
        <v>44</v>
      </c>
      <c r="E9" t="s">
        <v>37</v>
      </c>
      <c r="F9" s="6">
        <f t="shared" ref="F9:K9" si="1">F5</f>
        <v>3.6944444444444451</v>
      </c>
      <c r="G9" s="6">
        <f t="shared" si="1"/>
        <v>3.2777777777777781</v>
      </c>
      <c r="H9" s="6">
        <f t="shared" si="1"/>
        <v>2.8611111111111116</v>
      </c>
      <c r="I9" s="6">
        <f t="shared" si="1"/>
        <v>2.7222222222222223</v>
      </c>
      <c r="J9" s="6">
        <f t="shared" si="1"/>
        <v>2.5555555555555554</v>
      </c>
      <c r="K9" s="6">
        <f t="shared" si="1"/>
        <v>2.4166666666666665</v>
      </c>
    </row>
    <row r="10" spans="2:24" x14ac:dyDescent="0.25">
      <c r="D10" t="s">
        <v>45</v>
      </c>
      <c r="E10" t="s">
        <v>37</v>
      </c>
      <c r="F10" s="6">
        <f t="shared" ref="F10:K10" si="2">F6</f>
        <v>12.194444444444445</v>
      </c>
      <c r="G10" s="6">
        <f t="shared" si="2"/>
        <v>12.27777777777778</v>
      </c>
      <c r="H10" s="6">
        <f t="shared" si="2"/>
        <v>12.361111111111112</v>
      </c>
      <c r="I10" s="6">
        <f t="shared" si="2"/>
        <v>12.166666666666666</v>
      </c>
      <c r="J10" s="6">
        <f t="shared" si="2"/>
        <v>11.944444444444446</v>
      </c>
      <c r="K10" s="6">
        <f t="shared" si="2"/>
        <v>11.75</v>
      </c>
    </row>
    <row r="11" spans="2:24" x14ac:dyDescent="0.25">
      <c r="F11" s="6"/>
      <c r="G11" s="6"/>
      <c r="H11" s="6"/>
      <c r="I11" s="6"/>
      <c r="J11" s="6"/>
      <c r="K11" s="6"/>
    </row>
    <row r="17" spans="4:20" x14ac:dyDescent="0.25">
      <c r="F17" s="12">
        <f>Q5/P5</f>
        <v>0.88721804511278191</v>
      </c>
      <c r="G17" s="12">
        <f>R5/Q5</f>
        <v>0.8728813559322034</v>
      </c>
      <c r="H17" s="12">
        <f>S5/R5</f>
        <v>0.95145631067961167</v>
      </c>
      <c r="I17" s="12">
        <f>T5/S5</f>
        <v>0.93877551020408145</v>
      </c>
      <c r="J17" s="12">
        <f>U5/T5</f>
        <v>0.94565217391304346</v>
      </c>
    </row>
    <row r="20" spans="4:20" x14ac:dyDescent="0.25">
      <c r="D20" t="s">
        <v>5</v>
      </c>
      <c r="E20" s="6">
        <f t="shared" ref="E20:J20" si="3">O20/$X$3/1000000</f>
        <v>12.720000000000002</v>
      </c>
      <c r="F20" s="6">
        <f t="shared" si="3"/>
        <v>13.333333333333334</v>
      </c>
      <c r="G20" s="6">
        <f t="shared" si="3"/>
        <v>13.888888888888889</v>
      </c>
      <c r="H20" s="6">
        <f t="shared" si="3"/>
        <v>14.444444444444446</v>
      </c>
      <c r="I20" s="6">
        <f t="shared" si="3"/>
        <v>15</v>
      </c>
      <c r="J20" s="6">
        <f t="shared" si="3"/>
        <v>15.277777777777779</v>
      </c>
      <c r="K20" t="s">
        <v>9</v>
      </c>
      <c r="O20" s="5">
        <v>45.792000000000002</v>
      </c>
      <c r="P20" s="5">
        <v>48</v>
      </c>
      <c r="Q20" s="5">
        <v>50</v>
      </c>
      <c r="R20" s="5">
        <v>52</v>
      </c>
      <c r="S20" s="5">
        <v>54</v>
      </c>
      <c r="T20" s="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50FF-53E8-410D-A2EC-53D2A0304E35}">
  <dimension ref="B5:AE16"/>
  <sheetViews>
    <sheetView topLeftCell="A2" workbookViewId="0">
      <selection activeCell="AA17" sqref="AA17"/>
    </sheetView>
  </sheetViews>
  <sheetFormatPr defaultRowHeight="15" x14ac:dyDescent="0.25"/>
  <cols>
    <col min="14" max="14" width="11.5703125" bestFit="1" customWidth="1"/>
  </cols>
  <sheetData>
    <row r="5" spans="2:31" x14ac:dyDescent="0.25">
      <c r="B5" t="s">
        <v>12</v>
      </c>
      <c r="C5" t="s">
        <v>13</v>
      </c>
      <c r="D5" t="s">
        <v>14</v>
      </c>
      <c r="E5" t="s">
        <v>15</v>
      </c>
      <c r="F5" t="s">
        <v>15</v>
      </c>
      <c r="H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</row>
    <row r="6" spans="2:31" x14ac:dyDescent="0.25">
      <c r="B6">
        <f>6000*4.184/1000</f>
        <v>25.103999999999999</v>
      </c>
      <c r="C6">
        <v>1.0550558526</v>
      </c>
      <c r="D6">
        <v>6.12</v>
      </c>
      <c r="E6">
        <v>3.6</v>
      </c>
      <c r="F6">
        <v>3600000</v>
      </c>
      <c r="G6" t="s">
        <v>26</v>
      </c>
      <c r="H6">
        <v>3412142</v>
      </c>
      <c r="J6" t="s">
        <v>7</v>
      </c>
      <c r="K6">
        <v>25</v>
      </c>
      <c r="L6" s="6">
        <f>K6/D6</f>
        <v>4.0849673202614376</v>
      </c>
      <c r="M6" s="6">
        <f>L6*E6</f>
        <v>14.705882352941176</v>
      </c>
      <c r="N6" s="6">
        <f>L6*F6</f>
        <v>14705882.352941176</v>
      </c>
      <c r="O6" s="13">
        <v>0.9244</v>
      </c>
      <c r="P6" s="6">
        <f>M6*$AH$14</f>
        <v>0</v>
      </c>
      <c r="Q6" s="14">
        <v>2.3E-2</v>
      </c>
      <c r="R6" s="5">
        <f>P6*(1+Q6)</f>
        <v>0</v>
      </c>
    </row>
    <row r="7" spans="2:31" x14ac:dyDescent="0.25">
      <c r="G7" t="s">
        <v>27</v>
      </c>
      <c r="H7" s="7">
        <v>588235</v>
      </c>
      <c r="J7" t="s">
        <v>28</v>
      </c>
      <c r="K7">
        <v>4</v>
      </c>
      <c r="L7" s="6">
        <f>K7/C6</f>
        <v>3.7912684813251372</v>
      </c>
      <c r="M7" s="6">
        <f>L7*E6</f>
        <v>13.648566532770493</v>
      </c>
      <c r="N7" s="6">
        <f>L7*F6</f>
        <v>13648566.532770494</v>
      </c>
      <c r="O7" s="13"/>
      <c r="P7" s="6">
        <f t="shared" ref="P7:P9" si="0">M7*$AH$14</f>
        <v>0</v>
      </c>
      <c r="Q7" s="14"/>
      <c r="R7" s="5">
        <f t="shared" ref="R7:R9" si="1">P7*(1+Q7)</f>
        <v>0</v>
      </c>
    </row>
    <row r="8" spans="2:31" x14ac:dyDescent="0.25">
      <c r="G8" t="s">
        <v>29</v>
      </c>
      <c r="H8">
        <v>150000</v>
      </c>
      <c r="J8" t="s">
        <v>6</v>
      </c>
      <c r="K8">
        <v>39</v>
      </c>
      <c r="L8" s="6">
        <f>K8/B6</f>
        <v>1.5535372848948374</v>
      </c>
      <c r="M8" s="6">
        <f>L8*E6</f>
        <v>5.592734225621415</v>
      </c>
      <c r="N8" s="6">
        <f>L8*F6</f>
        <v>5592734.2256214144</v>
      </c>
      <c r="O8" s="13"/>
      <c r="P8" s="6">
        <f t="shared" si="0"/>
        <v>0</v>
      </c>
      <c r="Q8" s="14"/>
      <c r="R8" s="5">
        <f t="shared" si="1"/>
        <v>0</v>
      </c>
    </row>
    <row r="9" spans="2:31" x14ac:dyDescent="0.25">
      <c r="J9" t="s">
        <v>30</v>
      </c>
      <c r="L9">
        <v>12.72</v>
      </c>
      <c r="M9">
        <f>L9*E6</f>
        <v>45.792000000000002</v>
      </c>
      <c r="O9" s="13"/>
      <c r="P9" s="6">
        <f t="shared" si="0"/>
        <v>0</v>
      </c>
      <c r="Q9" s="14"/>
      <c r="R9" s="5">
        <f t="shared" si="1"/>
        <v>0</v>
      </c>
    </row>
    <row r="11" spans="2:31" x14ac:dyDescent="0.25">
      <c r="E11">
        <f>1/3.6</f>
        <v>0.27777777777777779</v>
      </c>
    </row>
    <row r="12" spans="2:31" x14ac:dyDescent="0.25">
      <c r="P12" s="15" t="s">
        <v>31</v>
      </c>
      <c r="Q12" s="15"/>
      <c r="R12" s="15"/>
      <c r="S12" s="15"/>
      <c r="T12" s="15"/>
      <c r="U12" s="15"/>
      <c r="V12" s="15" t="s">
        <v>32</v>
      </c>
      <c r="W12" s="15"/>
      <c r="X12" s="15"/>
      <c r="Y12" s="15"/>
      <c r="Z12" s="15"/>
      <c r="AA12" s="15" t="s">
        <v>33</v>
      </c>
      <c r="AB12" s="15"/>
      <c r="AC12" s="15"/>
      <c r="AD12" s="15"/>
      <c r="AE12" s="15"/>
    </row>
    <row r="13" spans="2:31" x14ac:dyDescent="0.25">
      <c r="P13">
        <v>2025</v>
      </c>
      <c r="Q13">
        <v>2030</v>
      </c>
      <c r="R13">
        <v>2035</v>
      </c>
      <c r="S13">
        <v>2040</v>
      </c>
      <c r="T13">
        <v>2045</v>
      </c>
      <c r="U13" s="8">
        <v>2050</v>
      </c>
      <c r="V13">
        <v>2030</v>
      </c>
      <c r="W13">
        <v>2035</v>
      </c>
      <c r="X13">
        <v>2040</v>
      </c>
      <c r="Y13">
        <v>2045</v>
      </c>
      <c r="Z13" s="8">
        <v>2050</v>
      </c>
      <c r="AA13">
        <v>2030</v>
      </c>
      <c r="AB13">
        <v>2035</v>
      </c>
      <c r="AC13">
        <v>2040</v>
      </c>
      <c r="AD13">
        <v>2045</v>
      </c>
      <c r="AE13">
        <v>2050</v>
      </c>
    </row>
    <row r="14" spans="2:31" x14ac:dyDescent="0.25">
      <c r="O14" t="s">
        <v>34</v>
      </c>
      <c r="P14" s="5">
        <v>36</v>
      </c>
      <c r="Q14" s="5">
        <f>P14+(($Q$13-$P$13)/($R$13-$P$13))*(R14-P14)</f>
        <v>28.25</v>
      </c>
      <c r="R14">
        <v>20.5</v>
      </c>
      <c r="S14">
        <f>R14+(($S$13-$R$13)/($U$13-$R$13))*(U14-R14)</f>
        <v>22.5</v>
      </c>
      <c r="T14">
        <f>$R$14+((T13-$R$13)/($U$13-$R$13))*($U$14-$R$14)</f>
        <v>24.5</v>
      </c>
      <c r="U14" s="8">
        <v>26.5</v>
      </c>
      <c r="V14" s="5">
        <f>P14+(($V$13-$P$13)/($W$13-$P$13))*(W14-P14)</f>
        <v>32.35</v>
      </c>
      <c r="W14">
        <v>28.7</v>
      </c>
      <c r="X14" s="5">
        <f>$W$14+((X13-$W$13)/($Z$13-$W$13))*($Z$14-$W$14)</f>
        <v>30.266666666666666</v>
      </c>
      <c r="Y14" s="5">
        <f>$W$14+((Y13-$W$13)/($Z$13-$W$13))*($Z$14-$W$14)</f>
        <v>31.833333333333332</v>
      </c>
      <c r="Z14" s="8">
        <v>33.4</v>
      </c>
      <c r="AA14" s="5">
        <f>P14+(($AA$13-$P$13)/($AB$13-$P$13))*(AB14-P14)</f>
        <v>24.6</v>
      </c>
      <c r="AB14">
        <v>13.2</v>
      </c>
      <c r="AC14" s="5">
        <f>$AB$14+((AC13-$AB$13)/($AE$13-$AB$13))*($AE$14-$AB$14)</f>
        <v>13</v>
      </c>
      <c r="AD14" s="5">
        <f>$AB$14+((AD13-$AB$13)/($AE$13-$AB$13))*($AE$14-$AB$14)</f>
        <v>12.799999999999999</v>
      </c>
      <c r="AE14">
        <v>12.6</v>
      </c>
    </row>
    <row r="15" spans="2:31" x14ac:dyDescent="0.25">
      <c r="O15" t="s">
        <v>35</v>
      </c>
      <c r="P15">
        <v>13.3</v>
      </c>
      <c r="Q15" s="5">
        <f t="shared" ref="Q15:Q16" si="2">P15+(($Q$13-$P$13)/($R$13-$P$13))*(R15-P15)</f>
        <v>11.8</v>
      </c>
      <c r="R15" s="5">
        <v>10.3</v>
      </c>
      <c r="S15">
        <f t="shared" ref="S15:S16" si="3">R15+(($S$13-$R$13)/($U$13-$R$13))*(U15-R15)</f>
        <v>9.7666666666666675</v>
      </c>
      <c r="T15">
        <f>$R$15+((T13-$R$13)/($U$13-$R$13))*($U$15-$R$15)</f>
        <v>9.2333333333333325</v>
      </c>
      <c r="U15" s="8">
        <v>8.6999999999999993</v>
      </c>
      <c r="V15" s="5">
        <f>P15+(($V$13-$P$13)/($W$13-$P$13))*(W15-P15)</f>
        <v>12.75</v>
      </c>
      <c r="W15">
        <v>12.2</v>
      </c>
      <c r="X15" s="5">
        <f>$W$15+((X13-$W$13)/($Z$13-$W$13))*($Z$15-$W$15)</f>
        <v>11.766666666666666</v>
      </c>
      <c r="Y15" s="5">
        <f>$W$15+((Y13-$W$13)/($Z$13-$W$13))*($Z$15-$W$15)</f>
        <v>11.333333333333334</v>
      </c>
      <c r="Z15" s="8">
        <v>10.9</v>
      </c>
      <c r="AA15" s="5">
        <f t="shared" ref="AA15:AA16" si="4">P15+(($AA$13-$P$13)/($AB$13-$P$13))*(AB15-P15)</f>
        <v>9.75</v>
      </c>
      <c r="AB15">
        <v>6.2</v>
      </c>
      <c r="AC15" s="5">
        <f>$AB$15+((AC13-$AB$13)/($AE$13-$AB$13))*($AE$15-$AB$15)</f>
        <v>5.8666666666666671</v>
      </c>
      <c r="AD15" s="5">
        <f>$AB$15+((AD13-$AB$13)/($AE$13-$AB$13))*($AE$15-$AB$15)</f>
        <v>5.5333333333333332</v>
      </c>
      <c r="AE15">
        <v>5.2</v>
      </c>
    </row>
    <row r="16" spans="2:31" x14ac:dyDescent="0.25">
      <c r="O16" t="s">
        <v>36</v>
      </c>
      <c r="P16">
        <v>43.9</v>
      </c>
      <c r="Q16" s="5">
        <f t="shared" si="2"/>
        <v>44.2</v>
      </c>
      <c r="R16">
        <v>44.5</v>
      </c>
      <c r="S16">
        <f t="shared" si="3"/>
        <v>43.766666666666666</v>
      </c>
      <c r="T16">
        <f>$R$16+((T13-$R$13)/($U$13-$R$13))*($U$16-$R$16)</f>
        <v>43.033333333333331</v>
      </c>
      <c r="U16" s="8">
        <v>42.3</v>
      </c>
      <c r="V16" s="5">
        <f>P16+(($V$13-$P$13)/($W$13-$P$13))*(W16-P16)</f>
        <v>46.7</v>
      </c>
      <c r="W16">
        <v>49.5</v>
      </c>
      <c r="X16" s="5">
        <f>$W$16+((X13-$W$13)/($Z$13-$W$13))*($Z$16-$W$16)</f>
        <v>52.666666666666664</v>
      </c>
      <c r="Y16" s="5">
        <f>$W$16+((Y13-$W$13)/($Z$13-$W$13))*($Z$16-$W$16)</f>
        <v>55.833333333333336</v>
      </c>
      <c r="Z16" s="9">
        <v>59</v>
      </c>
      <c r="AA16" s="5">
        <f t="shared" si="4"/>
        <v>31.15</v>
      </c>
      <c r="AB16">
        <v>18.399999999999999</v>
      </c>
      <c r="AC16" s="5">
        <f>$AB$16+((AC13-$AB$13)/($AE$13-$AB$13))*($AE$16-$AB$16)</f>
        <v>16.899999999999999</v>
      </c>
      <c r="AD16" s="5">
        <f>$AB$16+((AD13-$AB$13)/($AE$13-$AB$13))*($AE$16-$AB$16)</f>
        <v>15.4</v>
      </c>
      <c r="AE16">
        <v>13.9</v>
      </c>
    </row>
  </sheetData>
  <mergeCells count="5">
    <mergeCell ref="O6:O9"/>
    <mergeCell ref="Q6:Q9"/>
    <mergeCell ref="P12:U12"/>
    <mergeCell ref="V12:Z12"/>
    <mergeCell ref="AA12:AE1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fuel_costs</vt:lpstr>
      <vt:lpstr>cite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2026-09-25T11:41:59Z</dcterms:modified>
</cp:coreProperties>
</file>