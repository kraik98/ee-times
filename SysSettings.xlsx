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hD_Kristopher\EE-TIMES-New\"/>
    </mc:Choice>
  </mc:AlternateContent>
  <xr:revisionPtr revIDLastSave="0" documentId="13_ncr:1_{34D0AA6A-10B2-446B-AF4A-9A7B54E9CE28}" xr6:coauthVersionLast="47" xr6:coauthVersionMax="47" xr10:uidLastSave="{00000000-0000-0000-0000-000000000000}"/>
  <bookViews>
    <workbookView xWindow="57480" yWindow="-120" windowWidth="38640" windowHeight="15720" tabRatio="853" activeTab="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0" l="1"/>
  <c r="E44" i="20" s="1"/>
  <c r="D45" i="20"/>
  <c r="D46" i="20"/>
  <c r="D47" i="20"/>
  <c r="D48" i="20"/>
  <c r="B32" i="20"/>
  <c r="B31" i="20"/>
  <c r="B30" i="20"/>
  <c r="B29" i="20"/>
  <c r="B28" i="20"/>
  <c r="B27" i="20"/>
  <c r="B33" i="20"/>
  <c r="B22" i="20"/>
  <c r="B23" i="20"/>
  <c r="B24" i="20"/>
  <c r="B25" i="20"/>
  <c r="B26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I54" i="20"/>
  <c r="L19" i="18"/>
  <c r="K20" i="18" s="1"/>
  <c r="K19" i="18"/>
  <c r="I20" i="18"/>
  <c r="F19" i="18"/>
  <c r="D19" i="18"/>
  <c r="E19" i="18" s="1"/>
  <c r="D14" i="18"/>
  <c r="F14" i="18"/>
  <c r="E13" i="18"/>
  <c r="F13" i="18"/>
  <c r="D13" i="18"/>
  <c r="K14" i="18"/>
  <c r="D4" i="18"/>
  <c r="L15" i="18"/>
  <c r="K16" i="18" s="1"/>
  <c r="I14" i="18"/>
  <c r="L14" i="18" s="1"/>
  <c r="K15" i="18" s="1"/>
  <c r="F50" i="20"/>
  <c r="K49" i="20" l="1"/>
  <c r="E10" i="20" s="1"/>
  <c r="K51" i="20"/>
  <c r="E12" i="20" s="1"/>
  <c r="K48" i="20"/>
  <c r="K52" i="20"/>
  <c r="E13" i="20" s="1"/>
  <c r="K50" i="20"/>
  <c r="E11" i="20" s="1"/>
  <c r="K53" i="20"/>
  <c r="E14" i="20" s="1"/>
  <c r="E45" i="20"/>
  <c r="E47" i="20"/>
  <c r="E46" i="20"/>
  <c r="E9" i="20"/>
  <c r="F15" i="18"/>
  <c r="D15" i="18"/>
  <c r="E15" i="18" s="1"/>
  <c r="F49" i="20"/>
  <c r="L51" i="20" l="1"/>
  <c r="E18" i="20" s="1"/>
  <c r="L53" i="20"/>
  <c r="E20" i="20" s="1"/>
  <c r="L50" i="20"/>
  <c r="E17" i="20" s="1"/>
  <c r="L48" i="20"/>
  <c r="L49" i="20"/>
  <c r="E16" i="20" s="1"/>
  <c r="L52" i="20"/>
  <c r="E19" i="20" s="1"/>
  <c r="N48" i="20"/>
  <c r="E27" i="20" s="1"/>
  <c r="N50" i="20"/>
  <c r="E29" i="20" s="1"/>
  <c r="N52" i="20"/>
  <c r="E31" i="20" s="1"/>
  <c r="N49" i="20"/>
  <c r="E28" i="20" s="1"/>
  <c r="N51" i="20"/>
  <c r="E30" i="20" s="1"/>
  <c r="N53" i="20"/>
  <c r="E32" i="20" s="1"/>
  <c r="M48" i="20"/>
  <c r="E21" i="20" s="1"/>
  <c r="M50" i="20"/>
  <c r="E23" i="20" s="1"/>
  <c r="M49" i="20"/>
  <c r="E22" i="20" s="1"/>
  <c r="M51" i="20"/>
  <c r="E24" i="20" s="1"/>
  <c r="M52" i="20"/>
  <c r="E25" i="20" s="1"/>
  <c r="M53" i="20"/>
  <c r="E26" i="20" s="1"/>
  <c r="D16" i="18"/>
  <c r="F16" i="18"/>
  <c r="I17" i="18"/>
  <c r="O54" i="20" l="1"/>
  <c r="E15" i="20"/>
  <c r="E16" i="18"/>
  <c r="F17" i="18"/>
  <c r="D17" i="18"/>
  <c r="E17" i="18"/>
  <c r="F18" i="18"/>
  <c r="D18" i="18"/>
  <c r="L16" i="18"/>
  <c r="K17" i="18" s="1"/>
  <c r="I18" i="18"/>
  <c r="E18" i="18" l="1"/>
  <c r="I19" i="18"/>
  <c r="L18" i="18" s="1"/>
  <c r="L17" i="18"/>
  <c r="K18" i="18" s="1"/>
  <c r="I12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<sst xmlns="http://schemas.openxmlformats.org/spreadsheetml/2006/main" count="154" uniqueCount="84">
  <si>
    <t>~TFM_UPD</t>
  </si>
  <si>
    <t>IMP*Z</t>
  </si>
  <si>
    <t>AllRegions</t>
  </si>
  <si>
    <t>Other_Indexes</t>
  </si>
  <si>
    <t>ACTCOST</t>
  </si>
  <si>
    <t>IMPDEMZ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</si>
  <si>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</si>
  <si>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</si>
  <si>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</si>
  <si>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</si>
  <si>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</si>
  <si>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</si>
  <si>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</si>
  <si>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</si>
  <si>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</si>
  <si>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</si>
  <si>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</si>
  <si>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</si>
  <si>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</si>
  <si>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</si>
  <si>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</si>
  <si>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</si>
  <si>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</si>
  <si>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</si>
  <si>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</si>
  <si>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</si>
  <si>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</si>
  <si>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</si>
  <si>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Option</t>
  </si>
  <si>
    <t>~StartYear</t>
  </si>
  <si>
    <t>~ActivePDef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</si>
  <si>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</si>
  <si>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</si>
  <si>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</si>
  <si>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</si>
  <si>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</si>
  <si>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</si>
  <si>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</si>
  <si>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</si>
  <si>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</si>
  <si>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</si>
  <si>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</si>
  <si>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</si>
  <si>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</si>
  <si>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</si>
  <si>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</si>
  <si>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</si>
  <si>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Seasons</t>
  </si>
  <si>
    <t>N. of Days</t>
  </si>
  <si>
    <t>Fraction</t>
  </si>
  <si>
    <t>S</t>
  </si>
  <si>
    <t>REG2</t>
  </si>
  <si>
    <t>UP</t>
  </si>
  <si>
    <t>ACT_BND</t>
  </si>
  <si>
    <t>PRC_TSL</t>
  </si>
  <si>
    <t>DAYNITE</t>
  </si>
  <si>
    <t>~TFM_MIG</t>
  </si>
  <si>
    <t>Year2</t>
  </si>
  <si>
    <t>EE</t>
  </si>
  <si>
    <t>S01</t>
  </si>
  <si>
    <t>S02</t>
  </si>
  <si>
    <t>S03</t>
  </si>
  <si>
    <t>S04</t>
  </si>
  <si>
    <t>H01</t>
  </si>
  <si>
    <t>H02</t>
  </si>
  <si>
    <t>H03</t>
  </si>
  <si>
    <t>H04</t>
  </si>
  <si>
    <t>H05</t>
  </si>
  <si>
    <t>H06</t>
  </si>
  <si>
    <t>P1</t>
  </si>
  <si>
    <t>M</t>
  </si>
  <si>
    <t>E</t>
  </si>
  <si>
    <t>~Milestoneyears</t>
  </si>
  <si>
    <t>type</t>
  </si>
  <si>
    <t>endyear</t>
  </si>
  <si>
    <t>milestoneyear</t>
  </si>
  <si>
    <t>B</t>
  </si>
  <si>
    <t>~DefaultYear</t>
  </si>
  <si>
    <t>Hours</t>
  </si>
  <si>
    <t>S1</t>
  </si>
  <si>
    <t>S2</t>
  </si>
  <si>
    <t>S3</t>
  </si>
  <si>
    <t>S4</t>
  </si>
  <si>
    <t>MEuro25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</si>
</sst>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0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  <charset val="186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12" fillId="0" borderId="0"/>
    <xf numFmtId="0" fontId="13" fillId="7" borderId="0" applyNumberFormat="0" applyBorder="0" applyAlignment="0" applyProtection="0"/>
    <xf numFmtId="0" fontId="5" fillId="0" borderId="0"/>
  </cellStyleXfs>
  <cellXfs count="41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5" fillId="3" borderId="1" xfId="0" applyFont="1" applyFill="1" applyBorder="1"/>
    <xf numFmtId="0" fontId="7" fillId="0" borderId="0" xfId="0" applyFont="1"/>
    <xf numFmtId="0" fontId="8" fillId="4" borderId="0" xfId="0" applyFont="1" applyFill="1" applyAlignment="1">
      <alignment horizontal="left"/>
    </xf>
    <xf numFmtId="0" fontId="2" fillId="0" borderId="0" xfId="1" applyFont="1"/>
    <xf numFmtId="0" fontId="5" fillId="0" borderId="0" xfId="1"/>
    <xf numFmtId="0" fontId="0" fillId="2" borderId="1" xfId="0" applyFill="1" applyBorder="1"/>
    <xf numFmtId="0" fontId="11" fillId="0" borderId="0" xfId="0" applyFont="1"/>
    <xf numFmtId="0" fontId="1" fillId="5" borderId="2" xfId="0" applyFont="1" applyFill="1" applyBorder="1"/>
    <xf numFmtId="0" fontId="5" fillId="0" borderId="0" xfId="0" applyFont="1"/>
    <xf numFmtId="2" fontId="5" fillId="0" borderId="0" xfId="1" applyNumberFormat="1"/>
    <xf numFmtId="0" fontId="5" fillId="6" borderId="1" xfId="0" applyFont="1" applyFill="1" applyBorder="1"/>
    <xf numFmtId="0" fontId="10" fillId="0" borderId="0" xfId="1" applyFont="1"/>
    <xf numFmtId="0" fontId="9" fillId="0" borderId="0" xfId="1" applyFont="1"/>
    <xf numFmtId="0" fontId="9" fillId="3" borderId="4" xfId="1" applyFont="1" applyFill="1" applyBorder="1" applyAlignment="1">
      <alignment horizontal="left"/>
    </xf>
    <xf numFmtId="0" fontId="9" fillId="3" borderId="3" xfId="1" quotePrefix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0" borderId="6" xfId="1" quotePrefix="1" applyFont="1" applyBorder="1" applyAlignment="1">
      <alignment horizontal="center"/>
    </xf>
    <xf numFmtId="0" fontId="9" fillId="3" borderId="7" xfId="1" applyFont="1" applyFill="1" applyBorder="1" applyAlignment="1">
      <alignment horizontal="left"/>
    </xf>
    <xf numFmtId="0" fontId="9" fillId="3" borderId="0" xfId="1" applyFont="1" applyFill="1" applyAlignment="1">
      <alignment horizontal="center"/>
    </xf>
    <xf numFmtId="0" fontId="10" fillId="3" borderId="5" xfId="1" applyFont="1" applyFill="1" applyBorder="1" applyAlignment="1">
      <alignment horizontal="center"/>
    </xf>
    <xf numFmtId="2" fontId="10" fillId="3" borderId="6" xfId="1" applyNumberFormat="1" applyFont="1" applyFill="1" applyBorder="1" applyAlignment="1">
      <alignment horizontal="center"/>
    </xf>
    <xf numFmtId="0" fontId="10" fillId="0" borderId="6" xfId="1" quotePrefix="1" applyFont="1" applyBorder="1" applyAlignment="1">
      <alignment horizontal="center"/>
    </xf>
    <xf numFmtId="0" fontId="9" fillId="3" borderId="8" xfId="1" applyFont="1" applyFill="1" applyBorder="1" applyAlignment="1">
      <alignment horizontal="left"/>
    </xf>
    <xf numFmtId="0" fontId="9" fillId="3" borderId="9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1" fontId="10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65" fontId="0" fillId="0" borderId="0" xfId="0" applyNumberFormat="1"/>
    <xf numFmtId="0" fontId="12" fillId="0" borderId="0" xfId="5"/>
    <xf numFmtId="0" fontId="13" fillId="7" borderId="0" xfId="6" applyBorder="1"/>
    <xf numFmtId="0" fontId="14" fillId="0" borderId="0" xfId="0" applyFont="1"/>
    <xf numFmtId="0" fontId="15" fillId="0" borderId="0" xfId="7" applyFont="1" applyAlignment="1">
      <alignment horizontal="left" vertical="center"/>
    </xf>
    <xf numFmtId="0" fontId="0" fillId="8" borderId="0" xfId="0" applyFill="1" applyAlignment="1">
      <alignment horizontal="left"/>
    </xf>
    <xf numFmtId="0" fontId="5" fillId="0" borderId="9" xfId="1" applyBorder="1"/>
    <xf numFmtId="166" fontId="5" fillId="0" borderId="0" xfId="1" applyNumberFormat="1"/>
  </cellXfs>
  <cellStyles count="8">
    <cellStyle name="20% - Accent3 2 13" xfId="6" xr:uid="{1B5CCCC3-F070-4846-9FBD-DBD009AF521C}"/>
    <cellStyle name="Normal" xfId="0" builtinId="0"/>
    <cellStyle name="Normal 10" xfId="1" xr:uid="{00000000-0005-0000-0000-000001000000}"/>
    <cellStyle name="Normal 10 2" xfId="7" xr:uid="{01788BB9-66FC-45FD-8C8E-AADF6965B79A}"/>
    <cellStyle name="Normal 2" xfId="2" xr:uid="{00000000-0005-0000-0000-000002000000}"/>
    <cellStyle name="Normal 40" xfId="5" xr:uid="{88EE8B71-83F2-408B-A9EA-B60E61AC4A6A}"/>
    <cellStyle name="Normale_B2020" xfId="3" xr:uid="{00000000-0005-0000-0000-000003000000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</xdr:row>
      <xdr:rowOff>28575</xdr:rowOff>
    </xdr:from>
    <xdr:to>
      <xdr:col>5</xdr:col>
      <xdr:colOff>590550</xdr:colOff>
      <xdr:row>16</xdr:row>
      <xdr:rowOff>102885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7C2BE8-E776-4B61-A0F6-EBD2644F7F21}"/>
            </a:ext>
          </a:extLst>
        </xdr:cNvPr>
        <xdr:cNvSpPr txBox="1"/>
      </xdr:nvSpPr>
      <xdr:spPr>
        <a:xfrm>
          <a:off x="161925" y="1485900"/>
          <a:ext cx="4038600" cy="12077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1904</xdr:colOff>
      <xdr:row>10</xdr:row>
      <xdr:rowOff>26670</xdr:rowOff>
    </xdr:from>
    <xdr:to>
      <xdr:col>17</xdr:col>
      <xdr:colOff>342899</xdr:colOff>
      <xdr:row>15</xdr:row>
      <xdr:rowOff>64770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203A11-BE82-497E-93D4-0DA427DADE48}"/>
            </a:ext>
          </a:extLst>
        </xdr:cNvPr>
        <xdr:cNvSpPr txBox="1"/>
      </xdr:nvSpPr>
      <xdr:spPr>
        <a:xfrm>
          <a:off x="8993504" y="1550670"/>
          <a:ext cx="3388995" cy="800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540703</xdr:colOff>
      <xdr:row>4</xdr:row>
      <xdr:rowOff>55245</xdr:rowOff>
    </xdr:from>
    <xdr:to>
      <xdr:col>26</xdr:col>
      <xdr:colOff>91123</xdr:colOff>
      <xdr:row>34</xdr:row>
      <xdr:rowOff>80963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7BC7A-AB37-4CA5-950D-CEFD256BBA90}"/>
            </a:ext>
          </a:extLst>
        </xdr:cNvPr>
        <xdr:cNvSpPr txBox="1"/>
      </xdr:nvSpPr>
      <xdr:spPr>
        <a:xfrm>
          <a:off x="9549766" y="690245"/>
          <a:ext cx="7495857" cy="47405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~DefaultYear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 to be used by default. This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optional, which defaults to StartYear.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 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(P2050-7 and P2100-13)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P2050-7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4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third period has 4 years, and so on.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Using this table the milestoneyear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will be in the middle of the defined period.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  <a:p>
          <a:r>
            <a:rPr lang="en-GB" sz="1100" b="1">
              <a:solidFill>
                <a:schemeClr val="tx1"/>
              </a:solidFill>
            </a:rPr>
            <a:t>~Milestoneyears </a:t>
          </a:r>
          <a:r>
            <a:rPr lang="en-GB" sz="1100" b="0">
              <a:solidFill>
                <a:schemeClr val="tx1"/>
              </a:solidFill>
            </a:rPr>
            <a:t>is</a:t>
          </a:r>
          <a:r>
            <a:rPr lang="en-GB" sz="1100" b="0" baseline="0">
              <a:solidFill>
                <a:schemeClr val="tx1"/>
              </a:solidFill>
            </a:rPr>
            <a:t> used to define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periods with the desired Milestone years.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Using this table, the periods are defined using the approach under the Objective function MOD option. MOD – Modified objective formulation (minimal 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consistent modifications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for achieving 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smoother periods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 investment spread);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In the MOD formulation, milestone years no longer need to be in the middle of their periods.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Instead, Beginning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B(t)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and Ending (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E(t)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internally defined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so that the periods turn halfway between the milestone years.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Therefore, only the first B(t) and the last E(t) need to be specified by user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B(t) and E(t) are defined in the following way: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B(t) = E(t–1)+1, for all i = 2,...,T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E(t) = FLOOR((M(t)+M(t+1))/2), for all i = 1,...,T–1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   	where M(t) is the milestone year of period t.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tx1"/>
            </a:solidFill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9525</xdr:rowOff>
    </xdr:from>
    <xdr:to>
      <xdr:col>20</xdr:col>
      <xdr:colOff>476250</xdr:colOff>
      <xdr:row>14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A36AAC-0E22-4AFA-A6E6-32044512CA6D}"/>
            </a:ext>
          </a:extLst>
        </xdr:cNvPr>
        <xdr:cNvSpPr txBox="1"/>
      </xdr:nvSpPr>
      <xdr:spPr>
        <a:xfrm>
          <a:off x="6848475" y="171450"/>
          <a:ext cx="5962650" cy="2219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 the parameter defined in the column attribute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all the processes  defined in the model.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180975</xdr:colOff>
      <xdr:row>6</xdr:row>
      <xdr:rowOff>133350</xdr:rowOff>
    </xdr:from>
    <xdr:to>
      <xdr:col>10</xdr:col>
      <xdr:colOff>85725</xdr:colOff>
      <xdr:row>24</xdr:row>
      <xdr:rowOff>38100</xdr:rowOff>
    </xdr:to>
    <xdr:pic>
      <xdr:nvPicPr>
        <xdr:cNvPr id="1370" name="Picture 2">
          <a:extLst>
            <a:ext uri="{FF2B5EF4-FFF2-40B4-BE49-F238E27FC236}">
              <a16:creationId xmlns:a16="http://schemas.microsoft.com/office/drawing/2014/main" id="{7032E345-E488-4F69-BC63-C4025BFF2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14425"/>
          <a:ext cx="6134100" cy="294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38734</xdr:colOff>
      <xdr:row>4</xdr:row>
      <xdr:rowOff>46993</xdr:rowOff>
    </xdr:from>
    <xdr:to>
      <xdr:col>24</xdr:col>
      <xdr:colOff>114094</xdr:colOff>
      <xdr:row>35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4726EA-3FC2-4657-AADD-A5A27AA3B661}"/>
            </a:ext>
          </a:extLst>
        </xdr:cNvPr>
        <xdr:cNvSpPr txBox="1"/>
      </xdr:nvSpPr>
      <xdr:spPr>
        <a:xfrm>
          <a:off x="9668509" y="694693"/>
          <a:ext cx="6361860" cy="336295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476250</xdr:colOff>
      <xdr:row>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9325AB-30F6-4FD1-8789-DF7DAD343C5C}"/>
            </a:ext>
          </a:extLst>
        </xdr:cNvPr>
        <xdr:cNvSpPr txBox="1"/>
      </xdr:nvSpPr>
      <xdr:spPr>
        <a:xfrm>
          <a:off x="5476875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0"/>
  <sheetViews>
    <sheetView zoomScaleNormal="100" workbookViewId="0">
      <selection activeCell="K18" sqref="K18"/>
    </sheetView>
  </sheetViews>
  <sheetFormatPr defaultRowHeight="12.3" x14ac:dyDescent="0.4"/>
  <cols>
    <col min="1" max="1" width="2.1640625" customWidth="1"/>
    <col min="2" max="2" width="19.1640625" bestFit="1" customWidth="1"/>
    <col min="3" max="3" width="14.5546875" customWidth="1"/>
    <col min="7" max="7" width="3.44140625" customWidth="1"/>
    <col min="8" max="8" width="29.44140625" customWidth="1"/>
  </cols>
  <sheetData>
    <row r="3" spans="2:10" x14ac:dyDescent="0.4">
      <c r="B3" s="1" t="s">
        <v>6</v>
      </c>
      <c r="H3" s="1" t="s">
        <v>8</v>
      </c>
      <c r="I3" s="3"/>
      <c r="J3" s="3"/>
    </row>
    <row r="4" spans="2:10" x14ac:dyDescent="0.4">
      <c r="B4" s="2" t="s">
        <v>12</v>
      </c>
      <c r="C4" s="2" t="s">
        <v>13</v>
      </c>
      <c r="H4" s="2" t="s">
        <v>9</v>
      </c>
      <c r="I4" s="2" t="s">
        <v>10</v>
      </c>
      <c r="J4" s="2" t="s">
        <v>11</v>
      </c>
    </row>
    <row r="5" spans="2:10" x14ac:dyDescent="0.4">
      <c r="B5" s="12" t="s">
        <v>58</v>
      </c>
      <c r="C5" t="s">
        <v>58</v>
      </c>
      <c r="H5" t="s">
        <v>59</v>
      </c>
      <c r="J5" t="s">
        <v>63</v>
      </c>
    </row>
    <row r="6" spans="2:10" x14ac:dyDescent="0.4">
      <c r="H6" t="s">
        <v>60</v>
      </c>
      <c r="J6" t="s">
        <v>64</v>
      </c>
    </row>
    <row r="7" spans="2:10" x14ac:dyDescent="0.4">
      <c r="H7" t="s">
        <v>61</v>
      </c>
      <c r="J7" t="s">
        <v>65</v>
      </c>
    </row>
    <row r="8" spans="2:10" x14ac:dyDescent="0.4">
      <c r="H8" t="s">
        <v>62</v>
      </c>
      <c r="J8" t="s">
        <v>66</v>
      </c>
    </row>
    <row r="9" spans="2:10" x14ac:dyDescent="0.4">
      <c r="J9" t="s">
        <v>67</v>
      </c>
    </row>
    <row r="10" spans="2:10" x14ac:dyDescent="0.4">
      <c r="J10" t="s">
        <v>68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29"/>
  <sheetViews>
    <sheetView zoomScale="120" zoomScaleNormal="120" workbookViewId="0">
      <selection activeCell="E24" sqref="E24"/>
    </sheetView>
  </sheetViews>
  <sheetFormatPr defaultRowHeight="12.3" x14ac:dyDescent="0.4"/>
  <cols>
    <col min="2" max="2" width="16.83203125" customWidth="1"/>
    <col min="3" max="3" width="6.0546875" customWidth="1"/>
    <col min="4" max="4" width="12.27734375" bestFit="1" customWidth="1"/>
    <col min="5" max="5" width="10.38671875" bestFit="1" customWidth="1"/>
    <col min="8" max="8" width="15.5" bestFit="1" customWidth="1"/>
    <col min="9" max="9" width="10.609375" bestFit="1" customWidth="1"/>
  </cols>
  <sheetData>
    <row r="3" spans="2:12" ht="14.4" x14ac:dyDescent="0.4">
      <c r="B3" s="10" t="s">
        <v>29</v>
      </c>
      <c r="D3" s="37" t="s">
        <v>77</v>
      </c>
    </row>
    <row r="4" spans="2:12" x14ac:dyDescent="0.4">
      <c r="B4">
        <v>2025</v>
      </c>
      <c r="D4" s="38">
        <f>B4</f>
        <v>2025</v>
      </c>
    </row>
    <row r="7" spans="2:12" x14ac:dyDescent="0.4">
      <c r="B7" s="10" t="s">
        <v>30</v>
      </c>
    </row>
    <row r="8" spans="2:12" x14ac:dyDescent="0.4">
      <c r="B8" t="s">
        <v>69</v>
      </c>
    </row>
    <row r="11" spans="2:12" x14ac:dyDescent="0.4">
      <c r="B11" s="10" t="s">
        <v>7</v>
      </c>
      <c r="H11" s="10" t="s">
        <v>72</v>
      </c>
      <c r="I11" s="34"/>
    </row>
    <row r="12" spans="2:12" ht="14.4" x14ac:dyDescent="0.55000000000000004">
      <c r="B12" s="11" t="s">
        <v>69</v>
      </c>
      <c r="D12" s="12" t="s">
        <v>50</v>
      </c>
      <c r="E12" s="12" t="s">
        <v>70</v>
      </c>
      <c r="F12" s="12" t="s">
        <v>71</v>
      </c>
      <c r="H12" s="35" t="s">
        <v>73</v>
      </c>
      <c r="I12" s="35" t="str">
        <f>"msy"&amp;COUNT(E14:E47)&amp;"_"&amp;MAX(E14:E47)</f>
        <v>msy6_2050</v>
      </c>
      <c r="K12" t="s">
        <v>76</v>
      </c>
      <c r="L12" t="s">
        <v>71</v>
      </c>
    </row>
    <row r="13" spans="2:12" x14ac:dyDescent="0.4">
      <c r="B13">
        <v>1</v>
      </c>
      <c r="D13">
        <f>B4</f>
        <v>2025</v>
      </c>
      <c r="E13" s="33">
        <f>AVERAGE(D13,F13)</f>
        <v>2025</v>
      </c>
      <c r="F13">
        <f>B4</f>
        <v>2025</v>
      </c>
      <c r="H13" s="34" t="s">
        <v>74</v>
      </c>
      <c r="I13" s="34">
        <v>2052</v>
      </c>
    </row>
    <row r="14" spans="2:12" x14ac:dyDescent="0.4">
      <c r="B14">
        <v>2</v>
      </c>
      <c r="D14">
        <f>F13+1</f>
        <v>2026</v>
      </c>
      <c r="E14" s="33">
        <v>2026</v>
      </c>
      <c r="F14">
        <f>F13+B14</f>
        <v>2027</v>
      </c>
      <c r="H14" s="34" t="s">
        <v>75</v>
      </c>
      <c r="I14" s="34">
        <f>$B$4</f>
        <v>2025</v>
      </c>
      <c r="K14">
        <f>B4</f>
        <v>2025</v>
      </c>
      <c r="L14">
        <f>FLOOR((I14+I15)/2,1)</f>
        <v>2025</v>
      </c>
    </row>
    <row r="15" spans="2:12" ht="14.4" x14ac:dyDescent="0.55000000000000004">
      <c r="B15">
        <v>5</v>
      </c>
      <c r="D15">
        <f t="shared" ref="D15:D18" si="0">F14+1</f>
        <v>2028</v>
      </c>
      <c r="E15" s="33">
        <f t="shared" ref="E15:E19" si="1">AVERAGE(D15,F15)</f>
        <v>2030</v>
      </c>
      <c r="F15">
        <f t="shared" ref="F15:F18" si="2">F14+B15</f>
        <v>2032</v>
      </c>
      <c r="H15" s="34" t="s">
        <v>75</v>
      </c>
      <c r="I15" s="34">
        <v>2026</v>
      </c>
      <c r="K15">
        <f>L14+1</f>
        <v>2026</v>
      </c>
      <c r="L15" s="36">
        <f>FLOOR((I15+I16)/2,1)</f>
        <v>2028</v>
      </c>
    </row>
    <row r="16" spans="2:12" ht="14.4" x14ac:dyDescent="0.55000000000000004">
      <c r="B16">
        <v>5</v>
      </c>
      <c r="D16">
        <f t="shared" si="0"/>
        <v>2033</v>
      </c>
      <c r="E16" s="33">
        <f t="shared" si="1"/>
        <v>2035</v>
      </c>
      <c r="F16">
        <f t="shared" si="2"/>
        <v>2037</v>
      </c>
      <c r="H16" s="34" t="s">
        <v>75</v>
      </c>
      <c r="I16" s="34">
        <v>2030</v>
      </c>
      <c r="K16">
        <f>L15+1</f>
        <v>2029</v>
      </c>
      <c r="L16" s="36">
        <f>FLOOR((I16+I17)/2,1)</f>
        <v>2032</v>
      </c>
    </row>
    <row r="17" spans="2:12" ht="14.4" x14ac:dyDescent="0.55000000000000004">
      <c r="B17">
        <v>5</v>
      </c>
      <c r="D17">
        <f t="shared" si="0"/>
        <v>2038</v>
      </c>
      <c r="E17" s="33">
        <f t="shared" si="1"/>
        <v>2040</v>
      </c>
      <c r="F17">
        <f t="shared" si="2"/>
        <v>2042</v>
      </c>
      <c r="H17" s="34" t="s">
        <v>75</v>
      </c>
      <c r="I17" s="34">
        <f t="shared" ref="I17:I20" si="3">I16+5</f>
        <v>2035</v>
      </c>
      <c r="K17">
        <f>L16+1</f>
        <v>2033</v>
      </c>
      <c r="L17" s="36">
        <f>FLOOR((I17+I18)/2,1)</f>
        <v>2037</v>
      </c>
    </row>
    <row r="18" spans="2:12" ht="14.4" x14ac:dyDescent="0.55000000000000004">
      <c r="B18">
        <v>5</v>
      </c>
      <c r="D18">
        <f t="shared" si="0"/>
        <v>2043</v>
      </c>
      <c r="E18" s="33">
        <f t="shared" si="1"/>
        <v>2045</v>
      </c>
      <c r="F18">
        <f t="shared" si="2"/>
        <v>2047</v>
      </c>
      <c r="H18" s="34" t="s">
        <v>75</v>
      </c>
      <c r="I18" s="34">
        <f t="shared" si="3"/>
        <v>2040</v>
      </c>
      <c r="K18">
        <f>L17+1</f>
        <v>2038</v>
      </c>
      <c r="L18" s="36">
        <f>FLOOR((I18+I19)/2,1)</f>
        <v>2042</v>
      </c>
    </row>
    <row r="19" spans="2:12" ht="14.4" x14ac:dyDescent="0.55000000000000004">
      <c r="B19">
        <v>5</v>
      </c>
      <c r="D19">
        <f t="shared" ref="D19" si="4">F18+1</f>
        <v>2048</v>
      </c>
      <c r="E19" s="33">
        <f t="shared" si="1"/>
        <v>2050</v>
      </c>
      <c r="F19">
        <f t="shared" ref="F19" si="5">F18+B19</f>
        <v>2052</v>
      </c>
      <c r="H19" s="34" t="s">
        <v>75</v>
      </c>
      <c r="I19" s="34">
        <f t="shared" si="3"/>
        <v>2045</v>
      </c>
      <c r="K19">
        <f t="shared" ref="K19:K20" si="6">L18+1</f>
        <v>2043</v>
      </c>
      <c r="L19" s="36">
        <f t="shared" ref="L19" si="7">FLOOR((I19+I20)/2,1)</f>
        <v>2047</v>
      </c>
    </row>
    <row r="20" spans="2:12" ht="14.4" x14ac:dyDescent="0.55000000000000004">
      <c r="H20" s="34" t="s">
        <v>75</v>
      </c>
      <c r="I20" s="34">
        <f t="shared" si="3"/>
        <v>2050</v>
      </c>
      <c r="K20">
        <f t="shared" si="6"/>
        <v>2048</v>
      </c>
      <c r="L20" s="36"/>
    </row>
    <row r="21" spans="2:12" x14ac:dyDescent="0.4">
      <c r="H21" s="34" t="s">
        <v>75</v>
      </c>
      <c r="I21" s="34"/>
    </row>
    <row r="22" spans="2:12" x14ac:dyDescent="0.4">
      <c r="H22" s="34" t="s">
        <v>75</v>
      </c>
      <c r="I22" s="34"/>
    </row>
    <row r="23" spans="2:12" x14ac:dyDescent="0.4">
      <c r="H23" s="34" t="s">
        <v>75</v>
      </c>
      <c r="I23" s="34"/>
    </row>
    <row r="24" spans="2:12" x14ac:dyDescent="0.4">
      <c r="H24" s="34" t="s">
        <v>75</v>
      </c>
      <c r="I24" s="34"/>
    </row>
    <row r="25" spans="2:12" x14ac:dyDescent="0.4">
      <c r="H25" s="34" t="s">
        <v>75</v>
      </c>
      <c r="I25" s="34"/>
    </row>
    <row r="26" spans="2:12" x14ac:dyDescent="0.4">
      <c r="H26" s="34" t="s">
        <v>75</v>
      </c>
      <c r="I26" s="34"/>
    </row>
    <row r="27" spans="2:12" x14ac:dyDescent="0.4">
      <c r="H27" s="34" t="s">
        <v>75</v>
      </c>
      <c r="I27" s="34"/>
    </row>
    <row r="28" spans="2:12" x14ac:dyDescent="0.4">
      <c r="H28" s="34" t="s">
        <v>75</v>
      </c>
      <c r="I28" s="34"/>
    </row>
    <row r="29" spans="2:12" x14ac:dyDescent="0.4">
      <c r="H29" s="34" t="s">
        <v>75</v>
      </c>
      <c r="I29" s="34"/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39"/>
  <sheetViews>
    <sheetView zoomScaleNormal="100" workbookViewId="0">
      <selection activeCell="E5" sqref="E5"/>
    </sheetView>
  </sheetViews>
  <sheetFormatPr defaultRowHeight="12.3" x14ac:dyDescent="0.4"/>
  <cols>
    <col min="1" max="1" width="2.83203125" customWidth="1"/>
    <col min="4" max="4" width="9.71875" bestFit="1" customWidth="1"/>
    <col min="5" max="5" width="11.71875" bestFit="1" customWidth="1"/>
    <col min="6" max="6" width="9.5546875" customWidth="1"/>
    <col min="7" max="7" width="10.71875" bestFit="1" customWidth="1"/>
    <col min="8" max="9" width="10.71875" customWidth="1"/>
    <col min="13" max="13" width="9.27734375" customWidth="1"/>
  </cols>
  <sheetData>
    <row r="3" spans="2:7" x14ac:dyDescent="0.4">
      <c r="B3" s="1" t="s">
        <v>56</v>
      </c>
    </row>
    <row r="4" spans="2:7" ht="12.6" thickBot="1" x14ac:dyDescent="0.45">
      <c r="B4" s="4" t="s">
        <v>16</v>
      </c>
      <c r="C4" s="4" t="s">
        <v>17</v>
      </c>
      <c r="D4" s="4" t="s">
        <v>18</v>
      </c>
      <c r="E4" s="4" t="s">
        <v>57</v>
      </c>
      <c r="F4" s="4" t="s">
        <v>2</v>
      </c>
      <c r="G4" s="4" t="s">
        <v>21</v>
      </c>
    </row>
    <row r="5" spans="2:7" x14ac:dyDescent="0.4">
      <c r="C5" t="s">
        <v>52</v>
      </c>
      <c r="D5" t="s">
        <v>53</v>
      </c>
      <c r="E5">
        <v>0</v>
      </c>
      <c r="F5">
        <v>5</v>
      </c>
    </row>
    <row r="16" spans="2:7" ht="19.5" customHeight="1" x14ac:dyDescent="0.4"/>
    <row r="17" spans="2:17" ht="15.75" customHeight="1" x14ac:dyDescent="0.4"/>
    <row r="28" spans="2:17" ht="15" x14ac:dyDescent="0.5">
      <c r="B28" s="5" t="s">
        <v>32</v>
      </c>
    </row>
    <row r="30" spans="2:17" ht="17.399999999999999" x14ac:dyDescent="0.55000000000000004">
      <c r="B30" s="6" t="s">
        <v>31</v>
      </c>
      <c r="C30" s="6"/>
      <c r="D30" s="6"/>
    </row>
    <row r="31" spans="2:17" x14ac:dyDescent="0.4">
      <c r="B31" s="1" t="s">
        <v>0</v>
      </c>
    </row>
    <row r="32" spans="2:17" ht="12.6" thickBot="1" x14ac:dyDescent="0.45">
      <c r="B32" s="4" t="s">
        <v>16</v>
      </c>
      <c r="C32" s="4" t="s">
        <v>17</v>
      </c>
      <c r="D32" s="4" t="s">
        <v>18</v>
      </c>
      <c r="E32" s="4" t="s">
        <v>19</v>
      </c>
      <c r="F32" s="4" t="s">
        <v>3</v>
      </c>
      <c r="G32" s="4" t="s">
        <v>2</v>
      </c>
      <c r="H32" s="4" t="s">
        <v>41</v>
      </c>
      <c r="I32" s="4" t="s">
        <v>51</v>
      </c>
      <c r="J32" s="4" t="s">
        <v>20</v>
      </c>
      <c r="K32" s="4" t="s">
        <v>21</v>
      </c>
      <c r="L32" s="4" t="s">
        <v>27</v>
      </c>
      <c r="M32" s="4" t="s">
        <v>22</v>
      </c>
      <c r="N32" s="4" t="s">
        <v>23</v>
      </c>
      <c r="O32" s="4" t="s">
        <v>24</v>
      </c>
      <c r="P32" s="4" t="s">
        <v>25</v>
      </c>
      <c r="Q32" s="4" t="s">
        <v>26</v>
      </c>
    </row>
    <row r="33" spans="2:11" x14ac:dyDescent="0.4">
      <c r="D33" t="s">
        <v>4</v>
      </c>
      <c r="G33">
        <v>2222</v>
      </c>
      <c r="J33" t="s">
        <v>14</v>
      </c>
      <c r="K33" t="s">
        <v>1</v>
      </c>
    </row>
    <row r="34" spans="2:11" x14ac:dyDescent="0.4">
      <c r="D34" t="s">
        <v>4</v>
      </c>
      <c r="G34">
        <v>8888</v>
      </c>
      <c r="J34" t="s">
        <v>14</v>
      </c>
      <c r="K34" t="s">
        <v>5</v>
      </c>
    </row>
    <row r="37" spans="2:11" x14ac:dyDescent="0.4">
      <c r="B37" s="1" t="s">
        <v>15</v>
      </c>
    </row>
    <row r="38" spans="2:11" ht="12.6" thickBot="1" x14ac:dyDescent="0.45">
      <c r="B38" s="4" t="s">
        <v>18</v>
      </c>
      <c r="C38" s="4" t="s">
        <v>2</v>
      </c>
      <c r="D38" s="4" t="s">
        <v>20</v>
      </c>
      <c r="E38" s="4" t="s">
        <v>21</v>
      </c>
    </row>
    <row r="39" spans="2:11" x14ac:dyDescent="0.4">
      <c r="B39" t="s">
        <v>54</v>
      </c>
      <c r="C39" t="s">
        <v>55</v>
      </c>
      <c r="D39" t="s">
        <v>14</v>
      </c>
      <c r="E39" t="s">
        <v>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O54"/>
  <sheetViews>
    <sheetView tabSelected="1" zoomScaleNormal="100" workbookViewId="0">
      <selection activeCell="B9" sqref="B9:B32"/>
    </sheetView>
  </sheetViews>
  <sheetFormatPr defaultColWidth="9.1640625" defaultRowHeight="12.3" x14ac:dyDescent="0.4"/>
  <cols>
    <col min="1" max="1" width="9.1640625" style="8"/>
    <col min="2" max="2" width="12.1640625" style="8" customWidth="1"/>
    <col min="3" max="3" width="10.83203125" style="8" customWidth="1"/>
    <col min="4" max="4" width="14" style="8" customWidth="1"/>
    <col min="5" max="5" width="10.44140625" style="8" bestFit="1" customWidth="1"/>
    <col min="6" max="6" width="10.44140625" style="8" customWidth="1"/>
    <col min="7" max="16384" width="9.1640625" style="8"/>
  </cols>
  <sheetData>
    <row r="3" spans="2:7" ht="15" x14ac:dyDescent="0.5">
      <c r="B3" s="5" t="s">
        <v>34</v>
      </c>
    </row>
    <row r="5" spans="2:7" x14ac:dyDescent="0.4">
      <c r="B5" s="7" t="s">
        <v>15</v>
      </c>
    </row>
    <row r="6" spans="2:7" ht="12.6" thickBot="1" x14ac:dyDescent="0.45">
      <c r="B6" s="4" t="s">
        <v>16</v>
      </c>
      <c r="C6" s="4" t="s">
        <v>17</v>
      </c>
      <c r="D6" s="4" t="s">
        <v>18</v>
      </c>
      <c r="E6" s="4" t="s">
        <v>2</v>
      </c>
      <c r="F6" s="4"/>
      <c r="G6" s="4"/>
    </row>
    <row r="7" spans="2:7" x14ac:dyDescent="0.4">
      <c r="D7" s="8" t="s">
        <v>43</v>
      </c>
      <c r="E7" s="8">
        <v>2025</v>
      </c>
    </row>
    <row r="8" spans="2:7" x14ac:dyDescent="0.4">
      <c r="D8" s="8" t="s">
        <v>33</v>
      </c>
      <c r="E8" s="8">
        <v>0.05</v>
      </c>
    </row>
    <row r="9" spans="2:7" x14ac:dyDescent="0.4">
      <c r="B9" s="8" t="str">
        <f>'Region-Time Slices'!$H$5&amp;'Region-Time Slices'!J5</f>
        <v>S01H01</v>
      </c>
      <c r="D9" s="8" t="s">
        <v>42</v>
      </c>
      <c r="E9" s="13">
        <f>K48</f>
        <v>4.1666666666666664E-2</v>
      </c>
    </row>
    <row r="10" spans="2:7" x14ac:dyDescent="0.4">
      <c r="B10" s="8" t="str">
        <f>'Region-Time Slices'!$H$5&amp;'Region-Time Slices'!J6</f>
        <v>S01H02</v>
      </c>
      <c r="D10" s="8" t="s">
        <v>42</v>
      </c>
      <c r="E10" s="13">
        <f t="shared" ref="E10:E14" si="0">K49</f>
        <v>4.1666666666666664E-2</v>
      </c>
    </row>
    <row r="11" spans="2:7" x14ac:dyDescent="0.4">
      <c r="B11" s="8" t="str">
        <f>'Region-Time Slices'!$H$5&amp;'Region-Time Slices'!J7</f>
        <v>S01H03</v>
      </c>
      <c r="D11" s="8" t="s">
        <v>42</v>
      </c>
      <c r="E11" s="13">
        <f t="shared" si="0"/>
        <v>4.1666666666666664E-2</v>
      </c>
    </row>
    <row r="12" spans="2:7" x14ac:dyDescent="0.4">
      <c r="B12" s="8" t="str">
        <f>'Region-Time Slices'!$H$5&amp;'Region-Time Slices'!J8</f>
        <v>S01H04</v>
      </c>
      <c r="D12" s="8" t="s">
        <v>42</v>
      </c>
      <c r="E12" s="13">
        <f t="shared" si="0"/>
        <v>4.1666666666666664E-2</v>
      </c>
    </row>
    <row r="13" spans="2:7" x14ac:dyDescent="0.4">
      <c r="B13" s="8" t="str">
        <f>'Region-Time Slices'!$H$5&amp;'Region-Time Slices'!J9</f>
        <v>S01H05</v>
      </c>
      <c r="C13"/>
      <c r="D13" s="8" t="s">
        <v>42</v>
      </c>
      <c r="E13" s="13">
        <f t="shared" si="0"/>
        <v>4.1666666666666664E-2</v>
      </c>
      <c r="F13" s="13"/>
    </row>
    <row r="14" spans="2:7" x14ac:dyDescent="0.4">
      <c r="B14" s="8" t="str">
        <f>'Region-Time Slices'!$H$5&amp;'Region-Time Slices'!J10</f>
        <v>S01H06</v>
      </c>
      <c r="C14"/>
      <c r="D14" s="8" t="s">
        <v>42</v>
      </c>
      <c r="E14" s="13">
        <f t="shared" si="0"/>
        <v>4.1666666666666664E-2</v>
      </c>
      <c r="F14" s="13"/>
    </row>
    <row r="15" spans="2:7" x14ac:dyDescent="0.4">
      <c r="B15" s="8" t="str">
        <f>'Region-Time Slices'!$H$6&amp;'Region-Time Slices'!J5</f>
        <v>S02H01</v>
      </c>
      <c r="C15"/>
      <c r="D15" s="8" t="s">
        <v>42</v>
      </c>
      <c r="E15" s="40">
        <f>L48</f>
        <v>4.1666666666666664E-2</v>
      </c>
      <c r="F15" s="13"/>
    </row>
    <row r="16" spans="2:7" x14ac:dyDescent="0.4">
      <c r="B16" s="8" t="str">
        <f>'Region-Time Slices'!$H$6&amp;'Region-Time Slices'!J6</f>
        <v>S02H02</v>
      </c>
      <c r="C16"/>
      <c r="D16" s="8" t="s">
        <v>42</v>
      </c>
      <c r="E16" s="40">
        <f t="shared" ref="E16:E20" si="1">L49</f>
        <v>4.1666666666666664E-2</v>
      </c>
    </row>
    <row r="17" spans="2:5" x14ac:dyDescent="0.4">
      <c r="B17" s="8" t="str">
        <f>'Region-Time Slices'!$H$6&amp;'Region-Time Slices'!J7</f>
        <v>S02H03</v>
      </c>
      <c r="C17"/>
      <c r="D17" s="8" t="s">
        <v>42</v>
      </c>
      <c r="E17" s="40">
        <f t="shared" si="1"/>
        <v>4.1666666666666664E-2</v>
      </c>
    </row>
    <row r="18" spans="2:5" x14ac:dyDescent="0.4">
      <c r="B18" s="8" t="str">
        <f>'Region-Time Slices'!$H$6&amp;'Region-Time Slices'!J8</f>
        <v>S02H04</v>
      </c>
      <c r="C18"/>
      <c r="D18" s="8" t="s">
        <v>42</v>
      </c>
      <c r="E18" s="40">
        <f t="shared" si="1"/>
        <v>4.1666666666666664E-2</v>
      </c>
    </row>
    <row r="19" spans="2:5" x14ac:dyDescent="0.4">
      <c r="B19" s="8" t="str">
        <f>'Region-Time Slices'!$H$6&amp;'Region-Time Slices'!J9</f>
        <v>S02H05</v>
      </c>
      <c r="C19"/>
      <c r="D19" s="8" t="s">
        <v>42</v>
      </c>
      <c r="E19" s="40">
        <f t="shared" si="1"/>
        <v>4.1666666666666664E-2</v>
      </c>
    </row>
    <row r="20" spans="2:5" x14ac:dyDescent="0.4">
      <c r="B20" s="8" t="str">
        <f>'Region-Time Slices'!$H$6&amp;'Region-Time Slices'!J10</f>
        <v>S02H06</v>
      </c>
      <c r="C20"/>
      <c r="D20" s="8" t="s">
        <v>42</v>
      </c>
      <c r="E20" s="40">
        <f t="shared" si="1"/>
        <v>4.1666666666666664E-2</v>
      </c>
    </row>
    <row r="21" spans="2:5" x14ac:dyDescent="0.4">
      <c r="B21" s="8" t="str">
        <f>'Region-Time Slices'!$H$7&amp;'Region-Time Slices'!J5</f>
        <v>S03H01</v>
      </c>
      <c r="C21"/>
      <c r="D21" s="8" t="s">
        <v>42</v>
      </c>
      <c r="E21" s="40">
        <f>M48</f>
        <v>4.1666666666666664E-2</v>
      </c>
    </row>
    <row r="22" spans="2:5" x14ac:dyDescent="0.4">
      <c r="B22" s="8" t="str">
        <f>'Region-Time Slices'!$H$7&amp;'Region-Time Slices'!J6</f>
        <v>S03H02</v>
      </c>
      <c r="C22"/>
      <c r="D22" s="8" t="s">
        <v>42</v>
      </c>
      <c r="E22" s="40">
        <f t="shared" ref="E22:E26" si="2">M49</f>
        <v>4.1666666666666664E-2</v>
      </c>
    </row>
    <row r="23" spans="2:5" x14ac:dyDescent="0.4">
      <c r="B23" s="8" t="str">
        <f>'Region-Time Slices'!$H$7&amp;'Region-Time Slices'!J7</f>
        <v>S03H03</v>
      </c>
      <c r="C23"/>
      <c r="D23" s="8" t="s">
        <v>42</v>
      </c>
      <c r="E23" s="40">
        <f t="shared" si="2"/>
        <v>4.1666666666666664E-2</v>
      </c>
    </row>
    <row r="24" spans="2:5" x14ac:dyDescent="0.4">
      <c r="B24" s="8" t="str">
        <f>'Region-Time Slices'!$H$7&amp;'Region-Time Slices'!J8</f>
        <v>S03H04</v>
      </c>
      <c r="C24"/>
      <c r="D24" s="8" t="s">
        <v>42</v>
      </c>
      <c r="E24" s="40">
        <f t="shared" si="2"/>
        <v>4.1666666666666664E-2</v>
      </c>
    </row>
    <row r="25" spans="2:5" x14ac:dyDescent="0.4">
      <c r="B25" s="8" t="str">
        <f>'Region-Time Slices'!$H$7&amp;'Region-Time Slices'!J9</f>
        <v>S03H05</v>
      </c>
      <c r="C25"/>
      <c r="D25" s="8" t="s">
        <v>42</v>
      </c>
      <c r="E25" s="40">
        <f t="shared" si="2"/>
        <v>4.1666666666666664E-2</v>
      </c>
    </row>
    <row r="26" spans="2:5" x14ac:dyDescent="0.4">
      <c r="B26" s="8" t="str">
        <f>'Region-Time Slices'!$H$7&amp;'Region-Time Slices'!J10</f>
        <v>S03H06</v>
      </c>
      <c r="C26"/>
      <c r="D26" s="8" t="s">
        <v>42</v>
      </c>
      <c r="E26" s="40">
        <f t="shared" si="2"/>
        <v>4.1666666666666664E-2</v>
      </c>
    </row>
    <row r="27" spans="2:5" x14ac:dyDescent="0.4">
      <c r="B27" s="8" t="str">
        <f>'Region-Time Slices'!$H$8&amp;'Region-Time Slices'!J5</f>
        <v>S04H01</v>
      </c>
      <c r="C27"/>
      <c r="D27" s="8" t="s">
        <v>42</v>
      </c>
      <c r="E27" s="40">
        <f>N48</f>
        <v>4.1666666666666664E-2</v>
      </c>
    </row>
    <row r="28" spans="2:5" x14ac:dyDescent="0.4">
      <c r="B28" s="8" t="str">
        <f>'Region-Time Slices'!$H$8&amp;'Region-Time Slices'!J6</f>
        <v>S04H02</v>
      </c>
      <c r="C28"/>
      <c r="D28" s="8" t="s">
        <v>42</v>
      </c>
      <c r="E28" s="40">
        <f t="shared" ref="E28:E32" si="3">N49</f>
        <v>4.1666666666666664E-2</v>
      </c>
    </row>
    <row r="29" spans="2:5" x14ac:dyDescent="0.4">
      <c r="B29" s="8" t="str">
        <f>'Region-Time Slices'!$H$8&amp;'Region-Time Slices'!J7</f>
        <v>S04H03</v>
      </c>
      <c r="C29"/>
      <c r="D29" s="8" t="s">
        <v>42</v>
      </c>
      <c r="E29" s="40">
        <f t="shared" si="3"/>
        <v>4.1666666666666664E-2</v>
      </c>
    </row>
    <row r="30" spans="2:5" x14ac:dyDescent="0.4">
      <c r="B30" s="8" t="str">
        <f>'Region-Time Slices'!$H$8&amp;'Region-Time Slices'!J8</f>
        <v>S04H04</v>
      </c>
      <c r="C30"/>
      <c r="D30" s="8" t="s">
        <v>42</v>
      </c>
      <c r="E30" s="40">
        <f t="shared" si="3"/>
        <v>4.1666666666666664E-2</v>
      </c>
    </row>
    <row r="31" spans="2:5" x14ac:dyDescent="0.4">
      <c r="B31" s="8" t="str">
        <f>'Region-Time Slices'!$H$8&amp;'Region-Time Slices'!J9</f>
        <v>S04H05</v>
      </c>
      <c r="C31"/>
      <c r="D31" s="8" t="s">
        <v>42</v>
      </c>
      <c r="E31" s="40">
        <f t="shared" si="3"/>
        <v>4.1666666666666664E-2</v>
      </c>
    </row>
    <row r="32" spans="2:5" x14ac:dyDescent="0.4">
      <c r="B32" s="8" t="str">
        <f>'Region-Time Slices'!$H$8&amp;'Region-Time Slices'!J10</f>
        <v>S04H06</v>
      </c>
      <c r="C32"/>
      <c r="D32" s="8" t="s">
        <v>42</v>
      </c>
      <c r="E32" s="40">
        <f t="shared" si="3"/>
        <v>4.1666666666666664E-2</v>
      </c>
    </row>
    <row r="33" spans="2:14" x14ac:dyDescent="0.4">
      <c r="B33" s="8" t="str">
        <f>'Region-Time Slices'!$H$87&amp;'Region-Time Slices'!J11</f>
        <v/>
      </c>
      <c r="C33"/>
      <c r="D33"/>
    </row>
    <row r="42" spans="2:14" x14ac:dyDescent="0.4">
      <c r="B42" s="15"/>
      <c r="C42" s="16"/>
      <c r="D42" s="16"/>
      <c r="E42" s="16"/>
      <c r="F42" s="15"/>
      <c r="G42" s="15"/>
    </row>
    <row r="43" spans="2:14" x14ac:dyDescent="0.4">
      <c r="B43" s="15"/>
      <c r="C43" s="17" t="s">
        <v>47</v>
      </c>
      <c r="D43" s="18" t="s">
        <v>48</v>
      </c>
      <c r="E43" s="19" t="s">
        <v>49</v>
      </c>
      <c r="F43" s="20"/>
      <c r="G43" s="15"/>
    </row>
    <row r="44" spans="2:14" x14ac:dyDescent="0.4">
      <c r="B44" s="21" t="s">
        <v>59</v>
      </c>
      <c r="C44" s="22">
        <v>1</v>
      </c>
      <c r="D44" s="23">
        <f>365/4</f>
        <v>91.25</v>
      </c>
      <c r="E44" s="24">
        <f>D44/$D$48</f>
        <v>0.25</v>
      </c>
      <c r="F44" s="25"/>
      <c r="G44" s="15"/>
    </row>
    <row r="45" spans="2:14" x14ac:dyDescent="0.4">
      <c r="B45" s="26" t="s">
        <v>60</v>
      </c>
      <c r="C45" s="27">
        <v>2</v>
      </c>
      <c r="D45" s="23">
        <f t="shared" ref="D45:D47" si="4">365/4</f>
        <v>91.25</v>
      </c>
      <c r="E45" s="24">
        <f t="shared" ref="E45:E47" si="5">D45/$D$48</f>
        <v>0.25</v>
      </c>
      <c r="F45" s="25"/>
      <c r="G45" s="15"/>
    </row>
    <row r="46" spans="2:14" x14ac:dyDescent="0.4">
      <c r="B46" s="15" t="s">
        <v>61</v>
      </c>
      <c r="C46" s="15">
        <v>3</v>
      </c>
      <c r="D46" s="23">
        <f t="shared" si="4"/>
        <v>91.25</v>
      </c>
      <c r="E46" s="24">
        <f t="shared" si="5"/>
        <v>0.25</v>
      </c>
      <c r="F46" s="31"/>
      <c r="G46" s="15"/>
    </row>
    <row r="47" spans="2:14" x14ac:dyDescent="0.4">
      <c r="B47" s="39" t="s">
        <v>62</v>
      </c>
      <c r="C47" s="39">
        <v>4</v>
      </c>
      <c r="D47" s="28">
        <f t="shared" si="4"/>
        <v>91.25</v>
      </c>
      <c r="E47" s="24">
        <f t="shared" si="5"/>
        <v>0.25</v>
      </c>
      <c r="F47" s="15"/>
      <c r="G47" s="15"/>
      <c r="I47" s="8" t="s">
        <v>78</v>
      </c>
      <c r="K47" s="8" t="s">
        <v>79</v>
      </c>
      <c r="L47" s="8" t="s">
        <v>80</v>
      </c>
      <c r="M47" s="8" t="s">
        <v>81</v>
      </c>
      <c r="N47" s="8" t="s">
        <v>82</v>
      </c>
    </row>
    <row r="48" spans="2:14" x14ac:dyDescent="0.4">
      <c r="D48" s="8">
        <f>SUM(D44:D47)</f>
        <v>365</v>
      </c>
      <c r="E48" s="32"/>
      <c r="F48" s="15"/>
      <c r="G48" s="15"/>
      <c r="H48" s="8" t="s">
        <v>63</v>
      </c>
      <c r="I48" s="8">
        <v>4</v>
      </c>
      <c r="K48" s="40">
        <f>$I48/24*$E$44</f>
        <v>4.1666666666666664E-2</v>
      </c>
      <c r="L48" s="40">
        <f>$I48/24*$E$45</f>
        <v>4.1666666666666664E-2</v>
      </c>
      <c r="M48" s="40">
        <f>$I48/24*$E$46</f>
        <v>4.1666666666666664E-2</v>
      </c>
      <c r="N48" s="40">
        <f>$I48/24*$E$47</f>
        <v>4.1666666666666664E-2</v>
      </c>
    </row>
    <row r="49" spans="4:15" x14ac:dyDescent="0.4">
      <c r="D49" s="29"/>
      <c r="E49" s="30"/>
      <c r="F49" s="31">
        <f>SUM(C49:E49)</f>
        <v>0</v>
      </c>
      <c r="G49" s="15"/>
      <c r="H49" s="8" t="s">
        <v>64</v>
      </c>
      <c r="I49" s="8">
        <v>4</v>
      </c>
      <c r="K49" s="40">
        <f t="shared" ref="K49:K53" si="6">$I49/24*$E$44</f>
        <v>4.1666666666666664E-2</v>
      </c>
      <c r="L49" s="40">
        <f t="shared" ref="L49:L53" si="7">$I49/24*$E$45</f>
        <v>4.1666666666666664E-2</v>
      </c>
      <c r="M49" s="40">
        <f t="shared" ref="M49:M53" si="8">$I49/24*$E$46</f>
        <v>4.1666666666666664E-2</v>
      </c>
      <c r="N49" s="40">
        <f t="shared" ref="N49:N53" si="9">$I49/24*$E$47</f>
        <v>4.1666666666666664E-2</v>
      </c>
    </row>
    <row r="50" spans="4:15" x14ac:dyDescent="0.4">
      <c r="E50" s="31"/>
      <c r="F50" s="31">
        <f>SUM(C50:E50)</f>
        <v>0</v>
      </c>
      <c r="G50" s="15"/>
      <c r="H50" s="8" t="s">
        <v>65</v>
      </c>
      <c r="I50" s="8">
        <v>4</v>
      </c>
      <c r="K50" s="40">
        <f t="shared" si="6"/>
        <v>4.1666666666666664E-2</v>
      </c>
      <c r="L50" s="40">
        <f t="shared" si="7"/>
        <v>4.1666666666666664E-2</v>
      </c>
      <c r="M50" s="40">
        <f t="shared" si="8"/>
        <v>4.1666666666666664E-2</v>
      </c>
      <c r="N50" s="40">
        <f t="shared" si="9"/>
        <v>4.1666666666666664E-2</v>
      </c>
    </row>
    <row r="51" spans="4:15" x14ac:dyDescent="0.4">
      <c r="H51" s="8" t="s">
        <v>66</v>
      </c>
      <c r="I51" s="8">
        <v>4</v>
      </c>
      <c r="K51" s="40">
        <f t="shared" si="6"/>
        <v>4.1666666666666664E-2</v>
      </c>
      <c r="L51" s="40">
        <f t="shared" si="7"/>
        <v>4.1666666666666664E-2</v>
      </c>
      <c r="M51" s="40">
        <f t="shared" si="8"/>
        <v>4.1666666666666664E-2</v>
      </c>
      <c r="N51" s="40">
        <f t="shared" si="9"/>
        <v>4.1666666666666664E-2</v>
      </c>
    </row>
    <row r="52" spans="4:15" x14ac:dyDescent="0.4">
      <c r="H52" s="8" t="s">
        <v>67</v>
      </c>
      <c r="I52" s="8">
        <v>4</v>
      </c>
      <c r="K52" s="40">
        <f t="shared" si="6"/>
        <v>4.1666666666666664E-2</v>
      </c>
      <c r="L52" s="40">
        <f t="shared" si="7"/>
        <v>4.1666666666666664E-2</v>
      </c>
      <c r="M52" s="40">
        <f t="shared" si="8"/>
        <v>4.1666666666666664E-2</v>
      </c>
      <c r="N52" s="40">
        <f t="shared" si="9"/>
        <v>4.1666666666666664E-2</v>
      </c>
    </row>
    <row r="53" spans="4:15" x14ac:dyDescent="0.4">
      <c r="H53" s="8" t="s">
        <v>68</v>
      </c>
      <c r="I53" s="8">
        <v>4</v>
      </c>
      <c r="K53" s="40">
        <f t="shared" si="6"/>
        <v>4.1666666666666664E-2</v>
      </c>
      <c r="L53" s="40">
        <f t="shared" si="7"/>
        <v>4.1666666666666664E-2</v>
      </c>
      <c r="M53" s="40">
        <f t="shared" si="8"/>
        <v>4.1666666666666664E-2</v>
      </c>
      <c r="N53" s="40">
        <f t="shared" si="9"/>
        <v>4.1666666666666664E-2</v>
      </c>
    </row>
    <row r="54" spans="4:15" x14ac:dyDescent="0.4">
      <c r="I54" s="8">
        <f>SUM(I48:I53)</f>
        <v>24</v>
      </c>
      <c r="O54" s="40">
        <f>SUM(K48:N53)</f>
        <v>0.99999999999999956</v>
      </c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6"/>
  <sheetViews>
    <sheetView workbookViewId="0">
      <selection activeCell="B5" sqref="B5"/>
    </sheetView>
  </sheetViews>
  <sheetFormatPr defaultRowHeight="12.3" x14ac:dyDescent="0.4"/>
  <cols>
    <col min="2" max="2" width="11.71875" bestFit="1" customWidth="1"/>
    <col min="4" max="4" width="15.5546875" bestFit="1" customWidth="1"/>
  </cols>
  <sheetData>
    <row r="2" spans="2:5" x14ac:dyDescent="0.4">
      <c r="B2" s="1" t="s">
        <v>35</v>
      </c>
      <c r="D2" s="1" t="s">
        <v>37</v>
      </c>
    </row>
    <row r="3" spans="2:5" ht="12.6" thickBot="1" x14ac:dyDescent="0.45">
      <c r="B3" s="9" t="s">
        <v>36</v>
      </c>
      <c r="D3" s="9" t="s">
        <v>28</v>
      </c>
      <c r="E3" s="14" t="s">
        <v>45</v>
      </c>
    </row>
    <row r="4" spans="2:5" x14ac:dyDescent="0.4">
      <c r="B4" s="12" t="s">
        <v>83</v>
      </c>
      <c r="D4" t="s">
        <v>38</v>
      </c>
      <c r="E4" s="12" t="s">
        <v>44</v>
      </c>
    </row>
    <row r="5" spans="2:5" x14ac:dyDescent="0.4">
      <c r="D5" t="s">
        <v>39</v>
      </c>
      <c r="E5" s="12" t="s">
        <v>46</v>
      </c>
    </row>
    <row r="6" spans="2:5" x14ac:dyDescent="0.4">
      <c r="D6" t="s">
        <v>40</v>
      </c>
      <c r="E6" t="s">
        <v>44</v>
      </c>
    </row>
  </sheetData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Region-Time Slices</vt:lpstr>
      <vt:lpstr>TimePeriods</vt:lpstr>
      <vt:lpstr>Interpol_Extrapol_Defaults</vt:lpstr>
      <vt:lpstr>Constants</vt:lpstr>
      <vt:lpstr>Defaults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Maurizio Gargiulo</cp:lastModifiedBy>
  <cp:lastPrinted>2001-09-28T20:39:50Z</cp:lastPrinted>
  <dcterms:created xsi:type="dcterms:W3CDTF">2001-09-28T18:48:17Z</dcterms:created>
  <dcterms:modified xsi:type="dcterms:W3CDTF">2026-09-04T09:37:51Z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51159143447875</vt:r8>
  </property>
</Properties>
</file>