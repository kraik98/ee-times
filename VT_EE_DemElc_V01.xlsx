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Admin\PycharmProjects\ee-times\"/>
    </mc:Choice>
  </mc:AlternateContent>
  <xr:revisionPtr revIDLastSave="0" documentId="13_ncr:1_{88DB72BC-DADA-40C9-94B1-229B68B95B9D}" xr6:coauthVersionLast="47" xr6:coauthVersionMax="47" xr10:uidLastSave="{00000000-0000-0000-0000-000000000000}"/>
  <bookViews>
    <workbookView xWindow="-120" yWindow="-120" windowWidth="29040" windowHeight="15720" tabRatio="901" activeTab="3" xr2:uid="{00000000-000D-0000-FFFF-FFFF00000000}"/>
  </bookViews>
  <sheets>
    <sheet name="DemTechs_TPS" sheetId="136" r:id="rId1"/>
    <sheet name="Demands" sheetId="134" r:id="rId2"/>
    <sheet name="SUBELCDEMTechs" sheetId="137" r:id="rId3"/>
    <sheet name="SUBELC_Demands" sheetId="138" r:id="rId4"/>
  </sheets>
  <externalReferences>
    <externalReference r:id="rId5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38" l="1"/>
  <c r="C9" i="138"/>
  <c r="C10" i="138"/>
  <c r="C7" i="138"/>
  <c r="E20" i="137"/>
  <c r="E21" i="137"/>
  <c r="E22" i="137"/>
  <c r="E19" i="137"/>
  <c r="D20" i="137"/>
  <c r="D21" i="137"/>
  <c r="D22" i="137"/>
  <c r="D19" i="137"/>
  <c r="C20" i="137"/>
  <c r="C21" i="137"/>
  <c r="C22" i="137"/>
  <c r="C19" i="137"/>
  <c r="J18" i="137"/>
  <c r="I18" i="137"/>
  <c r="F18" i="137"/>
  <c r="P34" i="134" l="1"/>
  <c r="C7" i="134" l="1"/>
  <c r="K29" i="134" s="1"/>
  <c r="B12" i="136"/>
  <c r="D12" i="136"/>
  <c r="K16" i="134" l="1"/>
  <c r="K17" i="134"/>
  <c r="K18" i="134"/>
  <c r="K19" i="134"/>
  <c r="K30" i="134"/>
  <c r="K20" i="134"/>
  <c r="K7" i="134"/>
  <c r="K21" i="134"/>
  <c r="K8" i="134"/>
  <c r="K22" i="134"/>
  <c r="K9" i="134"/>
  <c r="K23" i="134"/>
  <c r="K10" i="134"/>
  <c r="K24" i="134"/>
  <c r="K11" i="134"/>
  <c r="K25" i="134"/>
  <c r="K12" i="134"/>
  <c r="K26" i="134"/>
  <c r="K13" i="134"/>
  <c r="K27" i="134"/>
  <c r="K14" i="134"/>
  <c r="K28" i="134"/>
  <c r="K15" i="134"/>
  <c r="H11" i="136"/>
  <c r="I11" i="136"/>
  <c r="E11" i="1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S6" authorId="0" shapeId="0" xr:uid="{6427DCF2-07B1-4689-ACCA-860F12C1F7C7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X6" authorId="1" shapeId="0" xr:uid="{FE3400CE-D96E-4FE5-BD07-EA12F99EE43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Y6" authorId="2" shapeId="0" xr:uid="{8DC047D6-E89E-45E9-980A-DF49A30415F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Z6" authorId="2" shapeId="0" xr:uid="{B60F0A83-F9D6-44F4-B1B2-31F7707A69F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A6" authorId="2" shapeId="0" xr:uid="{2B498BEA-1081-4088-85A1-1BCBFF765E9E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Y16" authorId="2" shapeId="0" xr:uid="{262E7131-99F0-41E9-9025-290199AF294F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Z16" authorId="1" shapeId="0" xr:uid="{7BE56FCE-5393-4AA0-8D0C-593832235C8F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A16" authorId="2" shapeId="0" xr:uid="{9059D6CB-1B2E-4106-81ED-22FDFBB8148D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S17" authorId="2" shapeId="0" xr:uid="{B4863F54-CA2E-4E29-A684-C0AE0DB06B5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<sst xmlns="http://schemas.openxmlformats.org/spreadsheetml/2006/main" count="254" uniqueCount="121">
  <si>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</si>
  <si>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</si>
  <si>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</si>
  <si>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</si>
  <si>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</si>
  <si>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</si>
  <si>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</si>
  <si>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</si>
  <si>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</si>
  <si>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</si>
  <si>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</si>
  <si>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</si>
  <si>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</si>
  <si>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</si>
  <si>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</si>
  <si>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</si>
  <si>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</si>
  <si>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</si>
  <si>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</si>
  <si>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</si>
  <si>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</si>
  <si>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</si>
  <si>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</si>
  <si>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</si>
  <si>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</si>
  <si>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</si>
  <si>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</si>
  <si>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</si>
  <si>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</si>
  <si>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</si>
  <si>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</si>
  <si>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</si>
  <si>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</si>
  <si>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</si>
  <si>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</si>
  <si>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</si>
  <si>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</si>
  <si>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</si>
  <si>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</si>
  <si>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</si>
  <si>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</si>
  <si>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</si>
  <si>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</si>
  <si>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Sector Name</t>
  </si>
  <si>
    <t>Description</t>
  </si>
  <si>
    <t>Default Unit</t>
  </si>
  <si>
    <t>Currency Unit</t>
  </si>
  <si>
    <t>Attribute</t>
  </si>
  <si>
    <t>*</t>
  </si>
  <si>
    <t>Demand Commodity Name</t>
  </si>
  <si>
    <t>DEM</t>
  </si>
  <si>
    <t>*Units</t>
  </si>
  <si>
    <t>Type</t>
  </si>
  <si>
    <t>Existing</t>
  </si>
  <si>
    <t>STOCK</t>
  </si>
  <si>
    <t>EFF</t>
  </si>
  <si>
    <t>AFA</t>
  </si>
  <si>
    <t>INVCOST</t>
  </si>
  <si>
    <t>FIXOM</t>
  </si>
  <si>
    <t>LIFE</t>
  </si>
  <si>
    <t>Existing Installed Capacity</t>
  </si>
  <si>
    <t>Efficiency</t>
  </si>
  <si>
    <t>Utilisation Factor</t>
  </si>
  <si>
    <t>Invesctment Cost</t>
  </si>
  <si>
    <t>Fixed O&amp;M Cost</t>
  </si>
  <si>
    <t>Years</t>
  </si>
  <si>
    <t>DMD</t>
  </si>
  <si>
    <t>Lifetime</t>
  </si>
  <si>
    <t>Demand of electricity in all sectors</t>
  </si>
  <si>
    <t>DEMELC</t>
  </si>
  <si>
    <t>Timeslice</t>
  </si>
  <si>
    <t>ATTRIBUTE</t>
  </si>
  <si>
    <t>COM_FR</t>
  </si>
  <si>
    <t>DTECHELC</t>
  </si>
  <si>
    <t>Demand of Electricity</t>
  </si>
  <si>
    <t>S01H01</t>
  </si>
  <si>
    <t>S01H02</t>
  </si>
  <si>
    <t>S01H03</t>
  </si>
  <si>
    <t>S01H04</t>
  </si>
  <si>
    <t>S01H05</t>
  </si>
  <si>
    <t>S01H06</t>
  </si>
  <si>
    <t>S02H01</t>
  </si>
  <si>
    <t>S02H02</t>
  </si>
  <si>
    <t>S02H03</t>
  </si>
  <si>
    <t>S02H04</t>
  </si>
  <si>
    <t>S02H05</t>
  </si>
  <si>
    <t>S02H06</t>
  </si>
  <si>
    <t>S03H01</t>
  </si>
  <si>
    <t>S03H02</t>
  </si>
  <si>
    <t>S03H03</t>
  </si>
  <si>
    <t>S03H04</t>
  </si>
  <si>
    <t>S03H05</t>
  </si>
  <si>
    <t>S03H06</t>
  </si>
  <si>
    <t>S04H01</t>
  </si>
  <si>
    <t>S04H02</t>
  </si>
  <si>
    <t>S04H03</t>
  </si>
  <si>
    <t>S04H04</t>
  </si>
  <si>
    <t>S04H05</t>
  </si>
  <si>
    <t>S04H06</t>
  </si>
  <si>
    <t>TWh</t>
  </si>
  <si>
    <t>GW</t>
  </si>
  <si>
    <t>CAP2ACT</t>
  </si>
  <si>
    <t>Capacity to Activity Factor</t>
  </si>
  <si>
    <t>ELC</t>
  </si>
  <si>
    <t>DEMELC_COM</t>
  </si>
  <si>
    <t>DEMELC_RSD</t>
  </si>
  <si>
    <t>DEMELC_IND</t>
  </si>
  <si>
    <t>DEMELC_TRA</t>
  </si>
  <si>
    <t>Demand of Electricity in Commodity Sector</t>
  </si>
  <si>
    <t>Demand of Electricity in Residential Sector</t>
  </si>
  <si>
    <t>Demand of Electricity in Industry Sector</t>
  </si>
  <si>
    <t>Demand of Electricity in Transport Sector</t>
  </si>
  <si>
    <t>DTECHELC_COM</t>
  </si>
  <si>
    <t>DTECHELC_RSD</t>
  </si>
  <si>
    <t>DTECHELC_IND</t>
  </si>
  <si>
    <t>DTECHELC_TRA</t>
  </si>
  <si>
    <t>Demand Technologies of Electricity in Commodity Sector</t>
  </si>
  <si>
    <t>Demand Technologies of Electricity in Residential Sector</t>
  </si>
  <si>
    <t>Demand Technologies of Electricity in Transport Sector</t>
  </si>
  <si>
    <t>Demand Technologies of Electricity in Industry Sector</t>
  </si>
  <si>
    <t>FI_T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</si>
</sst>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Te\x\t"/>
  </numFmts>
  <fonts count="16" x14ac:knownFonts="1"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  <charset val="186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43" fontId="8" fillId="0" borderId="0" applyFon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9" fontId="15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vertical="center"/>
    </xf>
    <xf numFmtId="0" fontId="4" fillId="0" borderId="0" xfId="0" applyFont="1"/>
    <xf numFmtId="0" fontId="4" fillId="0" borderId="0" xfId="8" applyFont="1" applyAlignment="1">
      <alignment horizontal="left"/>
    </xf>
    <xf numFmtId="1" fontId="0" fillId="0" borderId="0" xfId="0" applyNumberFormat="1"/>
    <xf numFmtId="0" fontId="9" fillId="4" borderId="0" xfId="2"/>
    <xf numFmtId="0" fontId="13" fillId="3" borderId="2" xfId="1" applyFont="1" applyBorder="1" applyAlignment="1">
      <alignment horizontal="center" wrapText="1"/>
    </xf>
    <xf numFmtId="0" fontId="13" fillId="3" borderId="2" xfId="1" applyFont="1" applyBorder="1" applyAlignment="1">
      <alignment horizontal="left" wrapText="1"/>
    </xf>
    <xf numFmtId="0" fontId="13" fillId="3" borderId="1" xfId="1" applyFont="1" applyBorder="1" applyAlignment="1">
      <alignment horizontal="left" wrapText="1"/>
    </xf>
    <xf numFmtId="0" fontId="0" fillId="0" borderId="0" xfId="0" applyAlignment="1">
      <alignment wrapText="1"/>
    </xf>
    <xf numFmtId="1" fontId="3" fillId="0" borderId="0" xfId="6" applyNumberFormat="1"/>
    <xf numFmtId="0" fontId="0" fillId="7" borderId="0" xfId="0" applyFill="1"/>
    <xf numFmtId="0" fontId="12" fillId="0" borderId="0" xfId="4" applyFont="1" applyFill="1"/>
    <xf numFmtId="0" fontId="3" fillId="0" borderId="0" xfId="8" applyAlignment="1">
      <alignment horizontal="left"/>
    </xf>
    <xf numFmtId="0" fontId="3" fillId="0" borderId="0" xfId="8" applyAlignment="1">
      <alignment horizontal="right"/>
    </xf>
    <xf numFmtId="0" fontId="14" fillId="0" borderId="0" xfId="0" applyFont="1"/>
    <xf numFmtId="0" fontId="2" fillId="2" borderId="1" xfId="8" applyFont="1" applyFill="1" applyBorder="1" applyAlignment="1">
      <alignment horizontal="left" vertical="center"/>
    </xf>
    <xf numFmtId="0" fontId="13" fillId="3" borderId="4" xfId="1" applyFont="1" applyBorder="1" applyAlignment="1">
      <alignment horizontal="center" wrapText="1"/>
    </xf>
    <xf numFmtId="2" fontId="0" fillId="7" borderId="0" xfId="0" applyNumberFormat="1" applyFill="1"/>
    <xf numFmtId="2" fontId="0" fillId="0" borderId="0" xfId="0" applyNumberFormat="1"/>
    <xf numFmtId="0" fontId="13" fillId="3" borderId="3" xfId="1" applyFont="1" applyBorder="1" applyAlignment="1">
      <alignment horizontal="left" wrapText="1"/>
    </xf>
    <xf numFmtId="0" fontId="2" fillId="2" borderId="1" xfId="8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3" fillId="0" borderId="0" xfId="1" applyFont="1" applyFill="1" applyBorder="1" applyAlignment="1">
      <alignment horizontal="left" wrapText="1"/>
    </xf>
    <xf numFmtId="164" fontId="4" fillId="0" borderId="0" xfId="0" applyNumberFormat="1" applyFont="1"/>
    <xf numFmtId="164" fontId="3" fillId="0" borderId="0" xfId="0" applyNumberFormat="1" applyFont="1"/>
    <xf numFmtId="164" fontId="2" fillId="2" borderId="1" xfId="0" applyNumberFormat="1" applyFont="1" applyFill="1" applyBorder="1" applyAlignment="1">
      <alignment horizontal="left"/>
    </xf>
    <xf numFmtId="164" fontId="2" fillId="2" borderId="3" xfId="0" applyNumberFormat="1" applyFont="1" applyFill="1" applyBorder="1" applyAlignment="1">
      <alignment horizontal="left"/>
    </xf>
    <xf numFmtId="164" fontId="13" fillId="3" borderId="2" xfId="1" applyNumberFormat="1" applyFont="1" applyBorder="1" applyAlignment="1">
      <alignment horizontal="left" wrapText="1"/>
    </xf>
    <xf numFmtId="164" fontId="0" fillId="0" borderId="0" xfId="0" applyNumberFormat="1"/>
    <xf numFmtId="0" fontId="2" fillId="2" borderId="0" xfId="0" applyFont="1" applyFill="1" applyAlignment="1">
      <alignment vertical="center"/>
    </xf>
    <xf numFmtId="164" fontId="0" fillId="9" borderId="0" xfId="0" applyNumberFormat="1" applyFill="1"/>
    <xf numFmtId="9" fontId="0" fillId="9" borderId="0" xfId="0" applyNumberFormat="1" applyFill="1"/>
    <xf numFmtId="2" fontId="3" fillId="8" borderId="0" xfId="5" applyNumberFormat="1" applyFont="1" applyFill="1"/>
    <xf numFmtId="9" fontId="0" fillId="9" borderId="0" xfId="17" applyFont="1" applyFill="1"/>
    <xf numFmtId="9" fontId="0" fillId="0" borderId="0" xfId="0" applyNumberFormat="1"/>
    <xf numFmtId="0" fontId="15" fillId="0" borderId="0" xfId="0" applyFont="1"/>
    <xf numFmtId="164" fontId="15" fillId="0" borderId="0" xfId="0" applyNumberFormat="1" applyFont="1"/>
  </cellXfs>
  <cellStyles count="18">
    <cellStyle name="20% - Accent5" xfId="1" builtinId="46"/>
    <cellStyle name="Accent2" xfId="2" builtinId="33"/>
    <cellStyle name="Comma 2" xfId="3" xr:uid="{00000000-0005-0000-0000-000004000000}"/>
    <cellStyle name="Good" xfId="4" builtinId="26"/>
    <cellStyle name="Neutral" xfId="5" builtinId="28"/>
    <cellStyle name="Normal" xfId="0" builtinId="0"/>
    <cellStyle name="Normal 10" xfId="6" xr:uid="{00000000-0005-0000-0000-000009000000}"/>
    <cellStyle name="Normal 2" xfId="7" xr:uid="{00000000-0005-0000-0000-00000A000000}"/>
    <cellStyle name="Normal 4" xfId="8" xr:uid="{00000000-0005-0000-0000-00000B000000}"/>
    <cellStyle name="Normal 4 2" xfId="9" xr:uid="{00000000-0005-0000-0000-00000C000000}"/>
    <cellStyle name="Normal 8" xfId="10" xr:uid="{00000000-0005-0000-0000-00000D000000}"/>
    <cellStyle name="Normal 9 2" xfId="11" xr:uid="{00000000-0005-0000-0000-00000E000000}"/>
    <cellStyle name="Normale_B2020" xfId="12" xr:uid="{00000000-0005-0000-0000-00000F000000}"/>
    <cellStyle name="Percent" xfId="17" builtinId="5"/>
    <cellStyle name="Percent 2" xfId="13" xr:uid="{00000000-0005-0000-0000-000011000000}"/>
    <cellStyle name="Percent 3" xfId="14" xr:uid="{00000000-0005-0000-0000-000012000000}"/>
    <cellStyle name="Percent 4" xfId="15" xr:uid="{00000000-0005-0000-0000-000013000000}"/>
    <cellStyle name="Standard_Sce_D_Extraction" xfId="16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173354</xdr:colOff>
      <xdr:row>13</xdr:row>
      <xdr:rowOff>144780</xdr:rowOff>
    </xdr:from>
    <xdr:to>
      <xdr:col>17</xdr:col>
      <xdr:colOff>57254</xdr:colOff>
      <xdr:row>18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A526C4-1FCA-4856-8834-3BCE914C093D}"/>
            </a:ext>
          </a:extLst>
        </xdr:cNvPr>
        <xdr:cNvSpPr txBox="1"/>
      </xdr:nvSpPr>
      <xdr:spPr>
        <a:xfrm>
          <a:off x="6678929" y="3145155"/>
          <a:ext cx="7141950" cy="8077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7"/>
  <sheetViews>
    <sheetView zoomScale="91" zoomScaleNormal="120" workbookViewId="0">
      <selection activeCell="E24" sqref="E24"/>
    </sheetView>
  </sheetViews>
  <sheetFormatPr defaultRowHeight="12.75" x14ac:dyDescent="0.2"/>
  <cols>
    <col min="1" max="1" width="3" customWidth="1"/>
    <col min="2" max="2" width="12.140625" bestFit="1" customWidth="1"/>
    <col min="3" max="3" width="15" customWidth="1"/>
    <col min="4" max="4" width="13.85546875" bestFit="1" customWidth="1"/>
    <col min="5" max="5" width="12.28515625" bestFit="1" customWidth="1"/>
    <col min="6" max="6" width="12.140625" bestFit="1" customWidth="1"/>
    <col min="7" max="7" width="7.42578125" bestFit="1" customWidth="1"/>
    <col min="8" max="9" width="9.28515625" bestFit="1" customWidth="1"/>
    <col min="10" max="10" width="9.7109375" bestFit="1" customWidth="1"/>
    <col min="11" max="11" width="6.28515625" bestFit="1" customWidth="1"/>
    <col min="12" max="12" width="12.7109375" bestFit="1" customWidth="1"/>
    <col min="13" max="13" width="12.42578125" bestFit="1" customWidth="1"/>
    <col min="14" max="14" width="11.42578125" bestFit="1" customWidth="1"/>
    <col min="15" max="15" width="42.5703125" bestFit="1" customWidth="1"/>
    <col min="16" max="16" width="7.42578125" bestFit="1" customWidth="1"/>
    <col min="17" max="17" width="11.7109375" customWidth="1"/>
    <col min="18" max="18" width="13.42578125" customWidth="1"/>
    <col min="19" max="19" width="13.85546875" customWidth="1"/>
    <col min="20" max="20" width="8.42578125" customWidth="1"/>
  </cols>
  <sheetData>
    <row r="1" spans="2:21" ht="15" x14ac:dyDescent="0.25">
      <c r="B1" s="6" t="s">
        <v>43</v>
      </c>
      <c r="C1" s="6" t="s">
        <v>44</v>
      </c>
      <c r="D1" s="6" t="s">
        <v>52</v>
      </c>
      <c r="E1" s="6" t="s">
        <v>45</v>
      </c>
      <c r="F1" s="6" t="s">
        <v>46</v>
      </c>
      <c r="H1" s="6" t="s">
        <v>53</v>
      </c>
    </row>
    <row r="2" spans="2:21" x14ac:dyDescent="0.2">
      <c r="L2" s="25" t="s">
        <v>14</v>
      </c>
      <c r="M2" s="25"/>
      <c r="N2" s="26"/>
      <c r="O2" s="26"/>
      <c r="P2" s="26"/>
      <c r="Q2" s="26"/>
      <c r="R2" s="26"/>
      <c r="S2" s="26"/>
      <c r="T2" s="26"/>
    </row>
    <row r="3" spans="2:21" x14ac:dyDescent="0.2">
      <c r="L3" s="27" t="s">
        <v>7</v>
      </c>
      <c r="M3" s="28" t="s">
        <v>30</v>
      </c>
      <c r="N3" s="27" t="s">
        <v>0</v>
      </c>
      <c r="O3" s="27" t="s">
        <v>3</v>
      </c>
      <c r="P3" s="27" t="s">
        <v>4</v>
      </c>
      <c r="Q3" s="27" t="s">
        <v>8</v>
      </c>
      <c r="R3" s="27" t="s">
        <v>9</v>
      </c>
      <c r="S3" s="27" t="s">
        <v>10</v>
      </c>
      <c r="T3" s="27" t="s">
        <v>12</v>
      </c>
    </row>
    <row r="4" spans="2:21" ht="23.25" thickBot="1" x14ac:dyDescent="0.25">
      <c r="L4" s="29" t="s">
        <v>36</v>
      </c>
      <c r="M4" s="29" t="s">
        <v>31</v>
      </c>
      <c r="N4" s="29" t="s">
        <v>26</v>
      </c>
      <c r="O4" s="29" t="s">
        <v>27</v>
      </c>
      <c r="P4" s="29" t="s">
        <v>4</v>
      </c>
      <c r="Q4" s="29" t="s">
        <v>39</v>
      </c>
      <c r="R4" s="29" t="s">
        <v>40</v>
      </c>
      <c r="S4" s="29" t="s">
        <v>28</v>
      </c>
      <c r="T4" s="29" t="s">
        <v>29</v>
      </c>
    </row>
    <row r="5" spans="2:21" ht="15.75" x14ac:dyDescent="0.25">
      <c r="B5" s="13"/>
      <c r="C5" s="13"/>
      <c r="D5" s="13"/>
      <c r="E5" s="13"/>
      <c r="F5" s="13"/>
      <c r="L5" t="s">
        <v>50</v>
      </c>
      <c r="N5" t="s">
        <v>69</v>
      </c>
      <c r="O5" t="s">
        <v>68</v>
      </c>
      <c r="P5" t="s">
        <v>99</v>
      </c>
      <c r="Q5" s="26"/>
      <c r="R5" s="26"/>
      <c r="S5" s="26"/>
      <c r="T5" s="26"/>
    </row>
    <row r="8" spans="2:21" x14ac:dyDescent="0.2">
      <c r="D8" s="4" t="s">
        <v>13</v>
      </c>
      <c r="E8" s="4"/>
      <c r="F8" s="4"/>
      <c r="H8" s="4"/>
      <c r="I8" s="14"/>
      <c r="J8" s="15"/>
      <c r="M8" s="25" t="s">
        <v>15</v>
      </c>
      <c r="N8" s="30"/>
      <c r="O8" s="30"/>
      <c r="P8" s="30"/>
      <c r="Q8" s="30"/>
      <c r="R8" s="30"/>
      <c r="S8" s="30"/>
      <c r="T8" s="30"/>
    </row>
    <row r="9" spans="2:21" x14ac:dyDescent="0.2">
      <c r="B9" s="17" t="s">
        <v>1</v>
      </c>
      <c r="C9" s="17" t="s">
        <v>5</v>
      </c>
      <c r="D9" s="17" t="s">
        <v>6</v>
      </c>
      <c r="E9" s="22" t="s">
        <v>54</v>
      </c>
      <c r="F9" s="17" t="s">
        <v>55</v>
      </c>
      <c r="G9" s="17" t="s">
        <v>56</v>
      </c>
      <c r="H9" s="17" t="s">
        <v>57</v>
      </c>
      <c r="I9" s="17" t="s">
        <v>58</v>
      </c>
      <c r="J9" s="17" t="s">
        <v>101</v>
      </c>
      <c r="K9" s="22" t="s">
        <v>59</v>
      </c>
      <c r="M9" s="27" t="s">
        <v>11</v>
      </c>
      <c r="N9" s="28" t="s">
        <v>30</v>
      </c>
      <c r="O9" s="27" t="s">
        <v>1</v>
      </c>
      <c r="P9" s="27" t="s">
        <v>2</v>
      </c>
      <c r="Q9" s="27" t="s">
        <v>16</v>
      </c>
      <c r="R9" s="27" t="s">
        <v>17</v>
      </c>
      <c r="S9" s="27" t="s">
        <v>18</v>
      </c>
      <c r="T9" s="27" t="s">
        <v>19</v>
      </c>
      <c r="U9" s="27" t="s">
        <v>20</v>
      </c>
    </row>
    <row r="10" spans="2:21" ht="36.75" customHeight="1" thickBot="1" x14ac:dyDescent="0.25">
      <c r="B10" s="9" t="s">
        <v>38</v>
      </c>
      <c r="C10" s="9" t="s">
        <v>32</v>
      </c>
      <c r="D10" s="9" t="s">
        <v>33</v>
      </c>
      <c r="E10" s="9" t="s">
        <v>60</v>
      </c>
      <c r="F10" s="9" t="s">
        <v>61</v>
      </c>
      <c r="G10" s="21" t="s">
        <v>62</v>
      </c>
      <c r="H10" s="9" t="s">
        <v>63</v>
      </c>
      <c r="I10" s="9" t="s">
        <v>64</v>
      </c>
      <c r="J10" s="9" t="s">
        <v>102</v>
      </c>
      <c r="K10" s="9" t="s">
        <v>67</v>
      </c>
      <c r="M10" s="29" t="s">
        <v>37</v>
      </c>
      <c r="N10" s="29" t="s">
        <v>31</v>
      </c>
      <c r="O10" s="29" t="s">
        <v>21</v>
      </c>
      <c r="P10" s="29" t="s">
        <v>22</v>
      </c>
      <c r="Q10" s="29" t="s">
        <v>23</v>
      </c>
      <c r="R10" s="29" t="s">
        <v>24</v>
      </c>
      <c r="S10" s="29" t="s">
        <v>42</v>
      </c>
      <c r="T10" s="29" t="s">
        <v>41</v>
      </c>
      <c r="U10" s="29" t="s">
        <v>25</v>
      </c>
    </row>
    <row r="11" spans="2:21" ht="13.5" thickBot="1" x14ac:dyDescent="0.25">
      <c r="B11" s="8" t="s">
        <v>51</v>
      </c>
      <c r="C11" s="8"/>
      <c r="D11" s="8"/>
      <c r="E11" s="7" t="str">
        <f>E2&amp;"a"</f>
        <v>a</v>
      </c>
      <c r="F11" s="7"/>
      <c r="G11" s="18"/>
      <c r="H11" s="7" t="str">
        <f>$F$2&amp;"/"&amp;$E$2</f>
        <v>/</v>
      </c>
      <c r="I11" s="7" t="str">
        <f>$F$2&amp;"/"&amp;$E$2&amp;"a"</f>
        <v>/a</v>
      </c>
      <c r="J11" s="7"/>
      <c r="K11" s="7" t="s">
        <v>65</v>
      </c>
      <c r="M11" s="29" t="s">
        <v>48</v>
      </c>
      <c r="N11" s="29"/>
      <c r="O11" s="29"/>
      <c r="P11" s="29"/>
      <c r="Q11" s="29"/>
      <c r="R11" s="29"/>
      <c r="S11" s="29"/>
      <c r="T11" s="29"/>
      <c r="U11" s="29"/>
    </row>
    <row r="12" spans="2:21" x14ac:dyDescent="0.2">
      <c r="B12" s="30" t="str">
        <f>O12</f>
        <v>DTECHELC</v>
      </c>
      <c r="C12" t="s">
        <v>103</v>
      </c>
      <c r="D12" t="str">
        <f>N5</f>
        <v>DEMELC</v>
      </c>
      <c r="F12" s="19">
        <v>1</v>
      </c>
      <c r="G12" s="19"/>
      <c r="H12" s="12"/>
      <c r="I12" s="19"/>
      <c r="J12" s="19">
        <v>8.76</v>
      </c>
      <c r="K12" s="12">
        <v>20</v>
      </c>
      <c r="M12" s="26" t="s">
        <v>66</v>
      </c>
      <c r="N12" s="30"/>
      <c r="O12" s="30" t="s">
        <v>73</v>
      </c>
      <c r="P12" s="30" t="s">
        <v>74</v>
      </c>
      <c r="Q12" s="32" t="s">
        <v>99</v>
      </c>
      <c r="R12" s="32" t="s">
        <v>100</v>
      </c>
      <c r="S12" s="30"/>
      <c r="T12" s="30"/>
      <c r="U12" s="30"/>
    </row>
    <row r="13" spans="2:21" x14ac:dyDescent="0.2">
      <c r="E13" s="5"/>
      <c r="F13" s="20"/>
      <c r="G13" s="20"/>
      <c r="I13" s="20"/>
      <c r="O13" s="10"/>
    </row>
    <row r="14" spans="2:21" x14ac:dyDescent="0.2">
      <c r="E14" s="5"/>
      <c r="F14" s="20"/>
      <c r="G14" s="20"/>
      <c r="I14" s="20"/>
      <c r="O14" s="10"/>
    </row>
    <row r="17" spans="9:11" x14ac:dyDescent="0.2">
      <c r="I17" s="16"/>
    </row>
    <row r="18" spans="9:11" x14ac:dyDescent="0.2">
      <c r="I18" s="16"/>
    </row>
    <row r="24" spans="9:11" x14ac:dyDescent="0.2">
      <c r="K24" s="1"/>
    </row>
    <row r="25" spans="9:11" x14ac:dyDescent="0.2">
      <c r="K25" s="1"/>
    </row>
    <row r="26" spans="9:11" x14ac:dyDescent="0.2">
      <c r="K26" s="1"/>
    </row>
    <row r="27" spans="9:11" x14ac:dyDescent="0.2">
      <c r="K27" s="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P34"/>
  <sheetViews>
    <sheetView zoomScale="87" zoomScaleNormal="140" workbookViewId="0">
      <selection activeCell="G14" sqref="G14"/>
    </sheetView>
  </sheetViews>
  <sheetFormatPr defaultRowHeight="12.75" x14ac:dyDescent="0.2"/>
  <cols>
    <col min="1" max="1" width="2" bestFit="1" customWidth="1"/>
    <col min="2" max="2" width="11.5703125" bestFit="1" customWidth="1"/>
    <col min="3" max="3" width="25.28515625" bestFit="1" customWidth="1"/>
    <col min="4" max="4" width="10.28515625" bestFit="1" customWidth="1"/>
    <col min="5" max="5" width="10.85546875" bestFit="1" customWidth="1"/>
    <col min="6" max="9" width="12.42578125" customWidth="1"/>
    <col min="10" max="10" width="7.28515625" customWidth="1"/>
    <col min="11" max="11" width="11.42578125" bestFit="1" customWidth="1"/>
  </cols>
  <sheetData>
    <row r="3" spans="2:13" x14ac:dyDescent="0.2">
      <c r="C3" s="3" t="s">
        <v>13</v>
      </c>
      <c r="D3" s="3"/>
      <c r="E3" s="1"/>
      <c r="J3" s="4" t="s">
        <v>120</v>
      </c>
    </row>
    <row r="4" spans="2:13" x14ac:dyDescent="0.2">
      <c r="B4" s="2" t="s">
        <v>47</v>
      </c>
      <c r="C4" s="2" t="s">
        <v>0</v>
      </c>
      <c r="D4" s="2">
        <v>2025</v>
      </c>
      <c r="I4" s="23"/>
      <c r="J4" s="31" t="s">
        <v>71</v>
      </c>
      <c r="K4" s="23" t="s">
        <v>0</v>
      </c>
      <c r="L4" s="23" t="s">
        <v>70</v>
      </c>
      <c r="M4" s="23">
        <v>2025</v>
      </c>
    </row>
    <row r="5" spans="2:13" ht="22.5" x14ac:dyDescent="0.2">
      <c r="B5" s="9" t="s">
        <v>48</v>
      </c>
      <c r="C5" s="9" t="s">
        <v>49</v>
      </c>
      <c r="D5" s="9" t="s">
        <v>35</v>
      </c>
      <c r="I5" s="24"/>
      <c r="J5" s="24" t="s">
        <v>48</v>
      </c>
      <c r="L5" s="24"/>
      <c r="M5" s="24"/>
    </row>
    <row r="6" spans="2:13" ht="13.5" thickBot="1" x14ac:dyDescent="0.25">
      <c r="B6" s="8" t="s">
        <v>51</v>
      </c>
      <c r="C6" s="8"/>
      <c r="D6" s="8"/>
      <c r="I6" s="24"/>
      <c r="J6" s="24" t="s">
        <v>48</v>
      </c>
      <c r="L6" s="24"/>
      <c r="M6" s="24"/>
    </row>
    <row r="7" spans="2:13" x14ac:dyDescent="0.2">
      <c r="B7" t="s">
        <v>34</v>
      </c>
      <c r="C7" t="str">
        <f>DemTechs_TPS!N5</f>
        <v>DEMELC</v>
      </c>
      <c r="D7" s="34"/>
      <c r="J7" t="s">
        <v>72</v>
      </c>
      <c r="K7" t="str">
        <f>$C$7</f>
        <v>DEMELC</v>
      </c>
      <c r="L7" t="s">
        <v>75</v>
      </c>
      <c r="M7" s="33">
        <v>3.9907549910668097E-2</v>
      </c>
    </row>
    <row r="8" spans="2:13" x14ac:dyDescent="0.2">
      <c r="E8" s="5"/>
      <c r="J8" t="s">
        <v>72</v>
      </c>
      <c r="K8" t="str">
        <f t="shared" ref="K8:K30" si="0">$C$7</f>
        <v>DEMELC</v>
      </c>
      <c r="L8" t="s">
        <v>76</v>
      </c>
      <c r="M8" s="33">
        <v>4.2568441071658941E-2</v>
      </c>
    </row>
    <row r="9" spans="2:13" x14ac:dyDescent="0.2">
      <c r="J9" t="s">
        <v>72</v>
      </c>
      <c r="K9" t="str">
        <f t="shared" si="0"/>
        <v>DEMELC</v>
      </c>
      <c r="L9" t="s">
        <v>77</v>
      </c>
      <c r="M9" s="33">
        <v>4.9357090706698532E-2</v>
      </c>
    </row>
    <row r="10" spans="2:13" x14ac:dyDescent="0.2">
      <c r="E10" s="11"/>
      <c r="J10" t="s">
        <v>72</v>
      </c>
      <c r="K10" t="str">
        <f t="shared" si="0"/>
        <v>DEMELC</v>
      </c>
      <c r="L10" t="s">
        <v>78</v>
      </c>
      <c r="M10" s="33">
        <v>4.6935749761719207E-2</v>
      </c>
    </row>
    <row r="11" spans="2:13" x14ac:dyDescent="0.2">
      <c r="E11" s="5"/>
      <c r="J11" t="s">
        <v>72</v>
      </c>
      <c r="K11" t="str">
        <f t="shared" si="0"/>
        <v>DEMELC</v>
      </c>
      <c r="L11" t="s">
        <v>79</v>
      </c>
      <c r="M11" s="33">
        <v>5.0324370403048241E-2</v>
      </c>
    </row>
    <row r="12" spans="2:13" x14ac:dyDescent="0.2">
      <c r="J12" t="s">
        <v>72</v>
      </c>
      <c r="K12" t="str">
        <f t="shared" si="0"/>
        <v>DEMELC</v>
      </c>
      <c r="L12" t="s">
        <v>80</v>
      </c>
      <c r="M12" s="33">
        <v>4.644570688133022E-2</v>
      </c>
    </row>
    <row r="13" spans="2:13" x14ac:dyDescent="0.2">
      <c r="E13" s="5"/>
      <c r="J13" t="s">
        <v>72</v>
      </c>
      <c r="K13" t="str">
        <f t="shared" si="0"/>
        <v>DEMELC</v>
      </c>
      <c r="L13" t="s">
        <v>81</v>
      </c>
      <c r="M13" s="35">
        <v>3.198760977379362E-2</v>
      </c>
    </row>
    <row r="14" spans="2:13" x14ac:dyDescent="0.2">
      <c r="J14" t="s">
        <v>72</v>
      </c>
      <c r="K14" t="str">
        <f t="shared" si="0"/>
        <v>DEMELC</v>
      </c>
      <c r="L14" t="s">
        <v>82</v>
      </c>
      <c r="M14" s="35">
        <v>3.450628688202826E-2</v>
      </c>
    </row>
    <row r="15" spans="2:13" x14ac:dyDescent="0.2">
      <c r="J15" t="s">
        <v>72</v>
      </c>
      <c r="K15" t="str">
        <f t="shared" si="0"/>
        <v>DEMELC</v>
      </c>
      <c r="L15" t="s">
        <v>83</v>
      </c>
      <c r="M15" s="35">
        <v>4.1710976210981882E-2</v>
      </c>
    </row>
    <row r="16" spans="2:13" x14ac:dyDescent="0.2">
      <c r="J16" t="s">
        <v>72</v>
      </c>
      <c r="K16" t="str">
        <f t="shared" si="0"/>
        <v>DEMELC</v>
      </c>
      <c r="L16" t="s">
        <v>84</v>
      </c>
      <c r="M16" s="35">
        <v>4.110700091078253E-2</v>
      </c>
    </row>
    <row r="17" spans="10:13" x14ac:dyDescent="0.2">
      <c r="J17" t="s">
        <v>72</v>
      </c>
      <c r="K17" t="str">
        <f t="shared" si="0"/>
        <v>DEMELC</v>
      </c>
      <c r="L17" t="s">
        <v>85</v>
      </c>
      <c r="M17" s="35">
        <v>3.8350662386599552E-2</v>
      </c>
    </row>
    <row r="18" spans="10:13" x14ac:dyDescent="0.2">
      <c r="J18" t="s">
        <v>72</v>
      </c>
      <c r="K18" t="str">
        <f t="shared" si="0"/>
        <v>DEMELC</v>
      </c>
      <c r="L18" t="s">
        <v>86</v>
      </c>
      <c r="M18" s="35">
        <v>3.7409762931132108E-2</v>
      </c>
    </row>
    <row r="19" spans="10:13" x14ac:dyDescent="0.2">
      <c r="J19" t="s">
        <v>72</v>
      </c>
      <c r="K19" t="str">
        <f t="shared" si="0"/>
        <v>DEMELC</v>
      </c>
      <c r="L19" t="s">
        <v>87</v>
      </c>
      <c r="M19" s="35">
        <v>3.1132436657193206E-2</v>
      </c>
    </row>
    <row r="20" spans="10:13" x14ac:dyDescent="0.2">
      <c r="J20" t="s">
        <v>72</v>
      </c>
      <c r="K20" t="str">
        <f t="shared" si="0"/>
        <v>DEMELC</v>
      </c>
      <c r="L20" t="s">
        <v>88</v>
      </c>
      <c r="M20" s="35">
        <v>3.3429633070020642E-2</v>
      </c>
    </row>
    <row r="21" spans="10:13" x14ac:dyDescent="0.2">
      <c r="J21" t="s">
        <v>72</v>
      </c>
      <c r="K21" t="str">
        <f t="shared" si="0"/>
        <v>DEMELC</v>
      </c>
      <c r="L21" t="s">
        <v>89</v>
      </c>
      <c r="M21" s="35">
        <v>4.2259483749326171E-2</v>
      </c>
    </row>
    <row r="22" spans="10:13" x14ac:dyDescent="0.2">
      <c r="J22" t="s">
        <v>72</v>
      </c>
      <c r="K22" t="str">
        <f t="shared" si="0"/>
        <v>DEMELC</v>
      </c>
      <c r="L22" t="s">
        <v>90</v>
      </c>
      <c r="M22" s="35">
        <v>4.1634467216423117E-2</v>
      </c>
    </row>
    <row r="23" spans="10:13" x14ac:dyDescent="0.2">
      <c r="J23" t="s">
        <v>72</v>
      </c>
      <c r="K23" t="str">
        <f t="shared" si="0"/>
        <v>DEMELC</v>
      </c>
      <c r="L23" t="s">
        <v>91</v>
      </c>
      <c r="M23" s="35">
        <v>3.9259389280991014E-2</v>
      </c>
    </row>
    <row r="24" spans="10:13" x14ac:dyDescent="0.2">
      <c r="J24" t="s">
        <v>72</v>
      </c>
      <c r="K24" t="str">
        <f t="shared" si="0"/>
        <v>DEMELC</v>
      </c>
      <c r="L24" t="s">
        <v>92</v>
      </c>
      <c r="M24" s="35">
        <v>3.742541478765557E-2</v>
      </c>
    </row>
    <row r="25" spans="10:13" x14ac:dyDescent="0.2">
      <c r="J25" t="s">
        <v>72</v>
      </c>
      <c r="K25" t="str">
        <f t="shared" si="0"/>
        <v>DEMELC</v>
      </c>
      <c r="L25" t="s">
        <v>93</v>
      </c>
      <c r="M25" s="35">
        <v>3.8818644082250733E-2</v>
      </c>
    </row>
    <row r="26" spans="10:13" x14ac:dyDescent="0.2">
      <c r="J26" t="s">
        <v>72</v>
      </c>
      <c r="K26" t="str">
        <f t="shared" si="0"/>
        <v>DEMELC</v>
      </c>
      <c r="L26" t="s">
        <v>94</v>
      </c>
      <c r="M26" s="35">
        <v>4.101069729156176E-2</v>
      </c>
    </row>
    <row r="27" spans="10:13" x14ac:dyDescent="0.2">
      <c r="J27" t="s">
        <v>72</v>
      </c>
      <c r="K27" t="str">
        <f t="shared" si="0"/>
        <v>DEMELC</v>
      </c>
      <c r="L27" t="s">
        <v>95</v>
      </c>
      <c r="M27" s="35">
        <v>4.9652911424591967E-2</v>
      </c>
    </row>
    <row r="28" spans="10:13" x14ac:dyDescent="0.2">
      <c r="J28" t="s">
        <v>72</v>
      </c>
      <c r="K28" t="str">
        <f t="shared" si="0"/>
        <v>DEMELC</v>
      </c>
      <c r="L28" t="s">
        <v>96</v>
      </c>
      <c r="M28" s="35">
        <v>4.9211095905815884E-2</v>
      </c>
    </row>
    <row r="29" spans="10:13" x14ac:dyDescent="0.2">
      <c r="J29" t="s">
        <v>72</v>
      </c>
      <c r="K29" t="str">
        <f t="shared" si="0"/>
        <v>DEMELC</v>
      </c>
      <c r="L29" t="s">
        <v>97</v>
      </c>
      <c r="M29" s="35">
        <v>5.0243422728341029E-2</v>
      </c>
    </row>
    <row r="30" spans="10:13" x14ac:dyDescent="0.2">
      <c r="J30" t="s">
        <v>72</v>
      </c>
      <c r="K30" t="str">
        <f t="shared" si="0"/>
        <v>DEMELC</v>
      </c>
      <c r="L30" t="s">
        <v>98</v>
      </c>
      <c r="M30" s="35">
        <v>4.5311195975387637E-2</v>
      </c>
    </row>
    <row r="34" spans="16:16" x14ac:dyDescent="0.2">
      <c r="P34" s="36">
        <f>SUM(M7:M30)</f>
        <v>1.0000000000000002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AA15-8F5C-44DF-A6DB-8A081DD06603}">
  <dimension ref="C5:AA22"/>
  <sheetViews>
    <sheetView topLeftCell="M1" zoomScale="70" workbookViewId="0">
      <selection activeCell="AA24" sqref="AA24"/>
    </sheetView>
  </sheetViews>
  <sheetFormatPr defaultRowHeight="12.75" x14ac:dyDescent="0.2"/>
  <cols>
    <col min="3" max="3" width="16.5703125" bestFit="1" customWidth="1"/>
    <col min="4" max="4" width="14.28515625" bestFit="1" customWidth="1"/>
    <col min="5" max="5" width="19" bestFit="1" customWidth="1"/>
    <col min="21" max="21" width="16.42578125" bestFit="1" customWidth="1"/>
    <col min="22" max="22" width="49.42578125" bestFit="1" customWidth="1"/>
  </cols>
  <sheetData>
    <row r="5" spans="3:27" x14ac:dyDescent="0.2">
      <c r="S5" s="25" t="s">
        <v>14</v>
      </c>
      <c r="T5" s="25"/>
      <c r="U5" s="26"/>
      <c r="V5" s="26"/>
      <c r="W5" s="26"/>
      <c r="X5" s="26"/>
      <c r="Y5" s="26"/>
      <c r="Z5" s="26"/>
      <c r="AA5" s="26"/>
    </row>
    <row r="6" spans="3:27" x14ac:dyDescent="0.2">
      <c r="S6" s="27" t="s">
        <v>7</v>
      </c>
      <c r="T6" s="28" t="s">
        <v>30</v>
      </c>
      <c r="U6" s="27" t="s">
        <v>0</v>
      </c>
      <c r="V6" s="27" t="s">
        <v>3</v>
      </c>
      <c r="W6" s="27" t="s">
        <v>4</v>
      </c>
      <c r="X6" s="27" t="s">
        <v>8</v>
      </c>
      <c r="Y6" s="27" t="s">
        <v>9</v>
      </c>
      <c r="Z6" s="27" t="s">
        <v>10</v>
      </c>
      <c r="AA6" s="27" t="s">
        <v>12</v>
      </c>
    </row>
    <row r="7" spans="3:27" ht="45.75" thickBot="1" x14ac:dyDescent="0.25">
      <c r="S7" s="29" t="s">
        <v>36</v>
      </c>
      <c r="T7" s="29" t="s">
        <v>31</v>
      </c>
      <c r="U7" s="29" t="s">
        <v>26</v>
      </c>
      <c r="V7" s="29" t="s">
        <v>27</v>
      </c>
      <c r="W7" s="29" t="s">
        <v>4</v>
      </c>
      <c r="X7" s="29" t="s">
        <v>39</v>
      </c>
      <c r="Y7" s="29" t="s">
        <v>40</v>
      </c>
      <c r="Z7" s="29" t="s">
        <v>28</v>
      </c>
      <c r="AA7" s="29" t="s">
        <v>29</v>
      </c>
    </row>
    <row r="8" spans="3:27" x14ac:dyDescent="0.2">
      <c r="S8" t="s">
        <v>50</v>
      </c>
      <c r="U8" s="37" t="s">
        <v>104</v>
      </c>
      <c r="V8" s="37" t="s">
        <v>108</v>
      </c>
      <c r="W8" t="s">
        <v>99</v>
      </c>
      <c r="X8" s="26"/>
      <c r="Y8" s="26"/>
      <c r="Z8" s="26"/>
      <c r="AA8" s="26"/>
    </row>
    <row r="9" spans="3:27" x14ac:dyDescent="0.2">
      <c r="S9" t="s">
        <v>50</v>
      </c>
      <c r="U9" s="37" t="s">
        <v>105</v>
      </c>
      <c r="V9" s="37" t="s">
        <v>109</v>
      </c>
      <c r="W9" t="s">
        <v>99</v>
      </c>
    </row>
    <row r="10" spans="3:27" x14ac:dyDescent="0.2">
      <c r="S10" t="s">
        <v>50</v>
      </c>
      <c r="U10" s="37" t="s">
        <v>106</v>
      </c>
      <c r="V10" s="37" t="s">
        <v>110</v>
      </c>
      <c r="W10" t="s">
        <v>99</v>
      </c>
    </row>
    <row r="11" spans="3:27" x14ac:dyDescent="0.2">
      <c r="S11" t="s">
        <v>50</v>
      </c>
      <c r="U11" s="37" t="s">
        <v>107</v>
      </c>
      <c r="V11" s="37" t="s">
        <v>111</v>
      </c>
      <c r="W11" t="s">
        <v>99</v>
      </c>
    </row>
    <row r="15" spans="3:27" x14ac:dyDescent="0.2">
      <c r="E15" s="4" t="s">
        <v>13</v>
      </c>
      <c r="F15" s="4"/>
      <c r="G15" s="4"/>
      <c r="I15" s="4"/>
      <c r="J15" s="14"/>
      <c r="K15" s="15"/>
      <c r="S15" s="25" t="s">
        <v>15</v>
      </c>
      <c r="T15" s="30"/>
      <c r="U15" s="30"/>
      <c r="V15" s="30"/>
      <c r="W15" s="30"/>
      <c r="X15" s="30"/>
      <c r="Y15" s="30"/>
      <c r="Z15" s="30"/>
    </row>
    <row r="16" spans="3:27" x14ac:dyDescent="0.2">
      <c r="C16" s="17" t="s">
        <v>1</v>
      </c>
      <c r="D16" s="17" t="s">
        <v>5</v>
      </c>
      <c r="E16" s="17" t="s">
        <v>6</v>
      </c>
      <c r="F16" s="22" t="s">
        <v>54</v>
      </c>
      <c r="G16" s="17" t="s">
        <v>55</v>
      </c>
      <c r="H16" s="17" t="s">
        <v>56</v>
      </c>
      <c r="I16" s="17" t="s">
        <v>57</v>
      </c>
      <c r="J16" s="17" t="s">
        <v>58</v>
      </c>
      <c r="K16" s="17" t="s">
        <v>101</v>
      </c>
      <c r="L16" s="22" t="s">
        <v>59</v>
      </c>
      <c r="S16" s="27" t="s">
        <v>11</v>
      </c>
      <c r="T16" s="28" t="s">
        <v>30</v>
      </c>
      <c r="U16" s="27" t="s">
        <v>1</v>
      </c>
      <c r="V16" s="27" t="s">
        <v>2</v>
      </c>
      <c r="W16" s="27" t="s">
        <v>16</v>
      </c>
      <c r="X16" s="27" t="s">
        <v>17</v>
      </c>
      <c r="Y16" s="27" t="s">
        <v>18</v>
      </c>
      <c r="Z16" s="27" t="s">
        <v>19</v>
      </c>
      <c r="AA16" s="27" t="s">
        <v>20</v>
      </c>
    </row>
    <row r="17" spans="3:27" ht="45.75" thickBot="1" x14ac:dyDescent="0.25">
      <c r="C17" s="9" t="s">
        <v>38</v>
      </c>
      <c r="D17" s="9" t="s">
        <v>32</v>
      </c>
      <c r="E17" s="9" t="s">
        <v>33</v>
      </c>
      <c r="F17" s="9" t="s">
        <v>60</v>
      </c>
      <c r="G17" s="9" t="s">
        <v>61</v>
      </c>
      <c r="H17" s="21" t="s">
        <v>62</v>
      </c>
      <c r="I17" s="9" t="s">
        <v>63</v>
      </c>
      <c r="J17" s="9" t="s">
        <v>64</v>
      </c>
      <c r="K17" s="9" t="s">
        <v>102</v>
      </c>
      <c r="L17" s="9" t="s">
        <v>67</v>
      </c>
      <c r="S17" s="29" t="s">
        <v>37</v>
      </c>
      <c r="T17" s="29" t="s">
        <v>31</v>
      </c>
      <c r="U17" s="29" t="s">
        <v>21</v>
      </c>
      <c r="V17" s="29" t="s">
        <v>22</v>
      </c>
      <c r="W17" s="29" t="s">
        <v>23</v>
      </c>
      <c r="X17" s="29" t="s">
        <v>24</v>
      </c>
      <c r="Y17" s="29" t="s">
        <v>42</v>
      </c>
      <c r="Z17" s="29" t="s">
        <v>41</v>
      </c>
      <c r="AA17" s="29" t="s">
        <v>25</v>
      </c>
    </row>
    <row r="18" spans="3:27" ht="13.5" thickBot="1" x14ac:dyDescent="0.25">
      <c r="C18" s="8" t="s">
        <v>51</v>
      </c>
      <c r="D18" s="8"/>
      <c r="E18" s="8"/>
      <c r="F18" s="7" t="str">
        <f>E10&amp;"a"</f>
        <v>a</v>
      </c>
      <c r="G18" s="7"/>
      <c r="H18" s="18"/>
      <c r="I18" s="7" t="str">
        <f>$F$2&amp;"/"&amp;$E$2</f>
        <v>/</v>
      </c>
      <c r="J18" s="7" t="str">
        <f>$F$2&amp;"/"&amp;$E$2&amp;"a"</f>
        <v>/a</v>
      </c>
      <c r="K18" s="7"/>
      <c r="L18" s="7" t="s">
        <v>65</v>
      </c>
      <c r="S18" s="29" t="s">
        <v>48</v>
      </c>
      <c r="T18" s="29"/>
      <c r="U18" s="29"/>
      <c r="V18" s="29"/>
      <c r="W18" s="29"/>
      <c r="X18" s="29"/>
      <c r="Y18" s="29"/>
      <c r="Z18" s="29"/>
      <c r="AA18" s="29"/>
    </row>
    <row r="19" spans="3:27" x14ac:dyDescent="0.2">
      <c r="C19" s="30" t="str">
        <f>U19</f>
        <v>DTECHELC_COM</v>
      </c>
      <c r="D19" t="str">
        <f>DemTechs_TPS!$D$12</f>
        <v>DEMELC</v>
      </c>
      <c r="E19" t="str">
        <f>U8</f>
        <v>DEMELC_COM</v>
      </c>
      <c r="G19" s="19">
        <v>1</v>
      </c>
      <c r="H19" s="19"/>
      <c r="I19" s="12"/>
      <c r="J19" s="19"/>
      <c r="K19" s="19">
        <v>8.76</v>
      </c>
      <c r="L19" s="12">
        <v>20</v>
      </c>
      <c r="S19" s="26" t="s">
        <v>66</v>
      </c>
      <c r="T19" s="30"/>
      <c r="U19" s="38" t="s">
        <v>112</v>
      </c>
      <c r="V19" s="37" t="s">
        <v>116</v>
      </c>
      <c r="W19" s="32" t="s">
        <v>99</v>
      </c>
      <c r="X19" s="32" t="s">
        <v>100</v>
      </c>
      <c r="Y19" s="30"/>
      <c r="Z19" s="30"/>
      <c r="AA19" s="30"/>
    </row>
    <row r="20" spans="3:27" x14ac:dyDescent="0.2">
      <c r="C20" s="30" t="str">
        <f t="shared" ref="C20:C22" si="0">U20</f>
        <v>DTECHELC_RSD</v>
      </c>
      <c r="D20" t="str">
        <f>DemTechs_TPS!$D$12</f>
        <v>DEMELC</v>
      </c>
      <c r="E20" t="str">
        <f t="shared" ref="E20:E22" si="1">U9</f>
        <v>DEMELC_RSD</v>
      </c>
      <c r="G20" s="19">
        <v>1</v>
      </c>
      <c r="K20" s="19">
        <v>8.76</v>
      </c>
      <c r="L20" s="12">
        <v>20</v>
      </c>
      <c r="S20" s="26" t="s">
        <v>66</v>
      </c>
      <c r="U20" s="38" t="s">
        <v>113</v>
      </c>
      <c r="V20" s="37" t="s">
        <v>117</v>
      </c>
      <c r="W20" s="32" t="s">
        <v>99</v>
      </c>
      <c r="X20" s="32" t="s">
        <v>100</v>
      </c>
    </row>
    <row r="21" spans="3:27" x14ac:dyDescent="0.2">
      <c r="C21" s="30" t="str">
        <f t="shared" si="0"/>
        <v>DTECHELC_IND</v>
      </c>
      <c r="D21" t="str">
        <f>DemTechs_TPS!$D$12</f>
        <v>DEMELC</v>
      </c>
      <c r="E21" t="str">
        <f t="shared" si="1"/>
        <v>DEMELC_IND</v>
      </c>
      <c r="G21" s="19">
        <v>1</v>
      </c>
      <c r="K21" s="19">
        <v>8.76</v>
      </c>
      <c r="L21" s="12">
        <v>20</v>
      </c>
      <c r="S21" s="26" t="s">
        <v>66</v>
      </c>
      <c r="U21" s="38" t="s">
        <v>114</v>
      </c>
      <c r="V21" s="37" t="s">
        <v>119</v>
      </c>
      <c r="W21" s="32" t="s">
        <v>99</v>
      </c>
      <c r="X21" s="32" t="s">
        <v>100</v>
      </c>
    </row>
    <row r="22" spans="3:27" x14ac:dyDescent="0.2">
      <c r="C22" s="30" t="str">
        <f t="shared" si="0"/>
        <v>DTECHELC_TRA</v>
      </c>
      <c r="D22" t="str">
        <f>DemTechs_TPS!$D$12</f>
        <v>DEMELC</v>
      </c>
      <c r="E22" t="str">
        <f t="shared" si="1"/>
        <v>DEMELC_TRA</v>
      </c>
      <c r="G22" s="19">
        <v>1</v>
      </c>
      <c r="K22" s="19">
        <v>8.76</v>
      </c>
      <c r="L22" s="12">
        <v>20</v>
      </c>
      <c r="S22" s="26" t="s">
        <v>66</v>
      </c>
      <c r="U22" s="38" t="s">
        <v>115</v>
      </c>
      <c r="V22" s="37" t="s">
        <v>118</v>
      </c>
      <c r="W22" s="32" t="s">
        <v>99</v>
      </c>
      <c r="X22" s="32" t="s">
        <v>100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E53C-6660-4C48-A401-B5292118C9D7}">
  <dimension ref="B3:I10"/>
  <sheetViews>
    <sheetView tabSelected="1" workbookViewId="0">
      <selection activeCell="P27" sqref="P27"/>
    </sheetView>
  </sheetViews>
  <sheetFormatPr defaultRowHeight="12.75" x14ac:dyDescent="0.2"/>
  <cols>
    <col min="3" max="3" width="16.42578125" bestFit="1" customWidth="1"/>
  </cols>
  <sheetData>
    <row r="3" spans="2:9" x14ac:dyDescent="0.2">
      <c r="C3" s="3" t="s">
        <v>13</v>
      </c>
      <c r="D3" s="3"/>
    </row>
    <row r="4" spans="2:9" x14ac:dyDescent="0.2">
      <c r="B4" s="2" t="s">
        <v>47</v>
      </c>
      <c r="C4" s="2" t="s">
        <v>0</v>
      </c>
      <c r="D4" s="2">
        <v>2025</v>
      </c>
      <c r="E4" s="2">
        <v>2030</v>
      </c>
      <c r="F4" s="2">
        <v>2035</v>
      </c>
      <c r="G4" s="2">
        <v>2040</v>
      </c>
      <c r="H4" s="2">
        <v>2045</v>
      </c>
      <c r="I4" s="2">
        <v>2050</v>
      </c>
    </row>
    <row r="5" spans="2:9" ht="22.5" x14ac:dyDescent="0.2">
      <c r="B5" s="9" t="s">
        <v>48</v>
      </c>
      <c r="C5" s="9" t="s">
        <v>49</v>
      </c>
      <c r="D5" s="9" t="s">
        <v>35</v>
      </c>
      <c r="E5" s="9" t="s">
        <v>35</v>
      </c>
      <c r="F5" s="9" t="s">
        <v>35</v>
      </c>
      <c r="G5" s="9" t="s">
        <v>35</v>
      </c>
      <c r="H5" s="9" t="s">
        <v>35</v>
      </c>
      <c r="I5" s="9" t="s">
        <v>35</v>
      </c>
    </row>
    <row r="6" spans="2:9" ht="13.5" thickBot="1" x14ac:dyDescent="0.25">
      <c r="B6" s="8" t="s">
        <v>51</v>
      </c>
      <c r="C6" s="8"/>
      <c r="D6" s="8"/>
      <c r="E6" s="8"/>
      <c r="F6" s="8"/>
      <c r="G6" s="8"/>
      <c r="H6" s="8"/>
      <c r="I6" s="8"/>
    </row>
    <row r="7" spans="2:9" x14ac:dyDescent="0.2">
      <c r="B7" t="s">
        <v>34</v>
      </c>
      <c r="C7" t="str">
        <f>SUBELCDEMTechs!U8</f>
        <v>DEMELC_COM</v>
      </c>
      <c r="D7">
        <v>3.3980000000000001</v>
      </c>
      <c r="E7">
        <v>3.57</v>
      </c>
      <c r="F7">
        <v>3.9750000000000001</v>
      </c>
      <c r="G7">
        <v>4.3120000000000003</v>
      </c>
      <c r="H7">
        <v>4.5830000000000002</v>
      </c>
      <c r="I7">
        <v>4.798</v>
      </c>
    </row>
    <row r="8" spans="2:9" x14ac:dyDescent="0.2">
      <c r="B8" t="s">
        <v>34</v>
      </c>
      <c r="C8" t="str">
        <f>SUBELCDEMTechs!U9</f>
        <v>DEMELC_RSD</v>
      </c>
      <c r="D8">
        <v>2.6019999999999999</v>
      </c>
      <c r="E8">
        <v>2.6349999999999998</v>
      </c>
      <c r="F8">
        <v>2.657</v>
      </c>
      <c r="G8">
        <v>2.806</v>
      </c>
      <c r="H8">
        <v>3.008</v>
      </c>
      <c r="I8">
        <v>3.306</v>
      </c>
    </row>
    <row r="9" spans="2:9" x14ac:dyDescent="0.2">
      <c r="B9" t="s">
        <v>34</v>
      </c>
      <c r="C9" t="str">
        <f>SUBELCDEMTechs!U10</f>
        <v>DEMELC_IND</v>
      </c>
      <c r="D9">
        <v>2.1909999999999998</v>
      </c>
      <c r="E9">
        <v>2.3180000000000001</v>
      </c>
      <c r="F9">
        <v>2.5470000000000002</v>
      </c>
      <c r="G9">
        <v>2.7719999999999998</v>
      </c>
      <c r="H9">
        <v>2.9969999999999999</v>
      </c>
      <c r="I9">
        <v>3.206</v>
      </c>
    </row>
    <row r="10" spans="2:9" x14ac:dyDescent="0.2">
      <c r="B10" t="s">
        <v>34</v>
      </c>
      <c r="C10" t="str">
        <f>SUBELCDEMTechs!U11</f>
        <v>DEMELC_TRA</v>
      </c>
      <c r="D10">
        <v>0.28100000000000003</v>
      </c>
      <c r="E10">
        <v>0.58599999999999997</v>
      </c>
      <c r="F10">
        <v>1.095</v>
      </c>
      <c r="G10">
        <v>1.4690000000000001</v>
      </c>
      <c r="H10">
        <v>2.3660000000000001</v>
      </c>
      <c r="I10">
        <v>3.2690000000000001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DemTechs_TPS</vt:lpstr>
      <vt:lpstr>Demands</vt:lpstr>
      <vt:lpstr>SUBELCDEMTechs</vt:lpstr>
      <vt:lpstr>SUBELC_Demands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cp:lastPrinted>2004-11-16T14:57:57Z</cp:lastPrinted>
  <dcterms:created xsi:type="dcterms:W3CDTF">2000-12-13T15:53:11Z</dcterms:created>
  <dcterms:modified xsi:type="dcterms:W3CDTF">2026-10-19T06:49:48Z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632588684558868</vt:r8>
  </property>
</Properties>
</file>