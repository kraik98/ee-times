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_Models\PhD_Kristopher\EE-TIMES-New\"/>
    </mc:Choice>
  </mc:AlternateContent>
  <xr:revisionPtr revIDLastSave="0" documentId="13_ncr:1_{D704D821-22B0-4E79-A064-E2A2EEB234BF}" xr6:coauthVersionLast="47" xr6:coauthVersionMax="47" xr10:uidLastSave="{00000000-0000-0000-0000-000000000000}"/>
  <bookViews>
    <workbookView xWindow="57480" yWindow="-120" windowWidth="38640" windowHeight="15720" tabRatio="901" activeTab="1" xr2:uid="{00000000-000D-0000-FFFF-FFFF00000000}"/>
  </bookViews>
  <sheets>
    <sheet name="DemTechs_TPS" sheetId="136" r:id="rId1"/>
    <sheet name="Demands" sheetId="134" r:id="rId2"/>
  </sheets>
  <externalReferences>
    <externalReference r:id="rId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34" l="1"/>
  <c r="H29" i="134"/>
  <c r="H28" i="134"/>
  <c r="H27" i="134"/>
  <c r="H26" i="134"/>
  <c r="H25" i="134"/>
  <c r="H24" i="134"/>
  <c r="H23" i="134"/>
  <c r="H22" i="134"/>
  <c r="H21" i="134"/>
  <c r="H20" i="134"/>
  <c r="H19" i="134"/>
  <c r="H18" i="134"/>
  <c r="H17" i="134"/>
  <c r="H16" i="134"/>
  <c r="H15" i="134"/>
  <c r="H14" i="134"/>
  <c r="H13" i="134"/>
  <c r="H12" i="134"/>
  <c r="H11" i="134"/>
  <c r="H10" i="134"/>
  <c r="H9" i="134"/>
  <c r="H8" i="134"/>
  <c r="H7" i="134"/>
  <c r="C7" i="134"/>
  <c r="B12" i="136"/>
  <c r="D12" i="136"/>
  <c r="I12" i="136"/>
  <c r="H11" i="136" l="1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<sst xmlns="http://schemas.openxmlformats.org/spreadsheetml/2006/main" count="138" uniqueCount="102">
  <si>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</si>
  <si>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</si>
  <si>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</si>
  <si>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</si>
  <si>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</si>
  <si>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</si>
  <si>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</si>
  <si>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</si>
  <si>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</si>
  <si>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</si>
  <si>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</si>
  <si>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</si>
  <si>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</si>
  <si>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</si>
  <si>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</si>
  <si>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</si>
  <si>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</si>
  <si>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</si>
  <si>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</si>
  <si>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</si>
  <si>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</si>
  <si>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</si>
  <si>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</si>
  <si>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</si>
  <si>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</si>
  <si>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</si>
  <si>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</si>
  <si>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</si>
  <si>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</si>
  <si>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</si>
  <si>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</si>
  <si>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</si>
  <si>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</si>
  <si>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</si>
  <si>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</si>
  <si>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</si>
  <si>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</si>
  <si>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</si>
  <si>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</si>
  <si>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</si>
  <si>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</si>
  <si>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</si>
  <si>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</si>
  <si>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</si>
  <si>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</si>
  <si>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PJ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</si>
  <si>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</si>
  <si>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</si>
  <si>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</si>
  <si>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</si>
  <si>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</si>
  <si>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</si>
  <si>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</si>
  <si>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</si>
  <si>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</si>
  <si>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</si>
  <si>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</si>
  <si>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</si>
  <si>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</si>
  <si>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</si>
  <si>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</si>
  <si>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</si>
  <si>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</si>
  <si>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</si>
  <si>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</si>
  <si>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</si>
  <si>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</si>
  <si>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</si>
  <si>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</si>
  <si>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Pja</t>
  </si>
  <si>
    <t>ELCC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</si>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</sst>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5" formatCode="\Te\x\t"/>
    <numFmt numFmtId="166" formatCode="0.0"/>
  </numFmts>
  <fonts count="15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7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</cellStyleXfs>
  <cellXfs count="37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1" fontId="3" fillId="8" borderId="0" xfId="5" applyNumberFormat="1" applyFont="1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5" fontId="4" fillId="0" borderId="0" xfId="0" applyNumberFormat="1" applyFont="1"/>
    <xf numFmtId="165" fontId="3" fillId="0" borderId="0" xfId="0" applyNumberFormat="1" applyFont="1"/>
    <xf numFmtId="165" fontId="2" fillId="2" borderId="1" xfId="0" applyNumberFormat="1" applyFont="1" applyFill="1" applyBorder="1" applyAlignment="1">
      <alignment horizontal="left"/>
    </xf>
    <xf numFmtId="165" fontId="2" fillId="2" borderId="3" xfId="0" applyNumberFormat="1" applyFont="1" applyFill="1" applyBorder="1" applyAlignment="1">
      <alignment horizontal="left"/>
    </xf>
    <xf numFmtId="165" fontId="13" fillId="3" borderId="2" xfId="1" applyNumberFormat="1" applyFont="1" applyBorder="1" applyAlignment="1">
      <alignment horizontal="left" wrapText="1"/>
    </xf>
    <xf numFmtId="165" fontId="0" fillId="0" borderId="0" xfId="0" applyNumberFormat="1"/>
    <xf numFmtId="0" fontId="2" fillId="2" borderId="0" xfId="0" applyFont="1" applyFill="1" applyAlignment="1">
      <alignment vertical="center"/>
    </xf>
    <xf numFmtId="166" fontId="0" fillId="0" borderId="0" xfId="0" applyNumberFormat="1"/>
    <xf numFmtId="165" fontId="0" fillId="9" borderId="0" xfId="0" applyNumberFormat="1" applyFill="1"/>
    <xf numFmtId="9" fontId="0" fillId="9" borderId="0" xfId="0" applyNumberFormat="1" applyFill="1"/>
    <xf numFmtId="0" fontId="0" fillId="9" borderId="0" xfId="0" applyFill="1"/>
  </cellXfs>
  <cellStyles count="17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T27"/>
  <sheetViews>
    <sheetView zoomScale="120" zoomScaleNormal="120" workbookViewId="0">
      <selection activeCell="E16" sqref="E16"/>
    </sheetView>
  </sheetViews>
  <sheetFormatPr defaultRowHeight="12.3" x14ac:dyDescent="0.4"/>
  <cols>
    <col min="1" max="1" width="3" customWidth="1"/>
    <col min="2" max="2" width="12.1640625" bestFit="1" customWidth="1"/>
    <col min="3" max="3" width="15" customWidth="1"/>
    <col min="4" max="4" width="13.83203125" bestFit="1" customWidth="1"/>
    <col min="5" max="5" width="12.27734375" bestFit="1" customWidth="1"/>
    <col min="6" max="6" width="12.1640625" bestFit="1" customWidth="1"/>
    <col min="7" max="7" width="7.44140625" bestFit="1" customWidth="1"/>
    <col min="8" max="9" width="9.27734375" bestFit="1" customWidth="1"/>
    <col min="10" max="10" width="8" bestFit="1" customWidth="1"/>
    <col min="11" max="11" width="2.71875" customWidth="1"/>
    <col min="12" max="12" width="12.71875" bestFit="1" customWidth="1"/>
    <col min="13" max="13" width="7.1640625" customWidth="1"/>
    <col min="14" max="14" width="11.44140625" bestFit="1" customWidth="1"/>
    <col min="15" max="15" width="42.5546875" bestFit="1" customWidth="1"/>
    <col min="16" max="16" width="7.44140625" bestFit="1" customWidth="1"/>
    <col min="17" max="17" width="11.71875" customWidth="1"/>
    <col min="18" max="18" width="13.44140625" customWidth="1"/>
    <col min="19" max="19" width="13.83203125" customWidth="1"/>
    <col min="20" max="20" width="8.44140625" customWidth="1"/>
  </cols>
  <sheetData>
    <row r="1" spans="2:20" ht="14.4" x14ac:dyDescent="0.55000000000000004">
      <c r="B1" s="6" t="s">
        <v>43</v>
      </c>
      <c r="C1" s="6" t="s">
        <v>44</v>
      </c>
      <c r="D1" s="6" t="s">
        <v>53</v>
      </c>
      <c r="E1" s="6" t="s">
        <v>46</v>
      </c>
      <c r="F1" s="6" t="s">
        <v>47</v>
      </c>
      <c r="H1" s="6" t="s">
        <v>54</v>
      </c>
    </row>
    <row r="2" spans="2:20" x14ac:dyDescent="0.4">
      <c r="L2" s="26" t="s">
        <v>14</v>
      </c>
      <c r="M2" s="26"/>
      <c r="N2" s="27"/>
      <c r="O2" s="27"/>
      <c r="P2" s="27"/>
      <c r="Q2" s="27"/>
      <c r="R2" s="27"/>
      <c r="S2" s="27"/>
      <c r="T2" s="27"/>
    </row>
    <row r="3" spans="2:20" x14ac:dyDescent="0.4">
      <c r="L3" s="28" t="s">
        <v>7</v>
      </c>
      <c r="M3" s="29" t="s">
        <v>30</v>
      </c>
      <c r="N3" s="28" t="s">
        <v>0</v>
      </c>
      <c r="O3" s="28" t="s">
        <v>3</v>
      </c>
      <c r="P3" s="28" t="s">
        <v>4</v>
      </c>
      <c r="Q3" s="28" t="s">
        <v>8</v>
      </c>
      <c r="R3" s="28" t="s">
        <v>9</v>
      </c>
      <c r="S3" s="28" t="s">
        <v>10</v>
      </c>
      <c r="T3" s="28" t="s">
        <v>12</v>
      </c>
    </row>
    <row r="4" spans="2:20" ht="21" thickBot="1" x14ac:dyDescent="0.45">
      <c r="L4" s="30" t="s">
        <v>36</v>
      </c>
      <c r="M4" s="30" t="s">
        <v>31</v>
      </c>
      <c r="N4" s="30" t="s">
        <v>26</v>
      </c>
      <c r="O4" s="30" t="s">
        <v>27</v>
      </c>
      <c r="P4" s="30" t="s">
        <v>4</v>
      </c>
      <c r="Q4" s="30" t="s">
        <v>39</v>
      </c>
      <c r="R4" s="30" t="s">
        <v>40</v>
      </c>
      <c r="S4" s="30" t="s">
        <v>28</v>
      </c>
      <c r="T4" s="30" t="s">
        <v>29</v>
      </c>
    </row>
    <row r="5" spans="2:20" ht="15.6" x14ac:dyDescent="0.6">
      <c r="B5" s="14"/>
      <c r="C5" s="14"/>
      <c r="D5" s="14"/>
      <c r="E5" s="14"/>
      <c r="F5" s="14"/>
      <c r="L5" t="s">
        <v>51</v>
      </c>
      <c r="N5" t="s">
        <v>72</v>
      </c>
      <c r="O5" t="s">
        <v>71</v>
      </c>
      <c r="P5" t="s">
        <v>45</v>
      </c>
      <c r="Q5" s="27"/>
      <c r="R5" s="27"/>
      <c r="S5" s="27"/>
      <c r="T5" s="27"/>
    </row>
    <row r="8" spans="2:20" x14ac:dyDescent="0.4">
      <c r="D8" s="4" t="s">
        <v>13</v>
      </c>
      <c r="E8" s="4"/>
      <c r="F8" s="4"/>
      <c r="H8" s="4"/>
      <c r="I8" s="15"/>
      <c r="J8" s="16"/>
      <c r="L8" s="26" t="s">
        <v>15</v>
      </c>
      <c r="M8" s="26"/>
      <c r="N8" s="31"/>
      <c r="O8" s="31"/>
      <c r="P8" s="31"/>
      <c r="Q8" s="31"/>
      <c r="R8" s="31"/>
      <c r="S8" s="31"/>
      <c r="T8" s="31"/>
    </row>
    <row r="9" spans="2:20" x14ac:dyDescent="0.4">
      <c r="B9" s="18" t="s">
        <v>1</v>
      </c>
      <c r="C9" s="18" t="s">
        <v>5</v>
      </c>
      <c r="D9" s="18" t="s">
        <v>6</v>
      </c>
      <c r="E9" s="23" t="s">
        <v>55</v>
      </c>
      <c r="F9" s="18" t="s">
        <v>56</v>
      </c>
      <c r="G9" s="18" t="s">
        <v>57</v>
      </c>
      <c r="H9" s="18" t="s">
        <v>58</v>
      </c>
      <c r="I9" s="18" t="s">
        <v>59</v>
      </c>
      <c r="J9" s="23" t="s">
        <v>60</v>
      </c>
      <c r="L9" s="28" t="s">
        <v>11</v>
      </c>
      <c r="M9" s="29" t="s">
        <v>30</v>
      </c>
      <c r="N9" s="28" t="s">
        <v>1</v>
      </c>
      <c r="O9" s="28" t="s">
        <v>2</v>
      </c>
      <c r="P9" s="28" t="s">
        <v>16</v>
      </c>
      <c r="Q9" s="28" t="s">
        <v>17</v>
      </c>
      <c r="R9" s="28" t="s">
        <v>18</v>
      </c>
      <c r="S9" s="28" t="s">
        <v>19</v>
      </c>
      <c r="T9" s="28" t="s">
        <v>20</v>
      </c>
    </row>
    <row r="10" spans="2:20" ht="21" thickBot="1" x14ac:dyDescent="0.45">
      <c r="B10" s="9" t="s">
        <v>38</v>
      </c>
      <c r="C10" s="9" t="s">
        <v>32</v>
      </c>
      <c r="D10" s="9" t="s">
        <v>33</v>
      </c>
      <c r="E10" s="9" t="s">
        <v>61</v>
      </c>
      <c r="F10" s="9" t="s">
        <v>62</v>
      </c>
      <c r="G10" s="22" t="s">
        <v>63</v>
      </c>
      <c r="H10" s="9" t="s">
        <v>64</v>
      </c>
      <c r="I10" s="9" t="s">
        <v>65</v>
      </c>
      <c r="J10" s="9" t="s">
        <v>68</v>
      </c>
      <c r="L10" s="30" t="s">
        <v>37</v>
      </c>
      <c r="M10" s="30" t="s">
        <v>31</v>
      </c>
      <c r="N10" s="30" t="s">
        <v>21</v>
      </c>
      <c r="O10" s="30" t="s">
        <v>22</v>
      </c>
      <c r="P10" s="30" t="s">
        <v>23</v>
      </c>
      <c r="Q10" s="30" t="s">
        <v>24</v>
      </c>
      <c r="R10" s="30" t="s">
        <v>42</v>
      </c>
      <c r="S10" s="30" t="s">
        <v>41</v>
      </c>
      <c r="T10" s="30" t="s">
        <v>25</v>
      </c>
    </row>
    <row r="11" spans="2:20" ht="12.6" thickBot="1" x14ac:dyDescent="0.45">
      <c r="B11" s="8" t="s">
        <v>52</v>
      </c>
      <c r="C11" s="8"/>
      <c r="D11" s="8"/>
      <c r="E11" s="7" t="str">
        <f>E2&amp;"a"</f>
        <v>a</v>
      </c>
      <c r="F11" s="7"/>
      <c r="G11" s="19"/>
      <c r="H11" s="7" t="str">
        <f>$F$2&amp;"/"&amp;$E$2</f>
        <v>/</v>
      </c>
      <c r="I11" s="7" t="str">
        <f>$F$2&amp;"/"&amp;$E$2&amp;"a"</f>
        <v>/a</v>
      </c>
      <c r="J11" s="7" t="s">
        <v>66</v>
      </c>
      <c r="L11" s="30" t="s">
        <v>49</v>
      </c>
      <c r="M11" s="30"/>
      <c r="N11" s="30"/>
      <c r="O11" s="30"/>
      <c r="P11" s="30"/>
      <c r="Q11" s="30"/>
      <c r="R11" s="30"/>
      <c r="S11" s="30"/>
      <c r="T11" s="30"/>
    </row>
    <row r="12" spans="2:20" x14ac:dyDescent="0.4">
      <c r="B12" s="31" t="str">
        <f>N12</f>
        <v>DTECHELC</v>
      </c>
      <c r="C12" t="s">
        <v>70</v>
      </c>
      <c r="D12" t="str">
        <f>N5</f>
        <v>DEMELC</v>
      </c>
      <c r="F12" s="20">
        <v>1</v>
      </c>
      <c r="G12" s="20">
        <v>0.95</v>
      </c>
      <c r="H12" s="12">
        <v>10</v>
      </c>
      <c r="I12" s="20">
        <f>H12*0.02</f>
        <v>0.2</v>
      </c>
      <c r="J12" s="12">
        <v>20</v>
      </c>
      <c r="L12" s="27" t="s">
        <v>67</v>
      </c>
      <c r="M12" s="31"/>
      <c r="N12" s="31" t="s">
        <v>76</v>
      </c>
      <c r="O12" s="31" t="s">
        <v>77</v>
      </c>
      <c r="P12" s="34" t="s">
        <v>45</v>
      </c>
      <c r="Q12" s="34" t="s">
        <v>69</v>
      </c>
      <c r="R12" s="31"/>
      <c r="S12" s="31"/>
      <c r="T12" s="31"/>
    </row>
    <row r="13" spans="2:20" x14ac:dyDescent="0.4">
      <c r="E13" s="5"/>
      <c r="F13" s="21"/>
      <c r="G13" s="21"/>
      <c r="I13" s="21"/>
      <c r="O13" s="10"/>
    </row>
    <row r="14" spans="2:20" x14ac:dyDescent="0.4">
      <c r="E14" s="5"/>
      <c r="F14" s="21"/>
      <c r="G14" s="21"/>
      <c r="I14" s="21"/>
      <c r="O14" s="10"/>
    </row>
    <row r="17" spans="9:11" x14ac:dyDescent="0.4">
      <c r="I17" s="17"/>
    </row>
    <row r="18" spans="9:11" x14ac:dyDescent="0.4">
      <c r="I18" s="17"/>
    </row>
    <row r="24" spans="9:11" x14ac:dyDescent="0.4">
      <c r="K24" s="1"/>
    </row>
    <row r="25" spans="9:11" x14ac:dyDescent="0.4">
      <c r="K25" s="1"/>
    </row>
    <row r="26" spans="9:11" x14ac:dyDescent="0.4">
      <c r="K26" s="1"/>
    </row>
    <row r="27" spans="9:11" x14ac:dyDescent="0.4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L30"/>
  <sheetViews>
    <sheetView tabSelected="1" zoomScale="140" zoomScaleNormal="140" workbookViewId="0">
      <selection activeCell="L5" sqref="L5:N17"/>
    </sheetView>
  </sheetViews>
  <sheetFormatPr defaultRowHeight="12.3" x14ac:dyDescent="0.4"/>
  <cols>
    <col min="1" max="1" width="2" bestFit="1" customWidth="1"/>
    <col min="2" max="2" width="11.5546875" bestFit="1" customWidth="1"/>
    <col min="3" max="3" width="25.27734375" bestFit="1" customWidth="1"/>
    <col min="4" max="4" width="10.27734375" bestFit="1" customWidth="1"/>
    <col min="5" max="5" width="10.83203125" bestFit="1" customWidth="1"/>
    <col min="6" max="9" width="12.44140625" customWidth="1"/>
    <col min="10" max="10" width="7.27734375" customWidth="1"/>
    <col min="11" max="11" width="11.44140625" bestFit="1" customWidth="1"/>
  </cols>
  <sheetData>
    <row r="3" spans="2:12" x14ac:dyDescent="0.4">
      <c r="C3" s="3" t="s">
        <v>13</v>
      </c>
      <c r="D3" s="3"/>
      <c r="E3" s="1"/>
      <c r="G3" s="4" t="s">
        <v>13</v>
      </c>
    </row>
    <row r="4" spans="2:12" x14ac:dyDescent="0.4">
      <c r="B4" s="2" t="s">
        <v>48</v>
      </c>
      <c r="C4" s="2" t="s">
        <v>0</v>
      </c>
      <c r="D4" s="2">
        <v>2025</v>
      </c>
      <c r="F4" s="24"/>
      <c r="G4" s="32" t="s">
        <v>74</v>
      </c>
      <c r="H4" s="24" t="s">
        <v>0</v>
      </c>
      <c r="I4" s="24" t="s">
        <v>73</v>
      </c>
      <c r="J4" s="24">
        <v>2025</v>
      </c>
    </row>
    <row r="5" spans="2:12" ht="20.7" x14ac:dyDescent="0.4">
      <c r="B5" s="9" t="s">
        <v>49</v>
      </c>
      <c r="C5" s="9" t="s">
        <v>50</v>
      </c>
      <c r="D5" s="9" t="s">
        <v>35</v>
      </c>
      <c r="F5" s="25"/>
      <c r="G5" s="25" t="s">
        <v>49</v>
      </c>
      <c r="I5" s="25"/>
      <c r="J5" s="25"/>
    </row>
    <row r="6" spans="2:12" ht="12.6" thickBot="1" x14ac:dyDescent="0.45">
      <c r="B6" s="8" t="s">
        <v>52</v>
      </c>
      <c r="C6" s="8"/>
      <c r="D6" s="8"/>
      <c r="F6" s="25"/>
      <c r="G6" s="25" t="s">
        <v>49</v>
      </c>
      <c r="I6" s="25"/>
      <c r="J6" s="25"/>
    </row>
    <row r="7" spans="2:12" x14ac:dyDescent="0.4">
      <c r="B7" t="s">
        <v>34</v>
      </c>
      <c r="C7" t="str">
        <f>DemTechs_TPS!N5</f>
        <v>DEMELC</v>
      </c>
      <c r="D7" s="13"/>
      <c r="G7" t="s">
        <v>75</v>
      </c>
      <c r="H7" t="str">
        <f>$C$7</f>
        <v>DEMELC</v>
      </c>
      <c r="I7" t="s">
        <v>78</v>
      </c>
      <c r="J7" s="35"/>
      <c r="L7" s="33"/>
    </row>
    <row r="8" spans="2:12" x14ac:dyDescent="0.4">
      <c r="E8" s="5"/>
      <c r="G8" t="s">
        <v>75</v>
      </c>
      <c r="H8" t="str">
        <f t="shared" ref="H8:H30" si="0">$C$7</f>
        <v>DEMELC</v>
      </c>
      <c r="I8" t="s">
        <v>79</v>
      </c>
      <c r="J8" s="35"/>
      <c r="L8" s="33"/>
    </row>
    <row r="9" spans="2:12" x14ac:dyDescent="0.4">
      <c r="G9" t="s">
        <v>75</v>
      </c>
      <c r="H9" t="str">
        <f t="shared" si="0"/>
        <v>DEMELC</v>
      </c>
      <c r="I9" t="s">
        <v>80</v>
      </c>
      <c r="J9" s="35"/>
      <c r="L9" s="33"/>
    </row>
    <row r="10" spans="2:12" x14ac:dyDescent="0.4">
      <c r="E10" s="11"/>
      <c r="G10" t="s">
        <v>75</v>
      </c>
      <c r="H10" t="str">
        <f t="shared" si="0"/>
        <v>DEMELC</v>
      </c>
      <c r="I10" t="s">
        <v>81</v>
      </c>
      <c r="J10" s="35"/>
      <c r="L10" s="33"/>
    </row>
    <row r="11" spans="2:12" x14ac:dyDescent="0.4">
      <c r="E11" s="5"/>
      <c r="G11" t="s">
        <v>75</v>
      </c>
      <c r="H11" t="str">
        <f t="shared" si="0"/>
        <v>DEMELC</v>
      </c>
      <c r="I11" t="s">
        <v>82</v>
      </c>
      <c r="J11" s="35"/>
      <c r="L11" s="33"/>
    </row>
    <row r="12" spans="2:12" x14ac:dyDescent="0.4">
      <c r="G12" t="s">
        <v>75</v>
      </c>
      <c r="H12" t="str">
        <f t="shared" si="0"/>
        <v>DEMELC</v>
      </c>
      <c r="I12" t="s">
        <v>83</v>
      </c>
      <c r="J12" s="35"/>
      <c r="L12" s="33"/>
    </row>
    <row r="13" spans="2:12" x14ac:dyDescent="0.4">
      <c r="E13" s="5"/>
      <c r="G13" t="s">
        <v>75</v>
      </c>
      <c r="H13" t="str">
        <f t="shared" si="0"/>
        <v>DEMELC</v>
      </c>
      <c r="I13" t="s">
        <v>84</v>
      </c>
      <c r="J13" s="36"/>
    </row>
    <row r="14" spans="2:12" x14ac:dyDescent="0.4">
      <c r="G14" t="s">
        <v>75</v>
      </c>
      <c r="H14" t="str">
        <f t="shared" si="0"/>
        <v>DEMELC</v>
      </c>
      <c r="I14" t="s">
        <v>85</v>
      </c>
      <c r="J14" s="36"/>
    </row>
    <row r="15" spans="2:12" x14ac:dyDescent="0.4">
      <c r="G15" t="s">
        <v>75</v>
      </c>
      <c r="H15" t="str">
        <f t="shared" si="0"/>
        <v>DEMELC</v>
      </c>
      <c r="I15" t="s">
        <v>86</v>
      </c>
      <c r="J15" s="36"/>
    </row>
    <row r="16" spans="2:12" x14ac:dyDescent="0.4">
      <c r="G16" t="s">
        <v>75</v>
      </c>
      <c r="H16" t="str">
        <f t="shared" si="0"/>
        <v>DEMELC</v>
      </c>
      <c r="I16" t="s">
        <v>87</v>
      </c>
      <c r="J16" s="36"/>
    </row>
    <row r="17" spans="7:10" x14ac:dyDescent="0.4">
      <c r="G17" t="s">
        <v>75</v>
      </c>
      <c r="H17" t="str">
        <f t="shared" si="0"/>
        <v>DEMELC</v>
      </c>
      <c r="I17" t="s">
        <v>88</v>
      </c>
      <c r="J17" s="36"/>
    </row>
    <row r="18" spans="7:10" x14ac:dyDescent="0.4">
      <c r="G18" t="s">
        <v>75</v>
      </c>
      <c r="H18" t="str">
        <f t="shared" si="0"/>
        <v>DEMELC</v>
      </c>
      <c r="I18" t="s">
        <v>89</v>
      </c>
      <c r="J18" s="36"/>
    </row>
    <row r="19" spans="7:10" x14ac:dyDescent="0.4">
      <c r="G19" t="s">
        <v>75</v>
      </c>
      <c r="H19" t="str">
        <f t="shared" si="0"/>
        <v>DEMELC</v>
      </c>
      <c r="I19" t="s">
        <v>90</v>
      </c>
      <c r="J19" s="36"/>
    </row>
    <row r="20" spans="7:10" x14ac:dyDescent="0.4">
      <c r="G20" t="s">
        <v>75</v>
      </c>
      <c r="H20" t="str">
        <f t="shared" si="0"/>
        <v>DEMELC</v>
      </c>
      <c r="I20" t="s">
        <v>91</v>
      </c>
      <c r="J20" s="36"/>
    </row>
    <row r="21" spans="7:10" x14ac:dyDescent="0.4">
      <c r="G21" t="s">
        <v>75</v>
      </c>
      <c r="H21" t="str">
        <f t="shared" si="0"/>
        <v>DEMELC</v>
      </c>
      <c r="I21" t="s">
        <v>92</v>
      </c>
      <c r="J21" s="36"/>
    </row>
    <row r="22" spans="7:10" x14ac:dyDescent="0.4">
      <c r="G22" t="s">
        <v>75</v>
      </c>
      <c r="H22" t="str">
        <f t="shared" si="0"/>
        <v>DEMELC</v>
      </c>
      <c r="I22" t="s">
        <v>93</v>
      </c>
      <c r="J22" s="36"/>
    </row>
    <row r="23" spans="7:10" x14ac:dyDescent="0.4">
      <c r="G23" t="s">
        <v>75</v>
      </c>
      <c r="H23" t="str">
        <f t="shared" si="0"/>
        <v>DEMELC</v>
      </c>
      <c r="I23" t="s">
        <v>94</v>
      </c>
      <c r="J23" s="36"/>
    </row>
    <row r="24" spans="7:10" x14ac:dyDescent="0.4">
      <c r="G24" t="s">
        <v>75</v>
      </c>
      <c r="H24" t="str">
        <f t="shared" si="0"/>
        <v>DEMELC</v>
      </c>
      <c r="I24" t="s">
        <v>95</v>
      </c>
      <c r="J24" s="36"/>
    </row>
    <row r="25" spans="7:10" x14ac:dyDescent="0.4">
      <c r="G25" t="s">
        <v>75</v>
      </c>
      <c r="H25" t="str">
        <f t="shared" si="0"/>
        <v>DEMELC</v>
      </c>
      <c r="I25" t="s">
        <v>96</v>
      </c>
      <c r="J25" s="36"/>
    </row>
    <row r="26" spans="7:10" x14ac:dyDescent="0.4">
      <c r="G26" t="s">
        <v>75</v>
      </c>
      <c r="H26" t="str">
        <f t="shared" si="0"/>
        <v>DEMELC</v>
      </c>
      <c r="I26" t="s">
        <v>97</v>
      </c>
      <c r="J26" s="36"/>
    </row>
    <row r="27" spans="7:10" x14ac:dyDescent="0.4">
      <c r="G27" t="s">
        <v>75</v>
      </c>
      <c r="H27" t="str">
        <f t="shared" si="0"/>
        <v>DEMELC</v>
      </c>
      <c r="I27" t="s">
        <v>98</v>
      </c>
      <c r="J27" s="36"/>
    </row>
    <row r="28" spans="7:10" x14ac:dyDescent="0.4">
      <c r="G28" t="s">
        <v>75</v>
      </c>
      <c r="H28" t="str">
        <f t="shared" si="0"/>
        <v>DEMELC</v>
      </c>
      <c r="I28" t="s">
        <v>99</v>
      </c>
      <c r="J28" s="36"/>
    </row>
    <row r="29" spans="7:10" x14ac:dyDescent="0.4">
      <c r="G29" t="s">
        <v>75</v>
      </c>
      <c r="H29" t="str">
        <f t="shared" si="0"/>
        <v>DEMELC</v>
      </c>
      <c r="I29" t="s">
        <v>100</v>
      </c>
      <c r="J29" s="36"/>
    </row>
    <row r="30" spans="7:10" x14ac:dyDescent="0.4">
      <c r="G30" t="s">
        <v>75</v>
      </c>
      <c r="H30" t="str">
        <f t="shared" si="0"/>
        <v>DEMELC</v>
      </c>
      <c r="I30" t="s">
        <v>101</v>
      </c>
      <c r="J30" s="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Maurizio Gargiulo</cp:lastModifiedBy>
  <cp:lastPrinted>2004-11-16T14:57:57Z</cp:lastPrinted>
  <dcterms:created xsi:type="dcterms:W3CDTF">2000-12-13T15:53:11Z</dcterms:created>
  <dcterms:modified xsi:type="dcterms:W3CDTF">2026-09-04T09:37:42Z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