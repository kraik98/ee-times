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showObjects="placeholders" codeName="ThisWorkbook"/>
  <mc:AlternateContent xmlns:mc="http://schemas.openxmlformats.org/markup-compatibility/2006">
    <mc:Choice Requires="x15">
      <x15ac:absPath xmlns:x15ac="http://schemas.microsoft.com/office/spreadsheetml/2010/11/ac" url="C:\Users\Admin\PycharmProjects\ee-times\"/>
    </mc:Choice>
  </mc:AlternateContent>
  <xr:revisionPtr revIDLastSave="0" documentId="13_ncr:1_{181D18BE-ABEC-4DD4-A801-122345DF7C38}" xr6:coauthVersionLast="47" xr6:coauthVersionMax="47" xr10:uidLastSave="{00000000-0000-0000-0000-000000000000}"/>
  <bookViews>
    <workbookView xWindow="-80" yWindow="-80" windowWidth="19360" windowHeight="11440" tabRatio="901" xr2:uid="{00000000-000D-0000-FFFF-FFFF00000000}"/>
  </bookViews>
  <sheets>
    <sheet name="DemTechs_TPS" sheetId="136" r:id="rId1"/>
    <sheet name="Demands" sheetId="134" r:id="rId2"/>
  </sheets>
  <externalReferences>
    <externalReference r:id="rId3"/>
  </externalReferences>
  <definedNames>
    <definedName name="FID_1">[1]AGR_Fuels!$A$2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4" i="134" l="1"/>
  <c r="H30" i="134" l="1"/>
  <c r="H19" i="134"/>
  <c r="H18" i="134"/>
  <c r="H17" i="134"/>
  <c r="H16" i="134"/>
  <c r="C7" i="134"/>
  <c r="H29" i="134" s="1"/>
  <c r="B12" i="136"/>
  <c r="D12" i="136"/>
  <c r="H20" i="134" l="1"/>
  <c r="H7" i="134"/>
  <c r="H21" i="134"/>
  <c r="H8" i="134"/>
  <c r="H22" i="134"/>
  <c r="H9" i="134"/>
  <c r="H23" i="134"/>
  <c r="H10" i="134"/>
  <c r="H24" i="134"/>
  <c r="H11" i="134"/>
  <c r="H25" i="134"/>
  <c r="H12" i="134"/>
  <c r="H26" i="134"/>
  <c r="H13" i="134"/>
  <c r="H27" i="134"/>
  <c r="H14" i="134"/>
  <c r="H28" i="134"/>
  <c r="H15" i="134"/>
  <c r="H11" i="136"/>
  <c r="I11" i="136"/>
  <c r="E11" i="13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L3" authorId="0" shapeId="0" xr:uid="{00000000-0006-0000-0300-000001000000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Q3" authorId="1" shapeId="0" xr:uid="{00000000-0006-0000-0300-000002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R3" authorId="2" shapeId="0" xr:uid="{00000000-0006-0000-0300-000003000000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S3" authorId="2" shapeId="0" xr:uid="{00000000-0006-0000-0300-000004000000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T3" authorId="2" shapeId="0" xr:uid="{00000000-0006-0000-0300-000005000000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S9" authorId="2" shapeId="0" xr:uid="{00000000-0006-0000-0300-00000600000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T9" authorId="1" shapeId="0" xr:uid="{00000000-0006-0000-0300-000007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U9" authorId="2" shapeId="0" xr:uid="{00000000-0006-0000-0300-000008000000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M10" authorId="2" shapeId="0" xr:uid="{00000000-0006-0000-0300-000009000000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sharedStrings.xml><?xml version="1.0" encoding="utf-8"?>
<sst xmlns="http://schemas.openxmlformats.org/spreadsheetml/2006/main" count="140" uniqueCount="104">
  <si>
    <t>CommName</t>
  </si>
  <si>
    <t>TechName</t>
  </si>
  <si>
    <t>TechDesc</t>
  </si>
  <si>
    <t>CommDesc</t>
  </si>
  <si>
    <t>Unit</t>
  </si>
  <si>
    <t>Comm-IN</t>
  </si>
  <si>
    <t>Comm-OUT</t>
  </si>
  <si>
    <t>Csets</t>
  </si>
  <si>
    <t>LimType</t>
  </si>
  <si>
    <t>CTSLvl</t>
  </si>
  <si>
    <t>PeakTS</t>
  </si>
  <si>
    <t>Sets</t>
  </si>
  <si>
    <t>Ctype</t>
  </si>
  <si>
    <t>~FI_T</t>
  </si>
  <si>
    <t>~FI_Comm</t>
  </si>
  <si>
    <t>~FI_Process</t>
  </si>
  <si>
    <t>Tact</t>
  </si>
  <si>
    <t>Tcap</t>
  </si>
  <si>
    <t>Tslvl</t>
  </si>
  <si>
    <t>PrimaryCG</t>
  </si>
  <si>
    <t>Vintage</t>
  </si>
  <si>
    <t>Technology Name</t>
  </si>
  <si>
    <t>Technology Description</t>
  </si>
  <si>
    <t>Activity Unit</t>
  </si>
  <si>
    <t>Capacity Unit</t>
  </si>
  <si>
    <t>Vintage Tracking</t>
  </si>
  <si>
    <t>Commodity Name</t>
  </si>
  <si>
    <t>Commodity Description</t>
  </si>
  <si>
    <t>Peak Monitoring</t>
  </si>
  <si>
    <t>Electricity Indicator</t>
  </si>
  <si>
    <t>Region</t>
  </si>
  <si>
    <t>Region Name</t>
  </si>
  <si>
    <t>Input Commodity</t>
  </si>
  <si>
    <t>Output Commodity</t>
  </si>
  <si>
    <t>Demand</t>
  </si>
  <si>
    <t>Demand Value</t>
  </si>
  <si>
    <t>*Commodity Set Membership</t>
  </si>
  <si>
    <t>*Process Set Membership</t>
  </si>
  <si>
    <t>*Technology Name</t>
  </si>
  <si>
    <t>Sense of the Balance EQN.</t>
  </si>
  <si>
    <t>Timeslice Level</t>
  </si>
  <si>
    <t>Primary Commodity Group</t>
  </si>
  <si>
    <t>TimeSlice level of Process Activity</t>
  </si>
  <si>
    <t>Sector Name</t>
  </si>
  <si>
    <t>Description</t>
  </si>
  <si>
    <t>Default Unit</t>
  </si>
  <si>
    <t>Currency Unit</t>
  </si>
  <si>
    <t>Attribute</t>
  </si>
  <si>
    <t>*</t>
  </si>
  <si>
    <t>Demand Commodity Name</t>
  </si>
  <si>
    <t>DEM</t>
  </si>
  <si>
    <t>*Units</t>
  </si>
  <si>
    <t>Type</t>
  </si>
  <si>
    <t>Existing</t>
  </si>
  <si>
    <t>STOCK</t>
  </si>
  <si>
    <t>EFF</t>
  </si>
  <si>
    <t>AFA</t>
  </si>
  <si>
    <t>INVCOST</t>
  </si>
  <si>
    <t>FIXOM</t>
  </si>
  <si>
    <t>LIFE</t>
  </si>
  <si>
    <t>Existing Installed Capacity</t>
  </si>
  <si>
    <t>Efficiency</t>
  </si>
  <si>
    <t>Utilisation Factor</t>
  </si>
  <si>
    <t>Invesctment Cost</t>
  </si>
  <si>
    <t>Fixed O&amp;M Cost</t>
  </si>
  <si>
    <t>Years</t>
  </si>
  <si>
    <t>DMD</t>
  </si>
  <si>
    <t>Lifetime</t>
  </si>
  <si>
    <t>ELCC</t>
  </si>
  <si>
    <t>Demand of electricity in all sectors</t>
  </si>
  <si>
    <t>DEMELC</t>
  </si>
  <si>
    <t>Timeslice</t>
  </si>
  <si>
    <t>ATTRIBUTE</t>
  </si>
  <si>
    <t>COM_FR</t>
  </si>
  <si>
    <t>DTECHELC</t>
  </si>
  <si>
    <t>Demand of Electricity</t>
  </si>
  <si>
    <t>S01H01</t>
  </si>
  <si>
    <t>S01H02</t>
  </si>
  <si>
    <t>S01H03</t>
  </si>
  <si>
    <t>S01H04</t>
  </si>
  <si>
    <t>S01H05</t>
  </si>
  <si>
    <t>S01H06</t>
  </si>
  <si>
    <t>S02H01</t>
  </si>
  <si>
    <t>S02H02</t>
  </si>
  <si>
    <t>S02H03</t>
  </si>
  <si>
    <t>S02H04</t>
  </si>
  <si>
    <t>S02H05</t>
  </si>
  <si>
    <t>S02H06</t>
  </si>
  <si>
    <t>S03H01</t>
  </si>
  <si>
    <t>S03H02</t>
  </si>
  <si>
    <t>S03H03</t>
  </si>
  <si>
    <t>S03H04</t>
  </si>
  <si>
    <t>S03H05</t>
  </si>
  <si>
    <t>S03H06</t>
  </si>
  <si>
    <t>S04H01</t>
  </si>
  <si>
    <t>S04H02</t>
  </si>
  <si>
    <t>S04H03</t>
  </si>
  <si>
    <t>S04H04</t>
  </si>
  <si>
    <t>S04H05</t>
  </si>
  <si>
    <t>S04H06</t>
  </si>
  <si>
    <t>TWh</t>
  </si>
  <si>
    <t>GW</t>
  </si>
  <si>
    <t>CAP2ACT</t>
  </si>
  <si>
    <t>Capacity to Activity Factor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</si>
</sst>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\Te\x\t"/>
  </numFmts>
  <fonts count="16" x14ac:knownFonts="1">
    <font>
      <sz val="10"/>
      <name val="Arial"/>
    </font>
    <font>
      <sz val="10"/>
      <name val="Courier"/>
      <family val="3"/>
    </font>
    <font>
      <b/>
      <sz val="10"/>
      <name val="Arial"/>
      <family val="2"/>
    </font>
    <font>
      <sz val="10"/>
      <name val="Arial"/>
      <family val="2"/>
    </font>
    <font>
      <b/>
      <sz val="10"/>
      <color indexed="12"/>
      <name val="Arial"/>
      <family val="2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8"/>
      <color theme="1"/>
      <name val="Arial"/>
      <family val="2"/>
    </font>
    <font>
      <sz val="10"/>
      <color rgb="FFFF0000"/>
      <name val="Arial"/>
      <family val="2"/>
    </font>
    <font>
      <sz val="10"/>
      <name val="Arial"/>
    </font>
  </fonts>
  <fills count="10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5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18">
    <xf numFmtId="0" fontId="0" fillId="0" borderId="0"/>
    <xf numFmtId="0" fontId="8" fillId="3" borderId="0" applyNumberFormat="0" applyBorder="0" applyAlignment="0" applyProtection="0"/>
    <xf numFmtId="0" fontId="9" fillId="4" borderId="0" applyNumberFormat="0" applyBorder="0" applyAlignment="0" applyProtection="0"/>
    <xf numFmtId="43" fontId="8" fillId="0" borderId="0" applyFont="0" applyFill="0" applyBorder="0" applyAlignment="0" applyProtection="0"/>
    <xf numFmtId="0" fontId="10" fillId="5" borderId="0" applyNumberFormat="0" applyBorder="0" applyAlignment="0" applyProtection="0"/>
    <xf numFmtId="0" fontId="11" fillId="6" borderId="0" applyNumberFormat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8" fillId="0" borderId="0"/>
    <xf numFmtId="0" fontId="3" fillId="0" borderId="0"/>
    <xf numFmtId="0" fontId="1" fillId="0" borderId="0"/>
    <xf numFmtId="9" fontId="3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3" fillId="0" borderId="0"/>
    <xf numFmtId="9" fontId="15" fillId="0" borderId="0" applyFont="0" applyFill="0" applyBorder="0" applyAlignment="0" applyProtection="0"/>
  </cellStyleXfs>
  <cellXfs count="37">
    <xf numFmtId="0" fontId="0" fillId="0" borderId="0" xfId="0"/>
    <xf numFmtId="0" fontId="3" fillId="0" borderId="0" xfId="0" applyFont="1"/>
    <xf numFmtId="0" fontId="2" fillId="2" borderId="1" xfId="0" applyFont="1" applyFill="1" applyBorder="1" applyAlignment="1">
      <alignment vertical="center"/>
    </xf>
    <xf numFmtId="0" fontId="4" fillId="0" borderId="0" xfId="0" applyFont="1"/>
    <xf numFmtId="0" fontId="4" fillId="0" borderId="0" xfId="8" applyFont="1" applyAlignment="1">
      <alignment horizontal="left"/>
    </xf>
    <xf numFmtId="1" fontId="0" fillId="0" borderId="0" xfId="0" applyNumberFormat="1"/>
    <xf numFmtId="0" fontId="9" fillId="4" borderId="0" xfId="2"/>
    <xf numFmtId="0" fontId="13" fillId="3" borderId="2" xfId="1" applyFont="1" applyBorder="1" applyAlignment="1">
      <alignment horizontal="center" wrapText="1"/>
    </xf>
    <xf numFmtId="0" fontId="13" fillId="3" borderId="2" xfId="1" applyFont="1" applyBorder="1" applyAlignment="1">
      <alignment horizontal="left" wrapText="1"/>
    </xf>
    <xf numFmtId="0" fontId="13" fillId="3" borderId="1" xfId="1" applyFont="1" applyBorder="1" applyAlignment="1">
      <alignment horizontal="left" wrapText="1"/>
    </xf>
    <xf numFmtId="0" fontId="0" fillId="0" borderId="0" xfId="0" applyAlignment="1">
      <alignment wrapText="1"/>
    </xf>
    <xf numFmtId="1" fontId="3" fillId="0" borderId="0" xfId="6" applyNumberFormat="1"/>
    <xf numFmtId="0" fontId="0" fillId="7" borderId="0" xfId="0" applyFill="1"/>
    <xf numFmtId="0" fontId="12" fillId="0" borderId="0" xfId="4" applyFont="1" applyFill="1"/>
    <xf numFmtId="0" fontId="3" fillId="0" borderId="0" xfId="8" applyAlignment="1">
      <alignment horizontal="left"/>
    </xf>
    <xf numFmtId="0" fontId="3" fillId="0" borderId="0" xfId="8" applyAlignment="1">
      <alignment horizontal="right"/>
    </xf>
    <xf numFmtId="0" fontId="14" fillId="0" borderId="0" xfId="0" applyFont="1"/>
    <xf numFmtId="0" fontId="2" fillId="2" borderId="1" xfId="8" applyFont="1" applyFill="1" applyBorder="1" applyAlignment="1">
      <alignment horizontal="left" vertical="center"/>
    </xf>
    <xf numFmtId="0" fontId="13" fillId="3" borderId="4" xfId="1" applyFont="1" applyBorder="1" applyAlignment="1">
      <alignment horizontal="center" wrapText="1"/>
    </xf>
    <xf numFmtId="2" fontId="0" fillId="7" borderId="0" xfId="0" applyNumberFormat="1" applyFill="1"/>
    <xf numFmtId="2" fontId="0" fillId="0" borderId="0" xfId="0" applyNumberFormat="1"/>
    <xf numFmtId="0" fontId="13" fillId="3" borderId="3" xfId="1" applyFont="1" applyBorder="1" applyAlignment="1">
      <alignment horizontal="left" wrapText="1"/>
    </xf>
    <xf numFmtId="0" fontId="2" fillId="2" borderId="1" xfId="8" applyFont="1" applyFill="1" applyBorder="1" applyAlignment="1">
      <alignment horizontal="left" vertical="center" wrapText="1"/>
    </xf>
    <xf numFmtId="0" fontId="2" fillId="0" borderId="0" xfId="0" applyFont="1" applyAlignment="1">
      <alignment vertical="center"/>
    </xf>
    <xf numFmtId="0" fontId="13" fillId="0" borderId="0" xfId="1" applyFont="1" applyFill="1" applyBorder="1" applyAlignment="1">
      <alignment horizontal="left" wrapText="1"/>
    </xf>
    <xf numFmtId="164" fontId="4" fillId="0" borderId="0" xfId="0" applyNumberFormat="1" applyFont="1"/>
    <xf numFmtId="164" fontId="3" fillId="0" borderId="0" xfId="0" applyNumberFormat="1" applyFont="1"/>
    <xf numFmtId="164" fontId="2" fillId="2" borderId="1" xfId="0" applyNumberFormat="1" applyFont="1" applyFill="1" applyBorder="1" applyAlignment="1">
      <alignment horizontal="left"/>
    </xf>
    <xf numFmtId="164" fontId="2" fillId="2" borderId="3" xfId="0" applyNumberFormat="1" applyFont="1" applyFill="1" applyBorder="1" applyAlignment="1">
      <alignment horizontal="left"/>
    </xf>
    <xf numFmtId="164" fontId="13" fillId="3" borderId="2" xfId="1" applyNumberFormat="1" applyFont="1" applyBorder="1" applyAlignment="1">
      <alignment horizontal="left" wrapText="1"/>
    </xf>
    <xf numFmtId="164" fontId="0" fillId="0" borderId="0" xfId="0" applyNumberFormat="1"/>
    <xf numFmtId="0" fontId="2" fillId="2" borderId="0" xfId="0" applyFont="1" applyFill="1" applyAlignment="1">
      <alignment vertical="center"/>
    </xf>
    <xf numFmtId="164" fontId="0" fillId="9" borderId="0" xfId="0" applyNumberFormat="1" applyFill="1"/>
    <xf numFmtId="9" fontId="0" fillId="9" borderId="0" xfId="0" applyNumberFormat="1" applyFill="1"/>
    <xf numFmtId="2" fontId="3" fillId="8" borderId="0" xfId="5" applyNumberFormat="1" applyFont="1" applyFill="1"/>
    <xf numFmtId="9" fontId="0" fillId="9" borderId="0" xfId="17" applyFont="1" applyFill="1"/>
    <xf numFmtId="9" fontId="0" fillId="0" borderId="0" xfId="0" applyNumberFormat="1"/>
  </cellXfs>
  <cellStyles count="18">
    <cellStyle name="20% - Accent5" xfId="1" builtinId="46"/>
    <cellStyle name="Accent2" xfId="2" builtinId="33"/>
    <cellStyle name="Comma 2" xfId="3" xr:uid="{00000000-0005-0000-0000-000004000000}"/>
    <cellStyle name="Good" xfId="4" builtinId="26"/>
    <cellStyle name="Neutral" xfId="5" builtinId="28"/>
    <cellStyle name="Normal" xfId="0" builtinId="0"/>
    <cellStyle name="Normal 10" xfId="6" xr:uid="{00000000-0005-0000-0000-000009000000}"/>
    <cellStyle name="Normal 2" xfId="7" xr:uid="{00000000-0005-0000-0000-00000A000000}"/>
    <cellStyle name="Normal 4" xfId="8" xr:uid="{00000000-0005-0000-0000-00000B000000}"/>
    <cellStyle name="Normal 4 2" xfId="9" xr:uid="{00000000-0005-0000-0000-00000C000000}"/>
    <cellStyle name="Normal 8" xfId="10" xr:uid="{00000000-0005-0000-0000-00000D000000}"/>
    <cellStyle name="Normal 9 2" xfId="11" xr:uid="{00000000-0005-0000-0000-00000E000000}"/>
    <cellStyle name="Normale_B2020" xfId="12" xr:uid="{00000000-0005-0000-0000-00000F000000}"/>
    <cellStyle name="Percent" xfId="17" builtinId="5"/>
    <cellStyle name="Percent 2" xfId="13" xr:uid="{00000000-0005-0000-0000-000011000000}"/>
    <cellStyle name="Percent 3" xfId="14" xr:uid="{00000000-0005-0000-0000-000012000000}"/>
    <cellStyle name="Percent 4" xfId="15" xr:uid="{00000000-0005-0000-0000-000013000000}"/>
    <cellStyle name="Standard_Sce_D_Extraction" xfId="16" xr:uid="{00000000-0005-0000-0000-000014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173354</xdr:colOff>
      <xdr:row>13</xdr:row>
      <xdr:rowOff>144780</xdr:rowOff>
    </xdr:from>
    <xdr:to>
      <xdr:col>17</xdr:col>
      <xdr:colOff>57254</xdr:colOff>
      <xdr:row>18</xdr:row>
      <xdr:rowOff>142875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2AA526C4-1FCA-4856-8834-3BCE914C093D}"/>
            </a:ext>
          </a:extLst>
        </xdr:cNvPr>
        <xdr:cNvSpPr txBox="1"/>
      </xdr:nvSpPr>
      <xdr:spPr>
        <a:xfrm>
          <a:off x="6678929" y="3145155"/>
          <a:ext cx="7141950" cy="8077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 total primary supply coal demand commodity and (FI_COMM table) and define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 to deliver the  total primary supply coal demand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Wolfgang\c\temphold\TMPL_RES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ME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AA"/>
      <sheetName val="CLA"/>
      <sheetName val="ElastPar"/>
      <sheetName val="Conversion Factors"/>
      <sheetName val="Intro"/>
      <sheetName val="TechRep"/>
      <sheetName val="Other_HYDRO"/>
      <sheetName val="Other_NUCL"/>
      <sheetName val="Other_THERM"/>
      <sheetName val="Other_CHP"/>
      <sheetName val="Other_RENEW"/>
      <sheetName val="Other_HEAT"/>
      <sheetName val="ELC_FUELS"/>
      <sheetName val="ELC"/>
      <sheetName val="HEAT"/>
      <sheetName val="CHP"/>
      <sheetName val="ELC_EMI"/>
      <sheetName val="Constant Table"/>
      <sheetName val="ANS_ITEMS_DEL"/>
      <sheetName val="ANS_ITEMS"/>
      <sheetName val="ANS_TIDDATA"/>
      <sheetName val="ANS_TSDATA"/>
    </sheetNames>
    <sheetDataSet>
      <sheetData sheetId="0" refreshError="1"/>
      <sheetData sheetId="1" refreshError="1"/>
      <sheetData sheetId="2" refreshError="1">
        <row r="2">
          <cell r="A2" t="str">
            <v>^FI_ST: TCH, PRC</v>
          </cell>
        </row>
      </sheetData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U27"/>
  <sheetViews>
    <sheetView tabSelected="1" topLeftCell="C1" zoomScale="73" zoomScaleNormal="120" workbookViewId="0">
      <selection activeCell="L25" sqref="L25"/>
    </sheetView>
  </sheetViews>
  <sheetFormatPr defaultRowHeight="12.75" x14ac:dyDescent="0.2"/>
  <cols>
    <col min="1" max="1" width="3" customWidth="1"/>
    <col min="2" max="2" width="12.140625" bestFit="1" customWidth="1"/>
    <col min="3" max="3" width="15" customWidth="1"/>
    <col min="4" max="4" width="13.85546875" bestFit="1" customWidth="1"/>
    <col min="5" max="5" width="12.28515625" bestFit="1" customWidth="1"/>
    <col min="6" max="6" width="12.140625" bestFit="1" customWidth="1"/>
    <col min="7" max="7" width="7.42578125" bestFit="1" customWidth="1"/>
    <col min="8" max="9" width="9.28515625" bestFit="1" customWidth="1"/>
    <col min="10" max="10" width="9.7109375" bestFit="1" customWidth="1"/>
    <col min="11" max="11" width="6.28515625" bestFit="1" customWidth="1"/>
    <col min="12" max="12" width="12.7109375" bestFit="1" customWidth="1"/>
    <col min="13" max="13" width="12.42578125" bestFit="1" customWidth="1"/>
    <col min="14" max="14" width="11.42578125" bestFit="1" customWidth="1"/>
    <col min="15" max="15" width="42.5703125" bestFit="1" customWidth="1"/>
    <col min="16" max="16" width="7.42578125" bestFit="1" customWidth="1"/>
    <col min="17" max="17" width="11.7109375" customWidth="1"/>
    <col min="18" max="18" width="13.42578125" customWidth="1"/>
    <col min="19" max="19" width="13.85546875" customWidth="1"/>
    <col min="20" max="20" width="8.42578125" customWidth="1"/>
  </cols>
  <sheetData>
    <row r="1" spans="2:21" ht="15" x14ac:dyDescent="0.25">
      <c r="B1" s="6" t="s">
        <v>43</v>
      </c>
      <c r="C1" s="6" t="s">
        <v>44</v>
      </c>
      <c r="D1" s="6" t="s">
        <v>52</v>
      </c>
      <c r="E1" s="6" t="s">
        <v>45</v>
      </c>
      <c r="F1" s="6" t="s">
        <v>46</v>
      </c>
      <c r="H1" s="6" t="s">
        <v>53</v>
      </c>
    </row>
    <row r="2" spans="2:21" x14ac:dyDescent="0.2">
      <c r="L2" s="25" t="s">
        <v>14</v>
      </c>
      <c r="M2" s="25"/>
      <c r="N2" s="26"/>
      <c r="O2" s="26"/>
      <c r="P2" s="26"/>
      <c r="Q2" s="26"/>
      <c r="R2" s="26"/>
      <c r="S2" s="26"/>
      <c r="T2" s="26"/>
    </row>
    <row r="3" spans="2:21" x14ac:dyDescent="0.2">
      <c r="L3" s="27" t="s">
        <v>7</v>
      </c>
      <c r="M3" s="28" t="s">
        <v>30</v>
      </c>
      <c r="N3" s="27" t="s">
        <v>0</v>
      </c>
      <c r="O3" s="27" t="s">
        <v>3</v>
      </c>
      <c r="P3" s="27" t="s">
        <v>4</v>
      </c>
      <c r="Q3" s="27" t="s">
        <v>8</v>
      </c>
      <c r="R3" s="27" t="s">
        <v>9</v>
      </c>
      <c r="S3" s="27" t="s">
        <v>10</v>
      </c>
      <c r="T3" s="27" t="s">
        <v>12</v>
      </c>
    </row>
    <row r="4" spans="2:21" ht="23.25" thickBot="1" x14ac:dyDescent="0.25">
      <c r="L4" s="29" t="s">
        <v>36</v>
      </c>
      <c r="M4" s="29" t="s">
        <v>31</v>
      </c>
      <c r="N4" s="29" t="s">
        <v>26</v>
      </c>
      <c r="O4" s="29" t="s">
        <v>27</v>
      </c>
      <c r="P4" s="29" t="s">
        <v>4</v>
      </c>
      <c r="Q4" s="29" t="s">
        <v>39</v>
      </c>
      <c r="R4" s="29" t="s">
        <v>40</v>
      </c>
      <c r="S4" s="29" t="s">
        <v>28</v>
      </c>
      <c r="T4" s="29" t="s">
        <v>29</v>
      </c>
    </row>
    <row r="5" spans="2:21" ht="15.75" x14ac:dyDescent="0.25">
      <c r="B5" s="13"/>
      <c r="C5" s="13"/>
      <c r="D5" s="13"/>
      <c r="E5" s="13"/>
      <c r="F5" s="13"/>
      <c r="L5" t="s">
        <v>50</v>
      </c>
      <c r="N5" t="s">
        <v>70</v>
      </c>
      <c r="O5" t="s">
        <v>69</v>
      </c>
      <c r="P5" t="s">
        <v>100</v>
      </c>
      <c r="Q5" s="26"/>
      <c r="R5" s="26"/>
      <c r="S5" s="26"/>
      <c r="T5" s="26"/>
    </row>
    <row r="8" spans="2:21" x14ac:dyDescent="0.2">
      <c r="D8" s="4" t="s">
        <v>13</v>
      </c>
      <c r="E8" s="4"/>
      <c r="F8" s="4"/>
      <c r="H8" s="4"/>
      <c r="I8" s="14"/>
      <c r="J8" s="15"/>
      <c r="M8" s="25" t="s">
        <v>15</v>
      </c>
      <c r="N8" s="30"/>
      <c r="O8" s="30"/>
      <c r="P8" s="30"/>
      <c r="Q8" s="30"/>
      <c r="R8" s="30"/>
      <c r="S8" s="30"/>
      <c r="T8" s="30"/>
    </row>
    <row r="9" spans="2:21" x14ac:dyDescent="0.2">
      <c r="B9" s="17" t="s">
        <v>1</v>
      </c>
      <c r="C9" s="17" t="s">
        <v>5</v>
      </c>
      <c r="D9" s="17" t="s">
        <v>6</v>
      </c>
      <c r="E9" s="22" t="s">
        <v>54</v>
      </c>
      <c r="F9" s="17" t="s">
        <v>55</v>
      </c>
      <c r="G9" s="17" t="s">
        <v>56</v>
      </c>
      <c r="H9" s="17" t="s">
        <v>57</v>
      </c>
      <c r="I9" s="17" t="s">
        <v>58</v>
      </c>
      <c r="J9" s="17" t="s">
        <v>102</v>
      </c>
      <c r="K9" s="22" t="s">
        <v>59</v>
      </c>
      <c r="M9" s="27" t="s">
        <v>11</v>
      </c>
      <c r="N9" s="28" t="s">
        <v>30</v>
      </c>
      <c r="O9" s="27" t="s">
        <v>1</v>
      </c>
      <c r="P9" s="27" t="s">
        <v>2</v>
      </c>
      <c r="Q9" s="27" t="s">
        <v>16</v>
      </c>
      <c r="R9" s="27" t="s">
        <v>17</v>
      </c>
      <c r="S9" s="27" t="s">
        <v>18</v>
      </c>
      <c r="T9" s="27" t="s">
        <v>19</v>
      </c>
      <c r="U9" s="27" t="s">
        <v>20</v>
      </c>
    </row>
    <row r="10" spans="2:21" ht="36.75" customHeight="1" thickBot="1" x14ac:dyDescent="0.25">
      <c r="B10" s="9" t="s">
        <v>38</v>
      </c>
      <c r="C10" s="9" t="s">
        <v>32</v>
      </c>
      <c r="D10" s="9" t="s">
        <v>33</v>
      </c>
      <c r="E10" s="9" t="s">
        <v>60</v>
      </c>
      <c r="F10" s="9" t="s">
        <v>61</v>
      </c>
      <c r="G10" s="21" t="s">
        <v>62</v>
      </c>
      <c r="H10" s="9" t="s">
        <v>63</v>
      </c>
      <c r="I10" s="9" t="s">
        <v>64</v>
      </c>
      <c r="J10" s="9" t="s">
        <v>103</v>
      </c>
      <c r="K10" s="9" t="s">
        <v>67</v>
      </c>
      <c r="M10" s="29" t="s">
        <v>37</v>
      </c>
      <c r="N10" s="29" t="s">
        <v>31</v>
      </c>
      <c r="O10" s="29" t="s">
        <v>21</v>
      </c>
      <c r="P10" s="29" t="s">
        <v>22</v>
      </c>
      <c r="Q10" s="29" t="s">
        <v>23</v>
      </c>
      <c r="R10" s="29" t="s">
        <v>24</v>
      </c>
      <c r="S10" s="29" t="s">
        <v>42</v>
      </c>
      <c r="T10" s="29" t="s">
        <v>41</v>
      </c>
      <c r="U10" s="29" t="s">
        <v>25</v>
      </c>
    </row>
    <row r="11" spans="2:21" ht="13.5" thickBot="1" x14ac:dyDescent="0.25">
      <c r="B11" s="8" t="s">
        <v>51</v>
      </c>
      <c r="C11" s="8"/>
      <c r="D11" s="8"/>
      <c r="E11" s="7" t="str">
        <f>E2&amp;"a"</f>
        <v>a</v>
      </c>
      <c r="F11" s="7"/>
      <c r="G11" s="18"/>
      <c r="H11" s="7" t="str">
        <f>$F$2&amp;"/"&amp;$E$2</f>
        <v>/</v>
      </c>
      <c r="I11" s="7" t="str">
        <f>$F$2&amp;"/"&amp;$E$2&amp;"a"</f>
        <v>/a</v>
      </c>
      <c r="J11" s="7"/>
      <c r="K11" s="7" t="s">
        <v>65</v>
      </c>
      <c r="M11" s="29" t="s">
        <v>48</v>
      </c>
      <c r="N11" s="29"/>
      <c r="O11" s="29"/>
      <c r="P11" s="29"/>
      <c r="Q11" s="29"/>
      <c r="R11" s="29"/>
      <c r="S11" s="29"/>
      <c r="T11" s="29"/>
      <c r="U11" s="29"/>
    </row>
    <row r="12" spans="2:21" x14ac:dyDescent="0.2">
      <c r="B12" s="30" t="str">
        <f>O12</f>
        <v>DTECHELC</v>
      </c>
      <c r="C12" t="s">
        <v>68</v>
      </c>
      <c r="D12" t="str">
        <f>N5</f>
        <v>DEMELC</v>
      </c>
      <c r="F12" s="19">
        <v>1</v>
      </c>
      <c r="G12" s="19"/>
      <c r="H12" s="12"/>
      <c r="I12" s="19"/>
      <c r="J12" s="19">
        <v>8.76</v>
      </c>
      <c r="K12" s="12">
        <v>20</v>
      </c>
      <c r="M12" s="26" t="s">
        <v>66</v>
      </c>
      <c r="N12" s="30"/>
      <c r="O12" s="30" t="s">
        <v>74</v>
      </c>
      <c r="P12" s="30" t="s">
        <v>75</v>
      </c>
      <c r="Q12" s="32" t="s">
        <v>100</v>
      </c>
      <c r="R12" s="32" t="s">
        <v>101</v>
      </c>
      <c r="S12" s="30"/>
      <c r="T12" s="30"/>
      <c r="U12" s="30"/>
    </row>
    <row r="13" spans="2:21" x14ac:dyDescent="0.2">
      <c r="E13" s="5"/>
      <c r="F13" s="20"/>
      <c r="G13" s="20"/>
      <c r="I13" s="20"/>
      <c r="O13" s="10"/>
    </row>
    <row r="14" spans="2:21" x14ac:dyDescent="0.2">
      <c r="E14" s="5"/>
      <c r="F14" s="20"/>
      <c r="G14" s="20"/>
      <c r="I14" s="20"/>
      <c r="O14" s="10"/>
    </row>
    <row r="17" spans="9:11" x14ac:dyDescent="0.2">
      <c r="I17" s="16"/>
    </row>
    <row r="18" spans="9:11" x14ac:dyDescent="0.2">
      <c r="I18" s="16"/>
    </row>
    <row r="24" spans="9:11" x14ac:dyDescent="0.2">
      <c r="K24" s="1"/>
    </row>
    <row r="25" spans="9:11" x14ac:dyDescent="0.2">
      <c r="K25" s="1"/>
    </row>
    <row r="26" spans="9:11" x14ac:dyDescent="0.2">
      <c r="K26" s="1"/>
    </row>
    <row r="27" spans="9:11" x14ac:dyDescent="0.2">
      <c r="K27" s="1"/>
    </row>
  </sheetData>
  <pageMargins left="0.7" right="0.7" top="0.75" bottom="0.75" header="0.3" footer="0.3"/>
  <drawing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3:M34"/>
  <sheetViews>
    <sheetView zoomScale="66" zoomScaleNormal="140" workbookViewId="0">
      <selection activeCell="F19" sqref="F19"/>
    </sheetView>
  </sheetViews>
  <sheetFormatPr defaultRowHeight="12.75" x14ac:dyDescent="0.2"/>
  <cols>
    <col min="1" max="1" width="2" bestFit="1" customWidth="1"/>
    <col min="2" max="2" width="11.5703125" bestFit="1" customWidth="1"/>
    <col min="3" max="3" width="25.28515625" bestFit="1" customWidth="1"/>
    <col min="4" max="4" width="10.28515625" bestFit="1" customWidth="1"/>
    <col min="5" max="5" width="10.85546875" bestFit="1" customWidth="1"/>
    <col min="6" max="9" width="12.42578125" customWidth="1"/>
    <col min="10" max="10" width="7.28515625" customWidth="1"/>
    <col min="11" max="11" width="11.42578125" bestFit="1" customWidth="1"/>
  </cols>
  <sheetData>
    <row r="3" spans="2:10" x14ac:dyDescent="0.2">
      <c r="C3" s="3" t="s">
        <v>13</v>
      </c>
      <c r="D3" s="3"/>
      <c r="E3" s="1"/>
      <c r="G3" s="4" t="s">
        <v>13</v>
      </c>
    </row>
    <row r="4" spans="2:10" x14ac:dyDescent="0.2">
      <c r="B4" s="2" t="s">
        <v>47</v>
      </c>
      <c r="C4" s="2" t="s">
        <v>0</v>
      </c>
      <c r="D4" s="2">
        <v>2025</v>
      </c>
      <c r="F4" s="23"/>
      <c r="G4" s="31" t="s">
        <v>72</v>
      </c>
      <c r="H4" s="23" t="s">
        <v>0</v>
      </c>
      <c r="I4" s="23" t="s">
        <v>71</v>
      </c>
      <c r="J4" s="23">
        <v>2025</v>
      </c>
    </row>
    <row r="5" spans="2:10" ht="22.5" x14ac:dyDescent="0.2">
      <c r="B5" s="9" t="s">
        <v>48</v>
      </c>
      <c r="C5" s="9" t="s">
        <v>49</v>
      </c>
      <c r="D5" s="9" t="s">
        <v>35</v>
      </c>
      <c r="F5" s="24"/>
      <c r="G5" s="24" t="s">
        <v>48</v>
      </c>
      <c r="I5" s="24"/>
      <c r="J5" s="24"/>
    </row>
    <row r="6" spans="2:10" ht="13.5" thickBot="1" x14ac:dyDescent="0.25">
      <c r="B6" s="8" t="s">
        <v>51</v>
      </c>
      <c r="C6" s="8"/>
      <c r="D6" s="8"/>
      <c r="F6" s="24"/>
      <c r="G6" s="24" t="s">
        <v>48</v>
      </c>
      <c r="I6" s="24"/>
      <c r="J6" s="24"/>
    </row>
    <row r="7" spans="2:10" x14ac:dyDescent="0.2">
      <c r="B7" t="s">
        <v>34</v>
      </c>
      <c r="C7" t="str">
        <f>DemTechs_TPS!N5</f>
        <v>DEMELC</v>
      </c>
      <c r="D7" s="34">
        <v>7.94</v>
      </c>
      <c r="G7" t="s">
        <v>73</v>
      </c>
      <c r="H7" t="str">
        <f>$C$7</f>
        <v>DEMELC</v>
      </c>
      <c r="I7" t="s">
        <v>76</v>
      </c>
      <c r="J7" s="33">
        <v>3.9907549910668097E-2</v>
      </c>
    </row>
    <row r="8" spans="2:10" x14ac:dyDescent="0.2">
      <c r="E8" s="5"/>
      <c r="G8" t="s">
        <v>73</v>
      </c>
      <c r="H8" t="str">
        <f t="shared" ref="H8:H30" si="0">$C$7</f>
        <v>DEMELC</v>
      </c>
      <c r="I8" t="s">
        <v>77</v>
      </c>
      <c r="J8" s="33">
        <v>4.2568441071658941E-2</v>
      </c>
    </row>
    <row r="9" spans="2:10" x14ac:dyDescent="0.2">
      <c r="G9" t="s">
        <v>73</v>
      </c>
      <c r="H9" t="str">
        <f t="shared" si="0"/>
        <v>DEMELC</v>
      </c>
      <c r="I9" t="s">
        <v>78</v>
      </c>
      <c r="J9" s="33">
        <v>4.9357090706698532E-2</v>
      </c>
    </row>
    <row r="10" spans="2:10" x14ac:dyDescent="0.2">
      <c r="E10" s="11"/>
      <c r="G10" t="s">
        <v>73</v>
      </c>
      <c r="H10" t="str">
        <f t="shared" si="0"/>
        <v>DEMELC</v>
      </c>
      <c r="I10" t="s">
        <v>79</v>
      </c>
      <c r="J10" s="33">
        <v>4.6935749761719207E-2</v>
      </c>
    </row>
    <row r="11" spans="2:10" x14ac:dyDescent="0.2">
      <c r="E11" s="5"/>
      <c r="G11" t="s">
        <v>73</v>
      </c>
      <c r="H11" t="str">
        <f t="shared" si="0"/>
        <v>DEMELC</v>
      </c>
      <c r="I11" t="s">
        <v>80</v>
      </c>
      <c r="J11" s="33">
        <v>5.0324370403048241E-2</v>
      </c>
    </row>
    <row r="12" spans="2:10" x14ac:dyDescent="0.2">
      <c r="G12" t="s">
        <v>73</v>
      </c>
      <c r="H12" t="str">
        <f t="shared" si="0"/>
        <v>DEMELC</v>
      </c>
      <c r="I12" t="s">
        <v>81</v>
      </c>
      <c r="J12" s="33">
        <v>4.644570688133022E-2</v>
      </c>
    </row>
    <row r="13" spans="2:10" x14ac:dyDescent="0.2">
      <c r="E13" s="5"/>
      <c r="G13" t="s">
        <v>73</v>
      </c>
      <c r="H13" t="str">
        <f t="shared" si="0"/>
        <v>DEMELC</v>
      </c>
      <c r="I13" t="s">
        <v>82</v>
      </c>
      <c r="J13" s="35">
        <v>3.198760977379362E-2</v>
      </c>
    </row>
    <row r="14" spans="2:10" x14ac:dyDescent="0.2">
      <c r="G14" t="s">
        <v>73</v>
      </c>
      <c r="H14" t="str">
        <f t="shared" si="0"/>
        <v>DEMELC</v>
      </c>
      <c r="I14" t="s">
        <v>83</v>
      </c>
      <c r="J14" s="35">
        <v>3.450628688202826E-2</v>
      </c>
    </row>
    <row r="15" spans="2:10" x14ac:dyDescent="0.2">
      <c r="G15" t="s">
        <v>73</v>
      </c>
      <c r="H15" t="str">
        <f t="shared" si="0"/>
        <v>DEMELC</v>
      </c>
      <c r="I15" t="s">
        <v>84</v>
      </c>
      <c r="J15" s="35">
        <v>4.1710976210981882E-2</v>
      </c>
    </row>
    <row r="16" spans="2:10" x14ac:dyDescent="0.2">
      <c r="G16" t="s">
        <v>73</v>
      </c>
      <c r="H16" t="str">
        <f t="shared" si="0"/>
        <v>DEMELC</v>
      </c>
      <c r="I16" t="s">
        <v>85</v>
      </c>
      <c r="J16" s="35">
        <v>4.110700091078253E-2</v>
      </c>
    </row>
    <row r="17" spans="7:10" x14ac:dyDescent="0.2">
      <c r="G17" t="s">
        <v>73</v>
      </c>
      <c r="H17" t="str">
        <f t="shared" si="0"/>
        <v>DEMELC</v>
      </c>
      <c r="I17" t="s">
        <v>86</v>
      </c>
      <c r="J17" s="35">
        <v>3.8350662386599552E-2</v>
      </c>
    </row>
    <row r="18" spans="7:10" x14ac:dyDescent="0.2">
      <c r="G18" t="s">
        <v>73</v>
      </c>
      <c r="H18" t="str">
        <f t="shared" si="0"/>
        <v>DEMELC</v>
      </c>
      <c r="I18" t="s">
        <v>87</v>
      </c>
      <c r="J18" s="35">
        <v>3.7409762931132108E-2</v>
      </c>
    </row>
    <row r="19" spans="7:10" x14ac:dyDescent="0.2">
      <c r="G19" t="s">
        <v>73</v>
      </c>
      <c r="H19" t="str">
        <f t="shared" si="0"/>
        <v>DEMELC</v>
      </c>
      <c r="I19" t="s">
        <v>88</v>
      </c>
      <c r="J19" s="35">
        <v>3.1132436657193206E-2</v>
      </c>
    </row>
    <row r="20" spans="7:10" x14ac:dyDescent="0.2">
      <c r="G20" t="s">
        <v>73</v>
      </c>
      <c r="H20" t="str">
        <f t="shared" si="0"/>
        <v>DEMELC</v>
      </c>
      <c r="I20" t="s">
        <v>89</v>
      </c>
      <c r="J20" s="35">
        <v>3.3429633070020642E-2</v>
      </c>
    </row>
    <row r="21" spans="7:10" x14ac:dyDescent="0.2">
      <c r="G21" t="s">
        <v>73</v>
      </c>
      <c r="H21" t="str">
        <f t="shared" si="0"/>
        <v>DEMELC</v>
      </c>
      <c r="I21" t="s">
        <v>90</v>
      </c>
      <c r="J21" s="35">
        <v>4.2259483749326171E-2</v>
      </c>
    </row>
    <row r="22" spans="7:10" x14ac:dyDescent="0.2">
      <c r="G22" t="s">
        <v>73</v>
      </c>
      <c r="H22" t="str">
        <f t="shared" si="0"/>
        <v>DEMELC</v>
      </c>
      <c r="I22" t="s">
        <v>91</v>
      </c>
      <c r="J22" s="35">
        <v>4.1634467216423117E-2</v>
      </c>
    </row>
    <row r="23" spans="7:10" x14ac:dyDescent="0.2">
      <c r="G23" t="s">
        <v>73</v>
      </c>
      <c r="H23" t="str">
        <f t="shared" si="0"/>
        <v>DEMELC</v>
      </c>
      <c r="I23" t="s">
        <v>92</v>
      </c>
      <c r="J23" s="35">
        <v>3.9259389280991014E-2</v>
      </c>
    </row>
    <row r="24" spans="7:10" x14ac:dyDescent="0.2">
      <c r="G24" t="s">
        <v>73</v>
      </c>
      <c r="H24" t="str">
        <f t="shared" si="0"/>
        <v>DEMELC</v>
      </c>
      <c r="I24" t="s">
        <v>93</v>
      </c>
      <c r="J24" s="35">
        <v>3.742541478765557E-2</v>
      </c>
    </row>
    <row r="25" spans="7:10" x14ac:dyDescent="0.2">
      <c r="G25" t="s">
        <v>73</v>
      </c>
      <c r="H25" t="str">
        <f t="shared" si="0"/>
        <v>DEMELC</v>
      </c>
      <c r="I25" t="s">
        <v>94</v>
      </c>
      <c r="J25" s="35">
        <v>3.8818644082250733E-2</v>
      </c>
    </row>
    <row r="26" spans="7:10" x14ac:dyDescent="0.2">
      <c r="G26" t="s">
        <v>73</v>
      </c>
      <c r="H26" t="str">
        <f t="shared" si="0"/>
        <v>DEMELC</v>
      </c>
      <c r="I26" t="s">
        <v>95</v>
      </c>
      <c r="J26" s="35">
        <v>4.101069729156176E-2</v>
      </c>
    </row>
    <row r="27" spans="7:10" x14ac:dyDescent="0.2">
      <c r="G27" t="s">
        <v>73</v>
      </c>
      <c r="H27" t="str">
        <f t="shared" si="0"/>
        <v>DEMELC</v>
      </c>
      <c r="I27" t="s">
        <v>96</v>
      </c>
      <c r="J27" s="35">
        <v>4.9652911424591967E-2</v>
      </c>
    </row>
    <row r="28" spans="7:10" x14ac:dyDescent="0.2">
      <c r="G28" t="s">
        <v>73</v>
      </c>
      <c r="H28" t="str">
        <f t="shared" si="0"/>
        <v>DEMELC</v>
      </c>
      <c r="I28" t="s">
        <v>97</v>
      </c>
      <c r="J28" s="35">
        <v>4.9211095905815884E-2</v>
      </c>
    </row>
    <row r="29" spans="7:10" x14ac:dyDescent="0.2">
      <c r="G29" t="s">
        <v>73</v>
      </c>
      <c r="H29" t="str">
        <f t="shared" si="0"/>
        <v>DEMELC</v>
      </c>
      <c r="I29" t="s">
        <v>98</v>
      </c>
      <c r="J29" s="35">
        <v>5.0243422728341029E-2</v>
      </c>
    </row>
    <row r="30" spans="7:10" x14ac:dyDescent="0.2">
      <c r="G30" t="s">
        <v>73</v>
      </c>
      <c r="H30" t="str">
        <f t="shared" si="0"/>
        <v>DEMELC</v>
      </c>
      <c r="I30" t="s">
        <v>99</v>
      </c>
      <c r="J30" s="35">
        <v>4.5311195975387637E-2</v>
      </c>
    </row>
    <row r="34" spans="13:13" x14ac:dyDescent="0.2">
      <c r="M34" s="36">
        <f>SUM(J7:J30)</f>
        <v>1.0000000000000002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DemTechs_TPS</vt:lpstr>
      <vt:lpstr>Demands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Kristopher Raik</cp:lastModifiedBy>
  <cp:lastPrinted>2004-11-16T14:57:57Z</cp:lastPrinted>
  <dcterms:created xsi:type="dcterms:W3CDTF">2000-12-13T15:53:11Z</dcterms:created>
  <dcterms:modified xsi:type="dcterms:W3CDTF">2026-09-18T13:01:45Z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632588684558868</vt:r8>
  </property>
</Properties>
</file>