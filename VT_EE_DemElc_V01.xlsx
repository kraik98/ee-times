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88DB72BC-DADA-40C9-94B1-229B68B95B9D}" xr6:coauthVersionLast="47" xr6:coauthVersionMax="47" xr10:uidLastSave="{00000000-0000-0000-0000-000000000000}"/>
  <bookViews>
    <workbookView xWindow="-80" yWindow="-80" windowWidth="19360" windowHeight="11440" tabRatio="901" activeTab="1" xr2:uid="{00000000-000D-0000-FFFF-FFFF00000000}"/>
  </bookViews>
  <sheets>
    <sheet name="DemTechs_TPS" sheetId="136" r:id="rId1"/>
    <sheet name="Demands" sheetId="134" r:id="rId2"/>
    <sheet name="SUBELCDEMTechs" sheetId="137" r:id="rId3"/>
    <sheet name="SUBELC_Demands" sheetId="138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38" l="1"/>
  <c r="C9" i="138"/>
  <c r="C10" i="138"/>
  <c r="C7" i="138"/>
  <c r="E20" i="137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P34" i="134" l="1"/>
  <c r="C7" i="134" l="1"/>
  <c r="K29" i="134" s="1"/>
  <c r="B12" i="136"/>
  <c r="D12" i="136"/>
  <c r="K16" i="134" l="1"/>
  <c r="K17" i="134"/>
  <c r="K18" i="134"/>
  <c r="K19" i="134"/>
  <c r="K30" i="134"/>
  <c r="K20" i="134"/>
  <c r="K7" i="134"/>
  <c r="K21" i="134"/>
  <c r="K8" i="134"/>
  <c r="K22" i="134"/>
  <c r="K9" i="134"/>
  <c r="K23" i="134"/>
  <c r="K10" i="134"/>
  <c r="K24" i="134"/>
  <c r="K11" i="134"/>
  <c r="K25" i="134"/>
  <c r="K12" i="134"/>
  <c r="K26" i="134"/>
  <c r="K13" i="134"/>
  <c r="K27" i="134"/>
  <c r="K14" i="134"/>
  <c r="K28" i="134"/>
  <c r="K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<sst xmlns="http://schemas.openxmlformats.org/spreadsheetml/2006/main" count="254" uniqueCount="121">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</sst>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P34"/>
  <sheetViews>
    <sheetView tabSelected="1" zoomScale="87" zoomScaleNormal="140" workbookViewId="0">
      <selection activeCell="G14" sqref="G14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3" x14ac:dyDescent="0.2">
      <c r="C3" s="3" t="s">
        <v>13</v>
      </c>
      <c r="D3" s="3"/>
      <c r="E3" s="1"/>
      <c r="J3" s="4" t="s">
        <v>120</v>
      </c>
    </row>
    <row r="4" spans="2:13" x14ac:dyDescent="0.2">
      <c r="B4" s="2" t="s">
        <v>47</v>
      </c>
      <c r="C4" s="2" t="s">
        <v>0</v>
      </c>
      <c r="D4" s="2">
        <v>2025</v>
      </c>
      <c r="I4" s="23"/>
      <c r="J4" s="31" t="s">
        <v>71</v>
      </c>
      <c r="K4" s="23" t="s">
        <v>0</v>
      </c>
      <c r="L4" s="23" t="s">
        <v>70</v>
      </c>
      <c r="M4" s="23">
        <v>2025</v>
      </c>
    </row>
    <row r="5" spans="2:13" ht="22.5" x14ac:dyDescent="0.2">
      <c r="B5" s="9" t="s">
        <v>48</v>
      </c>
      <c r="C5" s="9" t="s">
        <v>49</v>
      </c>
      <c r="D5" s="9" t="s">
        <v>35</v>
      </c>
      <c r="I5" s="24"/>
      <c r="J5" s="24" t="s">
        <v>48</v>
      </c>
      <c r="L5" s="24"/>
      <c r="M5" s="24"/>
    </row>
    <row r="6" spans="2:13" ht="13.5" thickBot="1" x14ac:dyDescent="0.25">
      <c r="B6" s="8" t="s">
        <v>51</v>
      </c>
      <c r="C6" s="8"/>
      <c r="D6" s="8"/>
      <c r="I6" s="24"/>
      <c r="J6" s="24" t="s">
        <v>48</v>
      </c>
      <c r="L6" s="24"/>
      <c r="M6" s="24"/>
    </row>
    <row r="7" spans="2:13" x14ac:dyDescent="0.2">
      <c r="B7" t="s">
        <v>34</v>
      </c>
      <c r="C7" t="str">
        <f>DemTechs_TPS!N5</f>
        <v>DEMELC</v>
      </c>
      <c r="D7" s="34"/>
      <c r="J7" t="s">
        <v>72</v>
      </c>
      <c r="K7" t="str">
        <f>$C$7</f>
        <v>DEMELC</v>
      </c>
      <c r="L7" t="s">
        <v>75</v>
      </c>
      <c r="M7" s="33">
        <v>3.9907549910668097E-2</v>
      </c>
    </row>
    <row r="8" spans="2:13" x14ac:dyDescent="0.2">
      <c r="E8" s="5"/>
      <c r="J8" t="s">
        <v>72</v>
      </c>
      <c r="K8" t="str">
        <f t="shared" ref="K8:K30" si="0">$C$7</f>
        <v>DEMELC</v>
      </c>
      <c r="L8" t="s">
        <v>76</v>
      </c>
      <c r="M8" s="33">
        <v>4.2568441071658941E-2</v>
      </c>
    </row>
    <row r="9" spans="2:13" x14ac:dyDescent="0.2">
      <c r="J9" t="s">
        <v>72</v>
      </c>
      <c r="K9" t="str">
        <f t="shared" si="0"/>
        <v>DEMELC</v>
      </c>
      <c r="L9" t="s">
        <v>77</v>
      </c>
      <c r="M9" s="33">
        <v>4.9357090706698532E-2</v>
      </c>
    </row>
    <row r="10" spans="2:13" x14ac:dyDescent="0.2">
      <c r="E10" s="11"/>
      <c r="J10" t="s">
        <v>72</v>
      </c>
      <c r="K10" t="str">
        <f t="shared" si="0"/>
        <v>DEMELC</v>
      </c>
      <c r="L10" t="s">
        <v>78</v>
      </c>
      <c r="M10" s="33">
        <v>4.6935749761719207E-2</v>
      </c>
    </row>
    <row r="11" spans="2:13" x14ac:dyDescent="0.2">
      <c r="E11" s="5"/>
      <c r="J11" t="s">
        <v>72</v>
      </c>
      <c r="K11" t="str">
        <f t="shared" si="0"/>
        <v>DEMELC</v>
      </c>
      <c r="L11" t="s">
        <v>79</v>
      </c>
      <c r="M11" s="33">
        <v>5.0324370403048241E-2</v>
      </c>
    </row>
    <row r="12" spans="2:13" x14ac:dyDescent="0.2">
      <c r="J12" t="s">
        <v>72</v>
      </c>
      <c r="K12" t="str">
        <f t="shared" si="0"/>
        <v>DEMELC</v>
      </c>
      <c r="L12" t="s">
        <v>80</v>
      </c>
      <c r="M12" s="33">
        <v>4.644570688133022E-2</v>
      </c>
    </row>
    <row r="13" spans="2:13" x14ac:dyDescent="0.2">
      <c r="E13" s="5"/>
      <c r="J13" t="s">
        <v>72</v>
      </c>
      <c r="K13" t="str">
        <f t="shared" si="0"/>
        <v>DEMELC</v>
      </c>
      <c r="L13" t="s">
        <v>81</v>
      </c>
      <c r="M13" s="35">
        <v>3.198760977379362E-2</v>
      </c>
    </row>
    <row r="14" spans="2:13" x14ac:dyDescent="0.2">
      <c r="J14" t="s">
        <v>72</v>
      </c>
      <c r="K14" t="str">
        <f t="shared" si="0"/>
        <v>DEMELC</v>
      </c>
      <c r="L14" t="s">
        <v>82</v>
      </c>
      <c r="M14" s="35">
        <v>3.450628688202826E-2</v>
      </c>
    </row>
    <row r="15" spans="2:13" x14ac:dyDescent="0.2">
      <c r="J15" t="s">
        <v>72</v>
      </c>
      <c r="K15" t="str">
        <f t="shared" si="0"/>
        <v>DEMELC</v>
      </c>
      <c r="L15" t="s">
        <v>83</v>
      </c>
      <c r="M15" s="35">
        <v>4.1710976210981882E-2</v>
      </c>
    </row>
    <row r="16" spans="2:13" x14ac:dyDescent="0.2">
      <c r="J16" t="s">
        <v>72</v>
      </c>
      <c r="K16" t="str">
        <f t="shared" si="0"/>
        <v>DEMELC</v>
      </c>
      <c r="L16" t="s">
        <v>84</v>
      </c>
      <c r="M16" s="35">
        <v>4.110700091078253E-2</v>
      </c>
    </row>
    <row r="17" spans="10:13" x14ac:dyDescent="0.2">
      <c r="J17" t="s">
        <v>72</v>
      </c>
      <c r="K17" t="str">
        <f t="shared" si="0"/>
        <v>DEMELC</v>
      </c>
      <c r="L17" t="s">
        <v>85</v>
      </c>
      <c r="M17" s="35">
        <v>3.8350662386599552E-2</v>
      </c>
    </row>
    <row r="18" spans="10:13" x14ac:dyDescent="0.2">
      <c r="J18" t="s">
        <v>72</v>
      </c>
      <c r="K18" t="str">
        <f t="shared" si="0"/>
        <v>DEMELC</v>
      </c>
      <c r="L18" t="s">
        <v>86</v>
      </c>
      <c r="M18" s="35">
        <v>3.7409762931132108E-2</v>
      </c>
    </row>
    <row r="19" spans="10:13" x14ac:dyDescent="0.2">
      <c r="J19" t="s">
        <v>72</v>
      </c>
      <c r="K19" t="str">
        <f t="shared" si="0"/>
        <v>DEMELC</v>
      </c>
      <c r="L19" t="s">
        <v>87</v>
      </c>
      <c r="M19" s="35">
        <v>3.1132436657193206E-2</v>
      </c>
    </row>
    <row r="20" spans="10:13" x14ac:dyDescent="0.2">
      <c r="J20" t="s">
        <v>72</v>
      </c>
      <c r="K20" t="str">
        <f t="shared" si="0"/>
        <v>DEMELC</v>
      </c>
      <c r="L20" t="s">
        <v>88</v>
      </c>
      <c r="M20" s="35">
        <v>3.3429633070020642E-2</v>
      </c>
    </row>
    <row r="21" spans="10:13" x14ac:dyDescent="0.2">
      <c r="J21" t="s">
        <v>72</v>
      </c>
      <c r="K21" t="str">
        <f t="shared" si="0"/>
        <v>DEMELC</v>
      </c>
      <c r="L21" t="s">
        <v>89</v>
      </c>
      <c r="M21" s="35">
        <v>4.2259483749326171E-2</v>
      </c>
    </row>
    <row r="22" spans="10:13" x14ac:dyDescent="0.2">
      <c r="J22" t="s">
        <v>72</v>
      </c>
      <c r="K22" t="str">
        <f t="shared" si="0"/>
        <v>DEMELC</v>
      </c>
      <c r="L22" t="s">
        <v>90</v>
      </c>
      <c r="M22" s="35">
        <v>4.1634467216423117E-2</v>
      </c>
    </row>
    <row r="23" spans="10:13" x14ac:dyDescent="0.2">
      <c r="J23" t="s">
        <v>72</v>
      </c>
      <c r="K23" t="str">
        <f t="shared" si="0"/>
        <v>DEMELC</v>
      </c>
      <c r="L23" t="s">
        <v>91</v>
      </c>
      <c r="M23" s="35">
        <v>3.9259389280991014E-2</v>
      </c>
    </row>
    <row r="24" spans="10:13" x14ac:dyDescent="0.2">
      <c r="J24" t="s">
        <v>72</v>
      </c>
      <c r="K24" t="str">
        <f t="shared" si="0"/>
        <v>DEMELC</v>
      </c>
      <c r="L24" t="s">
        <v>92</v>
      </c>
      <c r="M24" s="35">
        <v>3.742541478765557E-2</v>
      </c>
    </row>
    <row r="25" spans="10:13" x14ac:dyDescent="0.2">
      <c r="J25" t="s">
        <v>72</v>
      </c>
      <c r="K25" t="str">
        <f t="shared" si="0"/>
        <v>DEMELC</v>
      </c>
      <c r="L25" t="s">
        <v>93</v>
      </c>
      <c r="M25" s="35">
        <v>3.8818644082250733E-2</v>
      </c>
    </row>
    <row r="26" spans="10:13" x14ac:dyDescent="0.2">
      <c r="J26" t="s">
        <v>72</v>
      </c>
      <c r="K26" t="str">
        <f t="shared" si="0"/>
        <v>DEMELC</v>
      </c>
      <c r="L26" t="s">
        <v>94</v>
      </c>
      <c r="M26" s="35">
        <v>4.101069729156176E-2</v>
      </c>
    </row>
    <row r="27" spans="10:13" x14ac:dyDescent="0.2">
      <c r="J27" t="s">
        <v>72</v>
      </c>
      <c r="K27" t="str">
        <f t="shared" si="0"/>
        <v>DEMELC</v>
      </c>
      <c r="L27" t="s">
        <v>95</v>
      </c>
      <c r="M27" s="35">
        <v>4.9652911424591967E-2</v>
      </c>
    </row>
    <row r="28" spans="10:13" x14ac:dyDescent="0.2">
      <c r="J28" t="s">
        <v>72</v>
      </c>
      <c r="K28" t="str">
        <f t="shared" si="0"/>
        <v>DEMELC</v>
      </c>
      <c r="L28" t="s">
        <v>96</v>
      </c>
      <c r="M28" s="35">
        <v>4.9211095905815884E-2</v>
      </c>
    </row>
    <row r="29" spans="10:13" x14ac:dyDescent="0.2">
      <c r="J29" t="s">
        <v>72</v>
      </c>
      <c r="K29" t="str">
        <f t="shared" si="0"/>
        <v>DEMELC</v>
      </c>
      <c r="L29" t="s">
        <v>97</v>
      </c>
      <c r="M29" s="35">
        <v>5.0243422728341029E-2</v>
      </c>
    </row>
    <row r="30" spans="10:13" x14ac:dyDescent="0.2">
      <c r="J30" t="s">
        <v>72</v>
      </c>
      <c r="K30" t="str">
        <f t="shared" si="0"/>
        <v>DEMELC</v>
      </c>
      <c r="L30" t="s">
        <v>98</v>
      </c>
      <c r="M30" s="35">
        <v>4.5311195975387637E-2</v>
      </c>
    </row>
    <row r="34" spans="16:16" x14ac:dyDescent="0.2">
      <c r="P34" s="36">
        <f>SUM(M7:M30)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opLeftCell="M1" zoomScale="70" workbookViewId="0">
      <selection activeCell="AA24" sqref="AA24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  <c r="W9" t="s">
        <v>99</v>
      </c>
    </row>
    <row r="10" spans="3:27" x14ac:dyDescent="0.2">
      <c r="S10" t="s">
        <v>50</v>
      </c>
      <c r="U10" s="37" t="s">
        <v>106</v>
      </c>
      <c r="V10" s="37" t="s">
        <v>110</v>
      </c>
      <c r="W10" t="s">
        <v>99</v>
      </c>
    </row>
    <row r="11" spans="3:27" x14ac:dyDescent="0.2">
      <c r="S11" t="s">
        <v>50</v>
      </c>
      <c r="U11" s="37" t="s">
        <v>107</v>
      </c>
      <c r="V11" s="37" t="s">
        <v>111</v>
      </c>
      <c r="W11" t="s">
        <v>99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G20" s="19">
        <v>1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  <c r="W20" s="32" t="s">
        <v>99</v>
      </c>
      <c r="X20" s="32" t="s">
        <v>100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G21" s="19">
        <v>1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  <c r="W21" s="32" t="s">
        <v>99</v>
      </c>
      <c r="X21" s="32" t="s">
        <v>100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G22" s="19">
        <v>1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  <c r="W22" s="32" t="s">
        <v>99</v>
      </c>
      <c r="X22" s="32" t="s"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E53C-6660-4C48-A401-B5292118C9D7}">
  <dimension ref="B3:I10"/>
  <sheetViews>
    <sheetView workbookViewId="0">
      <selection activeCell="E16" sqref="E16"/>
    </sheetView>
  </sheetViews>
  <sheetFormatPr defaultRowHeight="12.75" x14ac:dyDescent="0.2"/>
  <cols>
    <col min="3" max="3" width="16.42578125" bestFit="1" customWidth="1"/>
  </cols>
  <sheetData>
    <row r="3" spans="2:9" x14ac:dyDescent="0.2">
      <c r="C3" s="3" t="s">
        <v>13</v>
      </c>
      <c r="D3" s="3"/>
    </row>
    <row r="4" spans="2:9" x14ac:dyDescent="0.2">
      <c r="B4" s="2" t="s">
        <v>47</v>
      </c>
      <c r="C4" s="2" t="s">
        <v>0</v>
      </c>
      <c r="D4" s="2">
        <v>2025</v>
      </c>
      <c r="E4" s="2">
        <v>2030</v>
      </c>
      <c r="F4" s="2">
        <v>2035</v>
      </c>
      <c r="G4" s="2">
        <v>2040</v>
      </c>
      <c r="H4" s="2">
        <v>2045</v>
      </c>
      <c r="I4" s="2">
        <v>2050</v>
      </c>
    </row>
    <row r="5" spans="2:9" ht="22.5" x14ac:dyDescent="0.2">
      <c r="B5" s="9" t="s">
        <v>48</v>
      </c>
      <c r="C5" s="9" t="s">
        <v>49</v>
      </c>
      <c r="D5" s="9" t="s">
        <v>35</v>
      </c>
      <c r="E5" s="9" t="s">
        <v>35</v>
      </c>
      <c r="F5" s="9" t="s">
        <v>35</v>
      </c>
      <c r="G5" s="9" t="s">
        <v>35</v>
      </c>
      <c r="H5" s="9" t="s">
        <v>35</v>
      </c>
      <c r="I5" s="9" t="s">
        <v>35</v>
      </c>
    </row>
    <row r="6" spans="2:9" ht="13.5" thickBot="1" x14ac:dyDescent="0.25">
      <c r="B6" s="8" t="s">
        <v>51</v>
      </c>
      <c r="C6" s="8"/>
      <c r="D6" s="8"/>
      <c r="E6" s="8"/>
      <c r="F6" s="8"/>
      <c r="G6" s="8"/>
      <c r="H6" s="8"/>
      <c r="I6" s="8"/>
    </row>
    <row r="7" spans="2:9" x14ac:dyDescent="0.2">
      <c r="B7" t="s">
        <v>34</v>
      </c>
      <c r="C7" t="str">
        <f>SUBELCDEMTechs!U8</f>
        <v>DEMELC_COM</v>
      </c>
      <c r="D7">
        <v>3.3980000000000001</v>
      </c>
      <c r="E7">
        <v>3.57</v>
      </c>
      <c r="F7">
        <v>3.9750000000000001</v>
      </c>
      <c r="G7">
        <v>4.3120000000000003</v>
      </c>
      <c r="H7">
        <v>4.5830000000000002</v>
      </c>
      <c r="I7">
        <v>4.798</v>
      </c>
    </row>
    <row r="8" spans="2:9" x14ac:dyDescent="0.2">
      <c r="B8" t="s">
        <v>34</v>
      </c>
      <c r="C8" t="str">
        <f>SUBELCDEMTechs!U9</f>
        <v>DEMELC_RSD</v>
      </c>
      <c r="D8">
        <v>2.6019999999999999</v>
      </c>
      <c r="E8">
        <v>2.6349999999999998</v>
      </c>
      <c r="F8">
        <v>2.657</v>
      </c>
      <c r="G8">
        <v>2.806</v>
      </c>
      <c r="H8">
        <v>3.008</v>
      </c>
      <c r="I8">
        <v>3.306</v>
      </c>
    </row>
    <row r="9" spans="2:9" x14ac:dyDescent="0.2">
      <c r="B9" t="s">
        <v>34</v>
      </c>
      <c r="C9" t="str">
        <f>SUBELCDEMTechs!U10</f>
        <v>DEMELC_IND</v>
      </c>
      <c r="D9">
        <v>2.1909999999999998</v>
      </c>
      <c r="E9">
        <v>2.3180000000000001</v>
      </c>
      <c r="F9">
        <v>2.5470000000000002</v>
      </c>
      <c r="G9">
        <v>2.7719999999999998</v>
      </c>
      <c r="H9">
        <v>2.9969999999999999</v>
      </c>
      <c r="I9">
        <v>3.206</v>
      </c>
    </row>
    <row r="10" spans="2:9" x14ac:dyDescent="0.2">
      <c r="B10" t="s">
        <v>34</v>
      </c>
      <c r="C10" t="str">
        <f>SUBELCDEMTechs!U11</f>
        <v>DEMELC_TRA</v>
      </c>
      <c r="D10">
        <v>0.28100000000000003</v>
      </c>
      <c r="E10">
        <v>0.58599999999999997</v>
      </c>
      <c r="F10">
        <v>1.095</v>
      </c>
      <c r="G10">
        <v>1.4690000000000001</v>
      </c>
      <c r="H10">
        <v>2.3660000000000001</v>
      </c>
      <c r="I10">
        <v>3.2690000000000001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DemTechs_TPS</vt:lpstr>
      <vt:lpstr>Demands</vt:lpstr>
      <vt:lpstr>SUBELCDEMTechs</vt:lpstr>
      <vt:lpstr>SUBELC_Demands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2026-09-29T07:07:17Z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