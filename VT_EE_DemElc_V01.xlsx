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181D18BE-ABEC-4DD4-A801-122345DF7C38}" xr6:coauthVersionLast="47" xr6:coauthVersionMax="47" xr10:uidLastSave="{00000000-0000-0000-0000-000000000000}"/>
  <bookViews>
    <workbookView xWindow="-80" yWindow="-80" windowWidth="19360" windowHeight="11440" tabRatio="901" xr2:uid="{00000000-000D-0000-FFFF-FFFF00000000}"/>
  </bookViews>
  <sheets>
    <sheet name="DemTechs_TPS" sheetId="136" r:id="rId1"/>
    <sheet name="Demands" sheetId="134" r:id="rId2"/>
  </sheets>
  <externalReferences>
    <externalReference r:id="rId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134" l="1"/>
  <c r="H30" i="134" l="1"/>
  <c r="H19" i="134"/>
  <c r="H18" i="134"/>
  <c r="H17" i="134"/>
  <c r="H16" i="134"/>
  <c r="C7" i="134"/>
  <c r="H29" i="134" s="1"/>
  <c r="B12" i="136"/>
  <c r="D12" i="136"/>
  <c r="H20" i="134" l="1"/>
  <c r="H7" i="134"/>
  <c r="H21" i="134"/>
  <c r="H8" i="134"/>
  <c r="H22" i="134"/>
  <c r="H9" i="134"/>
  <c r="H23" i="134"/>
  <c r="H10" i="134"/>
  <c r="H24" i="134"/>
  <c r="H11" i="134"/>
  <c r="H25" i="134"/>
  <c r="H12" i="134"/>
  <c r="H26" i="134"/>
  <c r="H13" i="134"/>
  <c r="H27" i="134"/>
  <c r="H14" i="134"/>
  <c r="H28" i="134"/>
  <c r="H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<sst xmlns="http://schemas.openxmlformats.org/spreadsheetml/2006/main" count="140" uniqueCount="104">
  <si>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</si>
  <si>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</si>
  <si>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</si>
  <si>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</si>
  <si>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</si>
  <si>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</si>
  <si>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</si>
  <si>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</si>
  <si>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</si>
  <si>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</si>
  <si>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</si>
  <si>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</si>
  <si>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</si>
  <si>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</si>
  <si>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</si>
  <si>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</si>
  <si>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</si>
  <si>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</si>
  <si>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</si>
  <si>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</si>
  <si>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</si>
  <si>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</si>
  <si>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</si>
  <si>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</si>
  <si>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</si>
  <si>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</si>
  <si>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</si>
  <si>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</si>
  <si>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</si>
  <si>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</si>
  <si>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</si>
  <si>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</si>
  <si>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</si>
  <si>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</si>
  <si>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</si>
  <si>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</si>
  <si>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</si>
  <si>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</si>
  <si>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</si>
  <si>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</si>
  <si>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</si>
  <si>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</si>
  <si>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</si>
  <si>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</si>
  <si>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</si>
  <si>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</si>
  <si>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</si>
  <si>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</si>
  <si>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</si>
  <si>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</si>
  <si>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</si>
  <si>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</si>
  <si>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</si>
  <si>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</si>
  <si>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</si>
  <si>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</si>
  <si>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</si>
  <si>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</si>
  <si>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</si>
  <si>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</si>
  <si>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</si>
  <si>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</si>
  <si>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</si>
  <si>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</si>
  <si>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</si>
  <si>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</si>
  <si>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</si>
  <si>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</si>
  <si>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ELCC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</si>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</sst>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tabSelected="1" topLeftCell="C1" zoomScale="73" zoomScaleNormal="120" workbookViewId="0">
      <selection activeCell="K23" sqref="K23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12.42578125" bestFit="1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70</v>
      </c>
      <c r="O5" t="s">
        <v>69</v>
      </c>
      <c r="P5" t="s">
        <v>100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M8" s="25" t="s">
        <v>15</v>
      </c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102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103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68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74</v>
      </c>
      <c r="P12" s="30" t="s">
        <v>75</v>
      </c>
      <c r="Q12" s="32" t="s">
        <v>100</v>
      </c>
      <c r="R12" s="32" t="s">
        <v>101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M34"/>
  <sheetViews>
    <sheetView zoomScale="66" zoomScaleNormal="140" workbookViewId="0">
      <selection activeCell="F19" sqref="F19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7.28515625" customWidth="1"/>
    <col min="11" max="11" width="11.42578125" bestFit="1" customWidth="1"/>
  </cols>
  <sheetData>
    <row r="3" spans="2:10" x14ac:dyDescent="0.2">
      <c r="C3" s="3" t="s">
        <v>13</v>
      </c>
      <c r="D3" s="3"/>
      <c r="E3" s="1"/>
      <c r="G3" s="4" t="s">
        <v>13</v>
      </c>
    </row>
    <row r="4" spans="2:10" x14ac:dyDescent="0.2">
      <c r="B4" s="2" t="s">
        <v>47</v>
      </c>
      <c r="C4" s="2" t="s">
        <v>0</v>
      </c>
      <c r="D4" s="2">
        <v>2025</v>
      </c>
      <c r="F4" s="23"/>
      <c r="G4" s="31" t="s">
        <v>72</v>
      </c>
      <c r="H4" s="23" t="s">
        <v>0</v>
      </c>
      <c r="I4" s="23" t="s">
        <v>71</v>
      </c>
      <c r="J4" s="23">
        <v>2025</v>
      </c>
    </row>
    <row r="5" spans="2:10" ht="22.5" x14ac:dyDescent="0.2">
      <c r="B5" s="9" t="s">
        <v>48</v>
      </c>
      <c r="C5" s="9" t="s">
        <v>49</v>
      </c>
      <c r="D5" s="9" t="s">
        <v>35</v>
      </c>
      <c r="F5" s="24"/>
      <c r="G5" s="24" t="s">
        <v>48</v>
      </c>
      <c r="I5" s="24"/>
      <c r="J5" s="24"/>
    </row>
    <row r="6" spans="2:10" ht="13.5" thickBot="1" x14ac:dyDescent="0.25">
      <c r="B6" s="8" t="s">
        <v>51</v>
      </c>
      <c r="C6" s="8"/>
      <c r="D6" s="8"/>
      <c r="F6" s="24"/>
      <c r="G6" s="24" t="s">
        <v>48</v>
      </c>
      <c r="I6" s="24"/>
      <c r="J6" s="24"/>
    </row>
    <row r="7" spans="2:10" x14ac:dyDescent="0.2">
      <c r="B7" t="s">
        <v>34</v>
      </c>
      <c r="C7" t="str">
        <f>DemTechs_TPS!N5</f>
        <v>DEMELC</v>
      </c>
      <c r="D7" s="34">
        <v>7.94</v>
      </c>
      <c r="G7" t="s">
        <v>73</v>
      </c>
      <c r="H7" t="str">
        <f>$C$7</f>
        <v>DEMELC</v>
      </c>
      <c r="I7" t="s">
        <v>76</v>
      </c>
      <c r="J7" s="33">
        <v>3.9907549910668097E-2</v>
      </c>
    </row>
    <row r="8" spans="2:10" x14ac:dyDescent="0.2">
      <c r="E8" s="5"/>
      <c r="G8" t="s">
        <v>73</v>
      </c>
      <c r="H8" t="str">
        <f t="shared" ref="H8:H30" si="0">$C$7</f>
        <v>DEMELC</v>
      </c>
      <c r="I8" t="s">
        <v>77</v>
      </c>
      <c r="J8" s="33">
        <v>4.2568441071658941E-2</v>
      </c>
    </row>
    <row r="9" spans="2:10" x14ac:dyDescent="0.2">
      <c r="G9" t="s">
        <v>73</v>
      </c>
      <c r="H9" t="str">
        <f t="shared" si="0"/>
        <v>DEMELC</v>
      </c>
      <c r="I9" t="s">
        <v>78</v>
      </c>
      <c r="J9" s="33">
        <v>4.9357090706698532E-2</v>
      </c>
    </row>
    <row r="10" spans="2:10" x14ac:dyDescent="0.2">
      <c r="E10" s="11"/>
      <c r="G10" t="s">
        <v>73</v>
      </c>
      <c r="H10" t="str">
        <f t="shared" si="0"/>
        <v>DEMELC</v>
      </c>
      <c r="I10" t="s">
        <v>79</v>
      </c>
      <c r="J10" s="33">
        <v>4.6935749761719207E-2</v>
      </c>
    </row>
    <row r="11" spans="2:10" x14ac:dyDescent="0.2">
      <c r="E11" s="5"/>
      <c r="G11" t="s">
        <v>73</v>
      </c>
      <c r="H11" t="str">
        <f t="shared" si="0"/>
        <v>DEMELC</v>
      </c>
      <c r="I11" t="s">
        <v>80</v>
      </c>
      <c r="J11" s="33">
        <v>5.0324370403048241E-2</v>
      </c>
    </row>
    <row r="12" spans="2:10" x14ac:dyDescent="0.2">
      <c r="G12" t="s">
        <v>73</v>
      </c>
      <c r="H12" t="str">
        <f t="shared" si="0"/>
        <v>DEMELC</v>
      </c>
      <c r="I12" t="s">
        <v>81</v>
      </c>
      <c r="J12" s="33">
        <v>4.644570688133022E-2</v>
      </c>
    </row>
    <row r="13" spans="2:10" x14ac:dyDescent="0.2">
      <c r="E13" s="5"/>
      <c r="G13" t="s">
        <v>73</v>
      </c>
      <c r="H13" t="str">
        <f t="shared" si="0"/>
        <v>DEMELC</v>
      </c>
      <c r="I13" t="s">
        <v>82</v>
      </c>
      <c r="J13" s="35">
        <v>3.198760977379362E-2</v>
      </c>
    </row>
    <row r="14" spans="2:10" x14ac:dyDescent="0.2">
      <c r="G14" t="s">
        <v>73</v>
      </c>
      <c r="H14" t="str">
        <f t="shared" si="0"/>
        <v>DEMELC</v>
      </c>
      <c r="I14" t="s">
        <v>83</v>
      </c>
      <c r="J14" s="35">
        <v>3.450628688202826E-2</v>
      </c>
    </row>
    <row r="15" spans="2:10" x14ac:dyDescent="0.2">
      <c r="G15" t="s">
        <v>73</v>
      </c>
      <c r="H15" t="str">
        <f t="shared" si="0"/>
        <v>DEMELC</v>
      </c>
      <c r="I15" t="s">
        <v>84</v>
      </c>
      <c r="J15" s="35">
        <v>4.1710976210981882E-2</v>
      </c>
    </row>
    <row r="16" spans="2:10" x14ac:dyDescent="0.2">
      <c r="G16" t="s">
        <v>73</v>
      </c>
      <c r="H16" t="str">
        <f t="shared" si="0"/>
        <v>DEMELC</v>
      </c>
      <c r="I16" t="s">
        <v>85</v>
      </c>
      <c r="J16" s="35">
        <v>4.110700091078253E-2</v>
      </c>
    </row>
    <row r="17" spans="7:10" x14ac:dyDescent="0.2">
      <c r="G17" t="s">
        <v>73</v>
      </c>
      <c r="H17" t="str">
        <f t="shared" si="0"/>
        <v>DEMELC</v>
      </c>
      <c r="I17" t="s">
        <v>86</v>
      </c>
      <c r="J17" s="35">
        <v>3.8350662386599552E-2</v>
      </c>
    </row>
    <row r="18" spans="7:10" x14ac:dyDescent="0.2">
      <c r="G18" t="s">
        <v>73</v>
      </c>
      <c r="H18" t="str">
        <f t="shared" si="0"/>
        <v>DEMELC</v>
      </c>
      <c r="I18" t="s">
        <v>87</v>
      </c>
      <c r="J18" s="35">
        <v>3.7409762931132108E-2</v>
      </c>
    </row>
    <row r="19" spans="7:10" x14ac:dyDescent="0.2">
      <c r="G19" t="s">
        <v>73</v>
      </c>
      <c r="H19" t="str">
        <f t="shared" si="0"/>
        <v>DEMELC</v>
      </c>
      <c r="I19" t="s">
        <v>88</v>
      </c>
      <c r="J19" s="35">
        <v>3.1132436657193206E-2</v>
      </c>
    </row>
    <row r="20" spans="7:10" x14ac:dyDescent="0.2">
      <c r="G20" t="s">
        <v>73</v>
      </c>
      <c r="H20" t="str">
        <f t="shared" si="0"/>
        <v>DEMELC</v>
      </c>
      <c r="I20" t="s">
        <v>89</v>
      </c>
      <c r="J20" s="35">
        <v>3.3429633070020642E-2</v>
      </c>
    </row>
    <row r="21" spans="7:10" x14ac:dyDescent="0.2">
      <c r="G21" t="s">
        <v>73</v>
      </c>
      <c r="H21" t="str">
        <f t="shared" si="0"/>
        <v>DEMELC</v>
      </c>
      <c r="I21" t="s">
        <v>90</v>
      </c>
      <c r="J21" s="35">
        <v>4.2259483749326171E-2</v>
      </c>
    </row>
    <row r="22" spans="7:10" x14ac:dyDescent="0.2">
      <c r="G22" t="s">
        <v>73</v>
      </c>
      <c r="H22" t="str">
        <f t="shared" si="0"/>
        <v>DEMELC</v>
      </c>
      <c r="I22" t="s">
        <v>91</v>
      </c>
      <c r="J22" s="35">
        <v>4.1634467216423117E-2</v>
      </c>
    </row>
    <row r="23" spans="7:10" x14ac:dyDescent="0.2">
      <c r="G23" t="s">
        <v>73</v>
      </c>
      <c r="H23" t="str">
        <f t="shared" si="0"/>
        <v>DEMELC</v>
      </c>
      <c r="I23" t="s">
        <v>92</v>
      </c>
      <c r="J23" s="35">
        <v>3.9259389280991014E-2</v>
      </c>
    </row>
    <row r="24" spans="7:10" x14ac:dyDescent="0.2">
      <c r="G24" t="s">
        <v>73</v>
      </c>
      <c r="H24" t="str">
        <f t="shared" si="0"/>
        <v>DEMELC</v>
      </c>
      <c r="I24" t="s">
        <v>93</v>
      </c>
      <c r="J24" s="35">
        <v>3.742541478765557E-2</v>
      </c>
    </row>
    <row r="25" spans="7:10" x14ac:dyDescent="0.2">
      <c r="G25" t="s">
        <v>73</v>
      </c>
      <c r="H25" t="str">
        <f t="shared" si="0"/>
        <v>DEMELC</v>
      </c>
      <c r="I25" t="s">
        <v>94</v>
      </c>
      <c r="J25" s="35">
        <v>3.8818644082250733E-2</v>
      </c>
    </row>
    <row r="26" spans="7:10" x14ac:dyDescent="0.2">
      <c r="G26" t="s">
        <v>73</v>
      </c>
      <c r="H26" t="str">
        <f t="shared" si="0"/>
        <v>DEMELC</v>
      </c>
      <c r="I26" t="s">
        <v>95</v>
      </c>
      <c r="J26" s="35">
        <v>4.101069729156176E-2</v>
      </c>
    </row>
    <row r="27" spans="7:10" x14ac:dyDescent="0.2">
      <c r="G27" t="s">
        <v>73</v>
      </c>
      <c r="H27" t="str">
        <f t="shared" si="0"/>
        <v>DEMELC</v>
      </c>
      <c r="I27" t="s">
        <v>96</v>
      </c>
      <c r="J27" s="35">
        <v>4.9652911424591967E-2</v>
      </c>
    </row>
    <row r="28" spans="7:10" x14ac:dyDescent="0.2">
      <c r="G28" t="s">
        <v>73</v>
      </c>
      <c r="H28" t="str">
        <f t="shared" si="0"/>
        <v>DEMELC</v>
      </c>
      <c r="I28" t="s">
        <v>97</v>
      </c>
      <c r="J28" s="35">
        <v>4.9211095905815884E-2</v>
      </c>
    </row>
    <row r="29" spans="7:10" x14ac:dyDescent="0.2">
      <c r="G29" t="s">
        <v>73</v>
      </c>
      <c r="H29" t="str">
        <f t="shared" si="0"/>
        <v>DEMELC</v>
      </c>
      <c r="I29" t="s">
        <v>98</v>
      </c>
      <c r="J29" s="35">
        <v>5.0243422728341029E-2</v>
      </c>
    </row>
    <row r="30" spans="7:10" x14ac:dyDescent="0.2">
      <c r="G30" t="s">
        <v>73</v>
      </c>
      <c r="H30" t="str">
        <f t="shared" si="0"/>
        <v>DEMELC</v>
      </c>
      <c r="I30" t="s">
        <v>99</v>
      </c>
      <c r="J30" s="35">
        <v>4.5311195975387637E-2</v>
      </c>
    </row>
    <row r="34" spans="13:13" x14ac:dyDescent="0.2">
      <c r="M34" s="36">
        <f>SUM(J7:J30)</f>
        <v>1.0000000000000002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2026-09-18T06:55:16Z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