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951FF87C-51C9-4F10-AC41-3430C0B6C67C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9" i="138" l="1"/>
  <c r="R20" i="138"/>
  <c r="R21" i="138"/>
  <c r="R22" i="138"/>
  <c r="R23" i="138"/>
  <c r="R24" i="138"/>
  <c r="R25" i="138"/>
  <c r="R26" i="138"/>
  <c r="R27" i="138"/>
  <c r="R28" i="138"/>
  <c r="R29" i="138"/>
  <c r="R30" i="138"/>
  <c r="R31" i="138"/>
  <c r="R32" i="138"/>
  <c r="R33" i="138"/>
  <c r="R34" i="138"/>
  <c r="R35" i="138"/>
  <c r="R36" i="138"/>
  <c r="R37" i="138"/>
  <c r="R38" i="138"/>
  <c r="R39" i="138"/>
  <c r="R40" i="138"/>
  <c r="R18" i="138"/>
  <c r="R17" i="138"/>
  <c r="M19" i="138"/>
  <c r="M20" i="138"/>
  <c r="M21" i="138"/>
  <c r="M22" i="138"/>
  <c r="M23" i="138"/>
  <c r="M24" i="138"/>
  <c r="M25" i="138"/>
  <c r="M26" i="138"/>
  <c r="M27" i="138"/>
  <c r="M28" i="138"/>
  <c r="M29" i="138"/>
  <c r="M30" i="138"/>
  <c r="M31" i="138"/>
  <c r="M32" i="138"/>
  <c r="M33" i="138"/>
  <c r="M34" i="138"/>
  <c r="M35" i="138"/>
  <c r="M36" i="138"/>
  <c r="M37" i="138"/>
  <c r="M38" i="138"/>
  <c r="M39" i="138"/>
  <c r="M40" i="138"/>
  <c r="M18" i="138"/>
  <c r="M17" i="138"/>
  <c r="H19" i="138"/>
  <c r="H20" i="138"/>
  <c r="H21" i="138"/>
  <c r="H22" i="138"/>
  <c r="H23" i="138"/>
  <c r="H24" i="138"/>
  <c r="H25" i="138"/>
  <c r="H26" i="138"/>
  <c r="H27" i="138"/>
  <c r="H28" i="138"/>
  <c r="H29" i="138"/>
  <c r="H30" i="138"/>
  <c r="H31" i="138"/>
  <c r="H32" i="138"/>
  <c r="H33" i="138"/>
  <c r="H34" i="138"/>
  <c r="H35" i="138"/>
  <c r="H36" i="138"/>
  <c r="H37" i="138"/>
  <c r="H38" i="138"/>
  <c r="H39" i="138"/>
  <c r="H40" i="138"/>
  <c r="H18" i="138"/>
  <c r="H17" i="138"/>
  <c r="C17" i="138"/>
  <c r="C40" i="138"/>
  <c r="C39" i="138"/>
  <c r="C38" i="138"/>
  <c r="C37" i="138"/>
  <c r="C36" i="138"/>
  <c r="C35" i="138"/>
  <c r="C34" i="138"/>
  <c r="C33" i="138"/>
  <c r="C32" i="138"/>
  <c r="C31" i="138"/>
  <c r="C30" i="138"/>
  <c r="C29" i="138"/>
  <c r="C28" i="138"/>
  <c r="C27" i="138"/>
  <c r="C26" i="138"/>
  <c r="C25" i="138"/>
  <c r="C24" i="138"/>
  <c r="C23" i="138"/>
  <c r="C22" i="138"/>
  <c r="C21" i="138"/>
  <c r="C20" i="138"/>
  <c r="C19" i="138"/>
  <c r="C18" i="138"/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<sst xmlns="http://schemas.openxmlformats.org/spreadsheetml/2006/main" count="470" uniqueCount="121">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</sst>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topLeftCell="A8" zoomScale="87" zoomScaleNormal="140" workbookViewId="0">
      <selection activeCell="J3" sqref="J3:M30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11.28515625" bestFit="1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120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/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opLeftCell="M1" zoomScale="70" workbookViewId="0">
      <selection activeCell="AA24" sqref="AA24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  <c r="W9" t="s">
        <v>99</v>
      </c>
    </row>
    <row r="10" spans="3:27" x14ac:dyDescent="0.2">
      <c r="S10" t="s">
        <v>50</v>
      </c>
      <c r="U10" s="37" t="s">
        <v>106</v>
      </c>
      <c r="V10" s="37" t="s">
        <v>110</v>
      </c>
      <c r="W10" t="s">
        <v>99</v>
      </c>
    </row>
    <row r="11" spans="3:27" x14ac:dyDescent="0.2">
      <c r="S11" t="s">
        <v>50</v>
      </c>
      <c r="U11" s="37" t="s">
        <v>107</v>
      </c>
      <c r="V11" s="37" t="s">
        <v>111</v>
      </c>
      <c r="W11" t="s">
        <v>99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G20" s="19">
        <v>1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  <c r="W20" s="32" t="s">
        <v>99</v>
      </c>
      <c r="X20" s="32" t="s">
        <v>100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G21" s="19">
        <v>1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  <c r="W21" s="32" t="s">
        <v>99</v>
      </c>
      <c r="X21" s="32" t="s">
        <v>100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G22" s="19">
        <v>1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  <c r="W22" s="32" t="s">
        <v>99</v>
      </c>
      <c r="X22" s="32" t="s">
        <v>100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T40"/>
  <sheetViews>
    <sheetView tabSelected="1" topLeftCell="F3" workbookViewId="0">
      <selection activeCell="R12" sqref="R12"/>
    </sheetView>
  </sheetViews>
  <sheetFormatPr defaultRowHeight="12.75" x14ac:dyDescent="0.2"/>
  <cols>
    <col min="3" max="3" width="16.42578125" bestFit="1" customWidth="1"/>
    <col min="8" max="8" width="14.28515625" bestFit="1" customWidth="1"/>
    <col min="13" max="13" width="13.7109375" bestFit="1" customWidth="1"/>
    <col min="18" max="18" width="13.5703125" bestFit="1" customWidth="1"/>
  </cols>
  <sheetData>
    <row r="3" spans="2:20" x14ac:dyDescent="0.2">
      <c r="C3" s="3" t="s">
        <v>13</v>
      </c>
      <c r="D3" s="3"/>
    </row>
    <row r="4" spans="2:20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20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20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20" x14ac:dyDescent="0.2">
      <c r="B7" t="s">
        <v>34</v>
      </c>
      <c r="C7" t="str">
        <f>SUBELCDEMTechs!U8</f>
        <v>DEMELC_COM</v>
      </c>
      <c r="D7">
        <v>3.3980000000000001</v>
      </c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20" x14ac:dyDescent="0.2">
      <c r="B8" t="s">
        <v>34</v>
      </c>
      <c r="C8" t="str">
        <f>SUBELCDEMTechs!U9</f>
        <v>DEMELC_RSD</v>
      </c>
      <c r="D8">
        <v>2.6019999999999999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20" x14ac:dyDescent="0.2">
      <c r="B9" t="s">
        <v>34</v>
      </c>
      <c r="C9" t="str">
        <f>SUBELCDEMTechs!U10</f>
        <v>DEMELC_IND</v>
      </c>
      <c r="D9">
        <v>2.1909999999999998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20" x14ac:dyDescent="0.2">
      <c r="B10" t="s">
        <v>34</v>
      </c>
      <c r="C10" t="str">
        <f>SUBELCDEMTechs!U11</f>
        <v>DEMELC_TRA</v>
      </c>
      <c r="D10">
        <v>0.28100000000000003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  <row r="13" spans="2:20" x14ac:dyDescent="0.2">
      <c r="B13" s="4" t="s">
        <v>13</v>
      </c>
      <c r="G13" s="4" t="s">
        <v>13</v>
      </c>
      <c r="L13" s="4" t="s">
        <v>13</v>
      </c>
      <c r="Q13" s="4" t="s">
        <v>13</v>
      </c>
    </row>
    <row r="14" spans="2:20" x14ac:dyDescent="0.2">
      <c r="B14" s="31" t="s">
        <v>71</v>
      </c>
      <c r="C14" s="23" t="s">
        <v>0</v>
      </c>
      <c r="D14" s="23" t="s">
        <v>70</v>
      </c>
      <c r="E14" s="23">
        <v>2025</v>
      </c>
      <c r="G14" s="31" t="s">
        <v>71</v>
      </c>
      <c r="H14" s="23" t="s">
        <v>0</v>
      </c>
      <c r="I14" s="23" t="s">
        <v>70</v>
      </c>
      <c r="J14" s="23">
        <v>2025</v>
      </c>
      <c r="L14" s="31" t="s">
        <v>71</v>
      </c>
      <c r="M14" s="23" t="s">
        <v>0</v>
      </c>
      <c r="N14" s="23" t="s">
        <v>70</v>
      </c>
      <c r="O14" s="23">
        <v>2025</v>
      </c>
      <c r="Q14" s="31" t="s">
        <v>71</v>
      </c>
      <c r="R14" s="23" t="s">
        <v>0</v>
      </c>
      <c r="S14" s="23" t="s">
        <v>70</v>
      </c>
      <c r="T14" s="23">
        <v>2025</v>
      </c>
    </row>
    <row r="15" spans="2:20" x14ac:dyDescent="0.2">
      <c r="B15" s="24" t="s">
        <v>48</v>
      </c>
      <c r="D15" s="24"/>
      <c r="E15" s="24"/>
      <c r="G15" s="24" t="s">
        <v>48</v>
      </c>
      <c r="I15" s="24"/>
      <c r="J15" s="24"/>
      <c r="L15" s="24" t="s">
        <v>48</v>
      </c>
      <c r="N15" s="24"/>
      <c r="O15" s="24"/>
      <c r="Q15" s="24" t="s">
        <v>48</v>
      </c>
      <c r="S15" s="24"/>
      <c r="T15" s="24"/>
    </row>
    <row r="16" spans="2:20" x14ac:dyDescent="0.2">
      <c r="B16" s="24" t="s">
        <v>48</v>
      </c>
      <c r="D16" s="24"/>
      <c r="E16" s="24"/>
      <c r="G16" s="24" t="s">
        <v>48</v>
      </c>
      <c r="I16" s="24"/>
      <c r="J16" s="24"/>
      <c r="L16" s="24" t="s">
        <v>48</v>
      </c>
      <c r="N16" s="24"/>
      <c r="O16" s="24"/>
      <c r="Q16" s="24" t="s">
        <v>48</v>
      </c>
      <c r="S16" s="24"/>
      <c r="T16" s="24"/>
    </row>
    <row r="17" spans="2:20" x14ac:dyDescent="0.2">
      <c r="B17" t="s">
        <v>72</v>
      </c>
      <c r="C17" t="str">
        <f>C7</f>
        <v>DEMELC_COM</v>
      </c>
      <c r="D17" t="s">
        <v>75</v>
      </c>
      <c r="E17" s="33">
        <v>3.9907549910668097E-2</v>
      </c>
      <c r="G17" t="s">
        <v>72</v>
      </c>
      <c r="H17" t="str">
        <f>C8</f>
        <v>DEMELC_RSD</v>
      </c>
      <c r="I17" t="s">
        <v>75</v>
      </c>
      <c r="J17" s="33">
        <v>3.9907549910668097E-2</v>
      </c>
      <c r="L17" t="s">
        <v>72</v>
      </c>
      <c r="M17" t="str">
        <f>C9</f>
        <v>DEMELC_IND</v>
      </c>
      <c r="N17" t="s">
        <v>75</v>
      </c>
      <c r="O17" s="33">
        <v>3.9907549910668097E-2</v>
      </c>
      <c r="Q17" t="s">
        <v>72</v>
      </c>
      <c r="R17" t="str">
        <f>C10</f>
        <v>DEMELC_TRA</v>
      </c>
      <c r="S17" t="s">
        <v>75</v>
      </c>
      <c r="T17" s="33">
        <v>3.9907549910668097E-2</v>
      </c>
    </row>
    <row r="18" spans="2:20" x14ac:dyDescent="0.2">
      <c r="B18" t="s">
        <v>72</v>
      </c>
      <c r="C18" t="str">
        <f t="shared" ref="C18:C40" si="0">$C$7</f>
        <v>DEMELC_COM</v>
      </c>
      <c r="D18" t="s">
        <v>76</v>
      </c>
      <c r="E18" s="33">
        <v>4.2568441071658941E-2</v>
      </c>
      <c r="G18" t="s">
        <v>72</v>
      </c>
      <c r="H18" t="str">
        <f>$C$8</f>
        <v>DEMELC_RSD</v>
      </c>
      <c r="I18" t="s">
        <v>76</v>
      </c>
      <c r="J18" s="33">
        <v>4.2568441071658941E-2</v>
      </c>
      <c r="L18" t="s">
        <v>72</v>
      </c>
      <c r="M18" t="str">
        <f>$C$9</f>
        <v>DEMELC_IND</v>
      </c>
      <c r="N18" t="s">
        <v>76</v>
      </c>
      <c r="O18" s="33">
        <v>4.2568441071658941E-2</v>
      </c>
      <c r="Q18" t="s">
        <v>72</v>
      </c>
      <c r="R18" t="str">
        <f>$C$10</f>
        <v>DEMELC_TRA</v>
      </c>
      <c r="S18" t="s">
        <v>76</v>
      </c>
      <c r="T18" s="33">
        <v>4.2568441071658941E-2</v>
      </c>
    </row>
    <row r="19" spans="2:20" x14ac:dyDescent="0.2">
      <c r="B19" t="s">
        <v>72</v>
      </c>
      <c r="C19" t="str">
        <f t="shared" si="0"/>
        <v>DEMELC_COM</v>
      </c>
      <c r="D19" t="s">
        <v>77</v>
      </c>
      <c r="E19" s="33">
        <v>4.9357090706698532E-2</v>
      </c>
      <c r="G19" t="s">
        <v>72</v>
      </c>
      <c r="H19" t="str">
        <f t="shared" ref="H19:H40" si="1">$C$8</f>
        <v>DEMELC_RSD</v>
      </c>
      <c r="I19" t="s">
        <v>77</v>
      </c>
      <c r="J19" s="33">
        <v>4.9357090706698532E-2</v>
      </c>
      <c r="L19" t="s">
        <v>72</v>
      </c>
      <c r="M19" t="str">
        <f t="shared" ref="M19:M40" si="2">$C$9</f>
        <v>DEMELC_IND</v>
      </c>
      <c r="N19" t="s">
        <v>77</v>
      </c>
      <c r="O19" s="33">
        <v>4.9357090706698532E-2</v>
      </c>
      <c r="Q19" t="s">
        <v>72</v>
      </c>
      <c r="R19" t="str">
        <f t="shared" ref="R19:R40" si="3">$C$10</f>
        <v>DEMELC_TRA</v>
      </c>
      <c r="S19" t="s">
        <v>77</v>
      </c>
      <c r="T19" s="33">
        <v>4.9357090706698532E-2</v>
      </c>
    </row>
    <row r="20" spans="2:20" x14ac:dyDescent="0.2">
      <c r="B20" t="s">
        <v>72</v>
      </c>
      <c r="C20" t="str">
        <f t="shared" si="0"/>
        <v>DEMELC_COM</v>
      </c>
      <c r="D20" t="s">
        <v>78</v>
      </c>
      <c r="E20" s="33">
        <v>4.6935749761719207E-2</v>
      </c>
      <c r="G20" t="s">
        <v>72</v>
      </c>
      <c r="H20" t="str">
        <f t="shared" si="1"/>
        <v>DEMELC_RSD</v>
      </c>
      <c r="I20" t="s">
        <v>78</v>
      </c>
      <c r="J20" s="33">
        <v>4.6935749761719207E-2</v>
      </c>
      <c r="L20" t="s">
        <v>72</v>
      </c>
      <c r="M20" t="str">
        <f t="shared" si="2"/>
        <v>DEMELC_IND</v>
      </c>
      <c r="N20" t="s">
        <v>78</v>
      </c>
      <c r="O20" s="33">
        <v>4.6935749761719207E-2</v>
      </c>
      <c r="Q20" t="s">
        <v>72</v>
      </c>
      <c r="R20" t="str">
        <f t="shared" si="3"/>
        <v>DEMELC_TRA</v>
      </c>
      <c r="S20" t="s">
        <v>78</v>
      </c>
      <c r="T20" s="33">
        <v>4.6935749761719207E-2</v>
      </c>
    </row>
    <row r="21" spans="2:20" x14ac:dyDescent="0.2">
      <c r="B21" t="s">
        <v>72</v>
      </c>
      <c r="C21" t="str">
        <f t="shared" si="0"/>
        <v>DEMELC_COM</v>
      </c>
      <c r="D21" t="s">
        <v>79</v>
      </c>
      <c r="E21" s="33">
        <v>5.0324370403048241E-2</v>
      </c>
      <c r="G21" t="s">
        <v>72</v>
      </c>
      <c r="H21" t="str">
        <f t="shared" si="1"/>
        <v>DEMELC_RSD</v>
      </c>
      <c r="I21" t="s">
        <v>79</v>
      </c>
      <c r="J21" s="33">
        <v>5.0324370403048241E-2</v>
      </c>
      <c r="L21" t="s">
        <v>72</v>
      </c>
      <c r="M21" t="str">
        <f t="shared" si="2"/>
        <v>DEMELC_IND</v>
      </c>
      <c r="N21" t="s">
        <v>79</v>
      </c>
      <c r="O21" s="33">
        <v>5.0324370403048241E-2</v>
      </c>
      <c r="Q21" t="s">
        <v>72</v>
      </c>
      <c r="R21" t="str">
        <f t="shared" si="3"/>
        <v>DEMELC_TRA</v>
      </c>
      <c r="S21" t="s">
        <v>79</v>
      </c>
      <c r="T21" s="33">
        <v>5.0324370403048241E-2</v>
      </c>
    </row>
    <row r="22" spans="2:20" x14ac:dyDescent="0.2">
      <c r="B22" t="s">
        <v>72</v>
      </c>
      <c r="C22" t="str">
        <f t="shared" si="0"/>
        <v>DEMELC_COM</v>
      </c>
      <c r="D22" t="s">
        <v>80</v>
      </c>
      <c r="E22" s="33">
        <v>4.644570688133022E-2</v>
      </c>
      <c r="G22" t="s">
        <v>72</v>
      </c>
      <c r="H22" t="str">
        <f t="shared" si="1"/>
        <v>DEMELC_RSD</v>
      </c>
      <c r="I22" t="s">
        <v>80</v>
      </c>
      <c r="J22" s="33">
        <v>4.644570688133022E-2</v>
      </c>
      <c r="L22" t="s">
        <v>72</v>
      </c>
      <c r="M22" t="str">
        <f t="shared" si="2"/>
        <v>DEMELC_IND</v>
      </c>
      <c r="N22" t="s">
        <v>80</v>
      </c>
      <c r="O22" s="33">
        <v>4.644570688133022E-2</v>
      </c>
      <c r="Q22" t="s">
        <v>72</v>
      </c>
      <c r="R22" t="str">
        <f t="shared" si="3"/>
        <v>DEMELC_TRA</v>
      </c>
      <c r="S22" t="s">
        <v>80</v>
      </c>
      <c r="T22" s="33">
        <v>4.644570688133022E-2</v>
      </c>
    </row>
    <row r="23" spans="2:20" x14ac:dyDescent="0.2">
      <c r="B23" t="s">
        <v>72</v>
      </c>
      <c r="C23" t="str">
        <f t="shared" si="0"/>
        <v>DEMELC_COM</v>
      </c>
      <c r="D23" t="s">
        <v>81</v>
      </c>
      <c r="E23" s="35">
        <v>3.198760977379362E-2</v>
      </c>
      <c r="G23" t="s">
        <v>72</v>
      </c>
      <c r="H23" t="str">
        <f t="shared" si="1"/>
        <v>DEMELC_RSD</v>
      </c>
      <c r="I23" t="s">
        <v>81</v>
      </c>
      <c r="J23" s="35">
        <v>3.198760977379362E-2</v>
      </c>
      <c r="L23" t="s">
        <v>72</v>
      </c>
      <c r="M23" t="str">
        <f t="shared" si="2"/>
        <v>DEMELC_IND</v>
      </c>
      <c r="N23" t="s">
        <v>81</v>
      </c>
      <c r="O23" s="35">
        <v>3.198760977379362E-2</v>
      </c>
      <c r="Q23" t="s">
        <v>72</v>
      </c>
      <c r="R23" t="str">
        <f t="shared" si="3"/>
        <v>DEMELC_TRA</v>
      </c>
      <c r="S23" t="s">
        <v>81</v>
      </c>
      <c r="T23" s="35">
        <v>3.198760977379362E-2</v>
      </c>
    </row>
    <row r="24" spans="2:20" x14ac:dyDescent="0.2">
      <c r="B24" t="s">
        <v>72</v>
      </c>
      <c r="C24" t="str">
        <f t="shared" si="0"/>
        <v>DEMELC_COM</v>
      </c>
      <c r="D24" t="s">
        <v>82</v>
      </c>
      <c r="E24" s="35">
        <v>3.450628688202826E-2</v>
      </c>
      <c r="G24" t="s">
        <v>72</v>
      </c>
      <c r="H24" t="str">
        <f t="shared" si="1"/>
        <v>DEMELC_RSD</v>
      </c>
      <c r="I24" t="s">
        <v>82</v>
      </c>
      <c r="J24" s="35">
        <v>3.450628688202826E-2</v>
      </c>
      <c r="L24" t="s">
        <v>72</v>
      </c>
      <c r="M24" t="str">
        <f t="shared" si="2"/>
        <v>DEMELC_IND</v>
      </c>
      <c r="N24" t="s">
        <v>82</v>
      </c>
      <c r="O24" s="35">
        <v>3.450628688202826E-2</v>
      </c>
      <c r="Q24" t="s">
        <v>72</v>
      </c>
      <c r="R24" t="str">
        <f t="shared" si="3"/>
        <v>DEMELC_TRA</v>
      </c>
      <c r="S24" t="s">
        <v>82</v>
      </c>
      <c r="T24" s="35">
        <v>3.450628688202826E-2</v>
      </c>
    </row>
    <row r="25" spans="2:20" x14ac:dyDescent="0.2">
      <c r="B25" t="s">
        <v>72</v>
      </c>
      <c r="C25" t="str">
        <f t="shared" si="0"/>
        <v>DEMELC_COM</v>
      </c>
      <c r="D25" t="s">
        <v>83</v>
      </c>
      <c r="E25" s="35">
        <v>4.1710976210981882E-2</v>
      </c>
      <c r="G25" t="s">
        <v>72</v>
      </c>
      <c r="H25" t="str">
        <f t="shared" si="1"/>
        <v>DEMELC_RSD</v>
      </c>
      <c r="I25" t="s">
        <v>83</v>
      </c>
      <c r="J25" s="35">
        <v>4.1710976210981882E-2</v>
      </c>
      <c r="L25" t="s">
        <v>72</v>
      </c>
      <c r="M25" t="str">
        <f t="shared" si="2"/>
        <v>DEMELC_IND</v>
      </c>
      <c r="N25" t="s">
        <v>83</v>
      </c>
      <c r="O25" s="35">
        <v>4.1710976210981882E-2</v>
      </c>
      <c r="Q25" t="s">
        <v>72</v>
      </c>
      <c r="R25" t="str">
        <f t="shared" si="3"/>
        <v>DEMELC_TRA</v>
      </c>
      <c r="S25" t="s">
        <v>83</v>
      </c>
      <c r="T25" s="35">
        <v>4.1710976210981882E-2</v>
      </c>
    </row>
    <row r="26" spans="2:20" x14ac:dyDescent="0.2">
      <c r="B26" t="s">
        <v>72</v>
      </c>
      <c r="C26" t="str">
        <f t="shared" si="0"/>
        <v>DEMELC_COM</v>
      </c>
      <c r="D26" t="s">
        <v>84</v>
      </c>
      <c r="E26" s="35">
        <v>4.110700091078253E-2</v>
      </c>
      <c r="G26" t="s">
        <v>72</v>
      </c>
      <c r="H26" t="str">
        <f t="shared" si="1"/>
        <v>DEMELC_RSD</v>
      </c>
      <c r="I26" t="s">
        <v>84</v>
      </c>
      <c r="J26" s="35">
        <v>4.110700091078253E-2</v>
      </c>
      <c r="L26" t="s">
        <v>72</v>
      </c>
      <c r="M26" t="str">
        <f t="shared" si="2"/>
        <v>DEMELC_IND</v>
      </c>
      <c r="N26" t="s">
        <v>84</v>
      </c>
      <c r="O26" s="35">
        <v>4.110700091078253E-2</v>
      </c>
      <c r="Q26" t="s">
        <v>72</v>
      </c>
      <c r="R26" t="str">
        <f t="shared" si="3"/>
        <v>DEMELC_TRA</v>
      </c>
      <c r="S26" t="s">
        <v>84</v>
      </c>
      <c r="T26" s="35">
        <v>4.110700091078253E-2</v>
      </c>
    </row>
    <row r="27" spans="2:20" x14ac:dyDescent="0.2">
      <c r="B27" t="s">
        <v>72</v>
      </c>
      <c r="C27" t="str">
        <f t="shared" si="0"/>
        <v>DEMELC_COM</v>
      </c>
      <c r="D27" t="s">
        <v>85</v>
      </c>
      <c r="E27" s="35">
        <v>3.8350662386599552E-2</v>
      </c>
      <c r="G27" t="s">
        <v>72</v>
      </c>
      <c r="H27" t="str">
        <f t="shared" si="1"/>
        <v>DEMELC_RSD</v>
      </c>
      <c r="I27" t="s">
        <v>85</v>
      </c>
      <c r="J27" s="35">
        <v>3.8350662386599552E-2</v>
      </c>
      <c r="L27" t="s">
        <v>72</v>
      </c>
      <c r="M27" t="str">
        <f t="shared" si="2"/>
        <v>DEMELC_IND</v>
      </c>
      <c r="N27" t="s">
        <v>85</v>
      </c>
      <c r="O27" s="35">
        <v>3.8350662386599552E-2</v>
      </c>
      <c r="Q27" t="s">
        <v>72</v>
      </c>
      <c r="R27" t="str">
        <f t="shared" si="3"/>
        <v>DEMELC_TRA</v>
      </c>
      <c r="S27" t="s">
        <v>85</v>
      </c>
      <c r="T27" s="35">
        <v>3.8350662386599552E-2</v>
      </c>
    </row>
    <row r="28" spans="2:20" x14ac:dyDescent="0.2">
      <c r="B28" t="s">
        <v>72</v>
      </c>
      <c r="C28" t="str">
        <f t="shared" si="0"/>
        <v>DEMELC_COM</v>
      </c>
      <c r="D28" t="s">
        <v>86</v>
      </c>
      <c r="E28" s="35">
        <v>3.7409762931132108E-2</v>
      </c>
      <c r="G28" t="s">
        <v>72</v>
      </c>
      <c r="H28" t="str">
        <f t="shared" si="1"/>
        <v>DEMELC_RSD</v>
      </c>
      <c r="I28" t="s">
        <v>86</v>
      </c>
      <c r="J28" s="35">
        <v>3.7409762931132108E-2</v>
      </c>
      <c r="L28" t="s">
        <v>72</v>
      </c>
      <c r="M28" t="str">
        <f t="shared" si="2"/>
        <v>DEMELC_IND</v>
      </c>
      <c r="N28" t="s">
        <v>86</v>
      </c>
      <c r="O28" s="35">
        <v>3.7409762931132108E-2</v>
      </c>
      <c r="Q28" t="s">
        <v>72</v>
      </c>
      <c r="R28" t="str">
        <f t="shared" si="3"/>
        <v>DEMELC_TRA</v>
      </c>
      <c r="S28" t="s">
        <v>86</v>
      </c>
      <c r="T28" s="35">
        <v>3.7409762931132108E-2</v>
      </c>
    </row>
    <row r="29" spans="2:20" x14ac:dyDescent="0.2">
      <c r="B29" t="s">
        <v>72</v>
      </c>
      <c r="C29" t="str">
        <f t="shared" si="0"/>
        <v>DEMELC_COM</v>
      </c>
      <c r="D29" t="s">
        <v>87</v>
      </c>
      <c r="E29" s="35">
        <v>3.1132436657193206E-2</v>
      </c>
      <c r="G29" t="s">
        <v>72</v>
      </c>
      <c r="H29" t="str">
        <f t="shared" si="1"/>
        <v>DEMELC_RSD</v>
      </c>
      <c r="I29" t="s">
        <v>87</v>
      </c>
      <c r="J29" s="35">
        <v>3.1132436657193206E-2</v>
      </c>
      <c r="L29" t="s">
        <v>72</v>
      </c>
      <c r="M29" t="str">
        <f t="shared" si="2"/>
        <v>DEMELC_IND</v>
      </c>
      <c r="N29" t="s">
        <v>87</v>
      </c>
      <c r="O29" s="35">
        <v>3.1132436657193206E-2</v>
      </c>
      <c r="Q29" t="s">
        <v>72</v>
      </c>
      <c r="R29" t="str">
        <f t="shared" si="3"/>
        <v>DEMELC_TRA</v>
      </c>
      <c r="S29" t="s">
        <v>87</v>
      </c>
      <c r="T29" s="35">
        <v>3.1132436657193206E-2</v>
      </c>
    </row>
    <row r="30" spans="2:20" x14ac:dyDescent="0.2">
      <c r="B30" t="s">
        <v>72</v>
      </c>
      <c r="C30" t="str">
        <f t="shared" si="0"/>
        <v>DEMELC_COM</v>
      </c>
      <c r="D30" t="s">
        <v>88</v>
      </c>
      <c r="E30" s="35">
        <v>3.3429633070020642E-2</v>
      </c>
      <c r="G30" t="s">
        <v>72</v>
      </c>
      <c r="H30" t="str">
        <f t="shared" si="1"/>
        <v>DEMELC_RSD</v>
      </c>
      <c r="I30" t="s">
        <v>88</v>
      </c>
      <c r="J30" s="35">
        <v>3.3429633070020642E-2</v>
      </c>
      <c r="L30" t="s">
        <v>72</v>
      </c>
      <c r="M30" t="str">
        <f t="shared" si="2"/>
        <v>DEMELC_IND</v>
      </c>
      <c r="N30" t="s">
        <v>88</v>
      </c>
      <c r="O30" s="35">
        <v>3.3429633070020642E-2</v>
      </c>
      <c r="Q30" t="s">
        <v>72</v>
      </c>
      <c r="R30" t="str">
        <f t="shared" si="3"/>
        <v>DEMELC_TRA</v>
      </c>
      <c r="S30" t="s">
        <v>88</v>
      </c>
      <c r="T30" s="35">
        <v>3.3429633070020642E-2</v>
      </c>
    </row>
    <row r="31" spans="2:20" x14ac:dyDescent="0.2">
      <c r="B31" t="s">
        <v>72</v>
      </c>
      <c r="C31" t="str">
        <f t="shared" si="0"/>
        <v>DEMELC_COM</v>
      </c>
      <c r="D31" t="s">
        <v>89</v>
      </c>
      <c r="E31" s="35">
        <v>4.2259483749326171E-2</v>
      </c>
      <c r="G31" t="s">
        <v>72</v>
      </c>
      <c r="H31" t="str">
        <f t="shared" si="1"/>
        <v>DEMELC_RSD</v>
      </c>
      <c r="I31" t="s">
        <v>89</v>
      </c>
      <c r="J31" s="35">
        <v>4.2259483749326171E-2</v>
      </c>
      <c r="L31" t="s">
        <v>72</v>
      </c>
      <c r="M31" t="str">
        <f t="shared" si="2"/>
        <v>DEMELC_IND</v>
      </c>
      <c r="N31" t="s">
        <v>89</v>
      </c>
      <c r="O31" s="35">
        <v>4.2259483749326171E-2</v>
      </c>
      <c r="Q31" t="s">
        <v>72</v>
      </c>
      <c r="R31" t="str">
        <f t="shared" si="3"/>
        <v>DEMELC_TRA</v>
      </c>
      <c r="S31" t="s">
        <v>89</v>
      </c>
      <c r="T31" s="35">
        <v>4.2259483749326171E-2</v>
      </c>
    </row>
    <row r="32" spans="2:20" x14ac:dyDescent="0.2">
      <c r="B32" t="s">
        <v>72</v>
      </c>
      <c r="C32" t="str">
        <f t="shared" si="0"/>
        <v>DEMELC_COM</v>
      </c>
      <c r="D32" t="s">
        <v>90</v>
      </c>
      <c r="E32" s="35">
        <v>4.1634467216423117E-2</v>
      </c>
      <c r="G32" t="s">
        <v>72</v>
      </c>
      <c r="H32" t="str">
        <f t="shared" si="1"/>
        <v>DEMELC_RSD</v>
      </c>
      <c r="I32" t="s">
        <v>90</v>
      </c>
      <c r="J32" s="35">
        <v>4.1634467216423117E-2</v>
      </c>
      <c r="L32" t="s">
        <v>72</v>
      </c>
      <c r="M32" t="str">
        <f t="shared" si="2"/>
        <v>DEMELC_IND</v>
      </c>
      <c r="N32" t="s">
        <v>90</v>
      </c>
      <c r="O32" s="35">
        <v>4.1634467216423117E-2</v>
      </c>
      <c r="Q32" t="s">
        <v>72</v>
      </c>
      <c r="R32" t="str">
        <f t="shared" si="3"/>
        <v>DEMELC_TRA</v>
      </c>
      <c r="S32" t="s">
        <v>90</v>
      </c>
      <c r="T32" s="35">
        <v>4.1634467216423117E-2</v>
      </c>
    </row>
    <row r="33" spans="2:20" x14ac:dyDescent="0.2">
      <c r="B33" t="s">
        <v>72</v>
      </c>
      <c r="C33" t="str">
        <f t="shared" si="0"/>
        <v>DEMELC_COM</v>
      </c>
      <c r="D33" t="s">
        <v>91</v>
      </c>
      <c r="E33" s="35">
        <v>3.9259389280991014E-2</v>
      </c>
      <c r="G33" t="s">
        <v>72</v>
      </c>
      <c r="H33" t="str">
        <f t="shared" si="1"/>
        <v>DEMELC_RSD</v>
      </c>
      <c r="I33" t="s">
        <v>91</v>
      </c>
      <c r="J33" s="35">
        <v>3.9259389280991014E-2</v>
      </c>
      <c r="L33" t="s">
        <v>72</v>
      </c>
      <c r="M33" t="str">
        <f t="shared" si="2"/>
        <v>DEMELC_IND</v>
      </c>
      <c r="N33" t="s">
        <v>91</v>
      </c>
      <c r="O33" s="35">
        <v>3.9259389280991014E-2</v>
      </c>
      <c r="Q33" t="s">
        <v>72</v>
      </c>
      <c r="R33" t="str">
        <f t="shared" si="3"/>
        <v>DEMELC_TRA</v>
      </c>
      <c r="S33" t="s">
        <v>91</v>
      </c>
      <c r="T33" s="35">
        <v>3.9259389280991014E-2</v>
      </c>
    </row>
    <row r="34" spans="2:20" x14ac:dyDescent="0.2">
      <c r="B34" t="s">
        <v>72</v>
      </c>
      <c r="C34" t="str">
        <f t="shared" si="0"/>
        <v>DEMELC_COM</v>
      </c>
      <c r="D34" t="s">
        <v>92</v>
      </c>
      <c r="E34" s="35">
        <v>3.742541478765557E-2</v>
      </c>
      <c r="G34" t="s">
        <v>72</v>
      </c>
      <c r="H34" t="str">
        <f t="shared" si="1"/>
        <v>DEMELC_RSD</v>
      </c>
      <c r="I34" t="s">
        <v>92</v>
      </c>
      <c r="J34" s="35">
        <v>3.742541478765557E-2</v>
      </c>
      <c r="L34" t="s">
        <v>72</v>
      </c>
      <c r="M34" t="str">
        <f t="shared" si="2"/>
        <v>DEMELC_IND</v>
      </c>
      <c r="N34" t="s">
        <v>92</v>
      </c>
      <c r="O34" s="35">
        <v>3.742541478765557E-2</v>
      </c>
      <c r="Q34" t="s">
        <v>72</v>
      </c>
      <c r="R34" t="str">
        <f t="shared" si="3"/>
        <v>DEMELC_TRA</v>
      </c>
      <c r="S34" t="s">
        <v>92</v>
      </c>
      <c r="T34" s="35">
        <v>3.742541478765557E-2</v>
      </c>
    </row>
    <row r="35" spans="2:20" x14ac:dyDescent="0.2">
      <c r="B35" t="s">
        <v>72</v>
      </c>
      <c r="C35" t="str">
        <f t="shared" si="0"/>
        <v>DEMELC_COM</v>
      </c>
      <c r="D35" t="s">
        <v>93</v>
      </c>
      <c r="E35" s="35">
        <v>3.8818644082250733E-2</v>
      </c>
      <c r="G35" t="s">
        <v>72</v>
      </c>
      <c r="H35" t="str">
        <f t="shared" si="1"/>
        <v>DEMELC_RSD</v>
      </c>
      <c r="I35" t="s">
        <v>93</v>
      </c>
      <c r="J35" s="35">
        <v>3.8818644082250733E-2</v>
      </c>
      <c r="L35" t="s">
        <v>72</v>
      </c>
      <c r="M35" t="str">
        <f t="shared" si="2"/>
        <v>DEMELC_IND</v>
      </c>
      <c r="N35" t="s">
        <v>93</v>
      </c>
      <c r="O35" s="35">
        <v>3.8818644082250733E-2</v>
      </c>
      <c r="Q35" t="s">
        <v>72</v>
      </c>
      <c r="R35" t="str">
        <f t="shared" si="3"/>
        <v>DEMELC_TRA</v>
      </c>
      <c r="S35" t="s">
        <v>93</v>
      </c>
      <c r="T35" s="35">
        <v>3.8818644082250733E-2</v>
      </c>
    </row>
    <row r="36" spans="2:20" x14ac:dyDescent="0.2">
      <c r="B36" t="s">
        <v>72</v>
      </c>
      <c r="C36" t="str">
        <f t="shared" si="0"/>
        <v>DEMELC_COM</v>
      </c>
      <c r="D36" t="s">
        <v>94</v>
      </c>
      <c r="E36" s="35">
        <v>4.101069729156176E-2</v>
      </c>
      <c r="G36" t="s">
        <v>72</v>
      </c>
      <c r="H36" t="str">
        <f t="shared" si="1"/>
        <v>DEMELC_RSD</v>
      </c>
      <c r="I36" t="s">
        <v>94</v>
      </c>
      <c r="J36" s="35">
        <v>4.101069729156176E-2</v>
      </c>
      <c r="L36" t="s">
        <v>72</v>
      </c>
      <c r="M36" t="str">
        <f t="shared" si="2"/>
        <v>DEMELC_IND</v>
      </c>
      <c r="N36" t="s">
        <v>94</v>
      </c>
      <c r="O36" s="35">
        <v>4.101069729156176E-2</v>
      </c>
      <c r="Q36" t="s">
        <v>72</v>
      </c>
      <c r="R36" t="str">
        <f t="shared" si="3"/>
        <v>DEMELC_TRA</v>
      </c>
      <c r="S36" t="s">
        <v>94</v>
      </c>
      <c r="T36" s="35">
        <v>4.101069729156176E-2</v>
      </c>
    </row>
    <row r="37" spans="2:20" x14ac:dyDescent="0.2">
      <c r="B37" t="s">
        <v>72</v>
      </c>
      <c r="C37" t="str">
        <f t="shared" si="0"/>
        <v>DEMELC_COM</v>
      </c>
      <c r="D37" t="s">
        <v>95</v>
      </c>
      <c r="E37" s="35">
        <v>4.9652911424591967E-2</v>
      </c>
      <c r="G37" t="s">
        <v>72</v>
      </c>
      <c r="H37" t="str">
        <f t="shared" si="1"/>
        <v>DEMELC_RSD</v>
      </c>
      <c r="I37" t="s">
        <v>95</v>
      </c>
      <c r="J37" s="35">
        <v>4.9652911424591967E-2</v>
      </c>
      <c r="L37" t="s">
        <v>72</v>
      </c>
      <c r="M37" t="str">
        <f t="shared" si="2"/>
        <v>DEMELC_IND</v>
      </c>
      <c r="N37" t="s">
        <v>95</v>
      </c>
      <c r="O37" s="35">
        <v>4.9652911424591967E-2</v>
      </c>
      <c r="Q37" t="s">
        <v>72</v>
      </c>
      <c r="R37" t="str">
        <f t="shared" si="3"/>
        <v>DEMELC_TRA</v>
      </c>
      <c r="S37" t="s">
        <v>95</v>
      </c>
      <c r="T37" s="35">
        <v>4.9652911424591967E-2</v>
      </c>
    </row>
    <row r="38" spans="2:20" x14ac:dyDescent="0.2">
      <c r="B38" t="s">
        <v>72</v>
      </c>
      <c r="C38" t="str">
        <f t="shared" si="0"/>
        <v>DEMELC_COM</v>
      </c>
      <c r="D38" t="s">
        <v>96</v>
      </c>
      <c r="E38" s="35">
        <v>4.9211095905815884E-2</v>
      </c>
      <c r="G38" t="s">
        <v>72</v>
      </c>
      <c r="H38" t="str">
        <f t="shared" si="1"/>
        <v>DEMELC_RSD</v>
      </c>
      <c r="I38" t="s">
        <v>96</v>
      </c>
      <c r="J38" s="35">
        <v>4.9211095905815884E-2</v>
      </c>
      <c r="L38" t="s">
        <v>72</v>
      </c>
      <c r="M38" t="str">
        <f t="shared" si="2"/>
        <v>DEMELC_IND</v>
      </c>
      <c r="N38" t="s">
        <v>96</v>
      </c>
      <c r="O38" s="35">
        <v>4.9211095905815884E-2</v>
      </c>
      <c r="Q38" t="s">
        <v>72</v>
      </c>
      <c r="R38" t="str">
        <f t="shared" si="3"/>
        <v>DEMELC_TRA</v>
      </c>
      <c r="S38" t="s">
        <v>96</v>
      </c>
      <c r="T38" s="35">
        <v>4.9211095905815884E-2</v>
      </c>
    </row>
    <row r="39" spans="2:20" x14ac:dyDescent="0.2">
      <c r="B39" t="s">
        <v>72</v>
      </c>
      <c r="C39" t="str">
        <f t="shared" si="0"/>
        <v>DEMELC_COM</v>
      </c>
      <c r="D39" t="s">
        <v>97</v>
      </c>
      <c r="E39" s="35">
        <v>5.0243422728341029E-2</v>
      </c>
      <c r="G39" t="s">
        <v>72</v>
      </c>
      <c r="H39" t="str">
        <f t="shared" si="1"/>
        <v>DEMELC_RSD</v>
      </c>
      <c r="I39" t="s">
        <v>97</v>
      </c>
      <c r="J39" s="35">
        <v>5.0243422728341029E-2</v>
      </c>
      <c r="L39" t="s">
        <v>72</v>
      </c>
      <c r="M39" t="str">
        <f t="shared" si="2"/>
        <v>DEMELC_IND</v>
      </c>
      <c r="N39" t="s">
        <v>97</v>
      </c>
      <c r="O39" s="35">
        <v>5.0243422728341029E-2</v>
      </c>
      <c r="Q39" t="s">
        <v>72</v>
      </c>
      <c r="R39" t="str">
        <f t="shared" si="3"/>
        <v>DEMELC_TRA</v>
      </c>
      <c r="S39" t="s">
        <v>97</v>
      </c>
      <c r="T39" s="35">
        <v>5.0243422728341029E-2</v>
      </c>
    </row>
    <row r="40" spans="2:20" x14ac:dyDescent="0.2">
      <c r="B40" t="s">
        <v>72</v>
      </c>
      <c r="C40" t="str">
        <f t="shared" si="0"/>
        <v>DEMELC_COM</v>
      </c>
      <c r="D40" t="s">
        <v>98</v>
      </c>
      <c r="E40" s="35">
        <v>4.5311195975387637E-2</v>
      </c>
      <c r="G40" t="s">
        <v>72</v>
      </c>
      <c r="H40" t="str">
        <f t="shared" si="1"/>
        <v>DEMELC_RSD</v>
      </c>
      <c r="I40" t="s">
        <v>98</v>
      </c>
      <c r="J40" s="35">
        <v>4.5311195975387637E-2</v>
      </c>
      <c r="L40" t="s">
        <v>72</v>
      </c>
      <c r="M40" t="str">
        <f t="shared" si="2"/>
        <v>DEMELC_IND</v>
      </c>
      <c r="N40" t="s">
        <v>98</v>
      </c>
      <c r="O40" s="35">
        <v>4.5311195975387637E-2</v>
      </c>
      <c r="Q40" t="s">
        <v>72</v>
      </c>
      <c r="R40" t="str">
        <f t="shared" si="3"/>
        <v>DEMELC_TRA</v>
      </c>
      <c r="S40" t="s">
        <v>98</v>
      </c>
      <c r="T40" s="35">
        <v>4.5311195975387637E-2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2026-10-23T15:49:20Z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