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91CFD674-5776-4E9C-B058-B78D9D8EA7B8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constraints" sheetId="7" state="hidden" r:id="rId6"/>
    <sheet name="fuel_costs" sheetId="3" state="hidden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0" i="5" l="1"/>
  <c r="R20" i="5"/>
  <c r="AX41" i="4" l="1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25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3" i="4"/>
  <c r="G6" i="2" l="1"/>
  <c r="H6" i="2" s="1"/>
  <c r="I6" i="2" s="1"/>
  <c r="J6" i="2" s="1"/>
  <c r="K6" i="2" s="1"/>
  <c r="W8" i="2" l="1"/>
  <c r="X8" i="2"/>
  <c r="Z8" i="2"/>
  <c r="AA8" i="2"/>
  <c r="T8" i="2" l="1"/>
  <c r="E6" i="1" l="1"/>
  <c r="E7" i="1"/>
  <c r="E8" i="1"/>
  <c r="E5" i="1"/>
  <c r="U8" i="2" l="1"/>
  <c r="V8" i="2"/>
  <c r="T9" i="2" l="1"/>
  <c r="E8" i="3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T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U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<sst xmlns="http://schemas.openxmlformats.org/spreadsheetml/2006/main" count="8001" uniqueCount="284">
  <si>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</si>
  <si>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</si>
  <si>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</si>
  <si>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</si>
  <si>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</si>
  <si>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</si>
  <si>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</si>
  <si>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</si>
  <si>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</si>
  <si>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</si>
  <si>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</si>
  <si>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</si>
  <si>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</si>
  <si>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ACT_BND</t>
  </si>
  <si>
    <t>pset_co</t>
  </si>
  <si>
    <t>Gas</t>
  </si>
  <si>
    <t>Coal</t>
  </si>
  <si>
    <t>Oil</t>
  </si>
  <si>
    <t>Bioenergy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</si>
  <si>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</si>
  <si>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</si>
  <si>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</si>
  <si>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</si>
  <si>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</si>
  <si>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</si>
  <si>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</si>
  <si>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</si>
  <si>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</si>
  <si>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</si>
  <si>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</si>
  <si>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</si>
  <si>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IMPNRGZ</t>
  </si>
  <si>
    <t>ELC</t>
  </si>
  <si>
    <t>hydro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</si>
  <si>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</si>
  <si>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</si>
  <si>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</si>
  <si>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</si>
  <si>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</si>
  <si>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</si>
  <si>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</si>
  <si>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</si>
  <si>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</si>
  <si>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</si>
  <si>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</si>
  <si>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</si>
  <si>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</si>
  <si>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</si>
  <si>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</si>
  <si>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</si>
  <si>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</si>
  <si>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</si>
  <si>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</si>
  <si>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</si>
  <si>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</si>
  <si>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</si>
  <si>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</si>
  <si>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</si>
  <si>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</si>
  <si>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</si>
  <si>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</si>
  <si>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</si>
  <si>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</si>
  <si>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</si>
  <si>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</si>
  <si>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</si>
  <si>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</si>
  <si>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</si>
  <si>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</si>
  <si>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</si>
  <si>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</si>
  <si>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</si>
  <si>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</si>
  <si>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</si>
  <si>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</si>
  <si>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</si>
  <si>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</si>
  <si>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</si>
  <si>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</si>
  <si>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</si>
  <si>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</si>
  <si>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</si>
  <si>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</si>
  <si>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</si>
  <si>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</si>
  <si>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</si>
  <si>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</si>
  <si>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</si>
  <si>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</si>
  <si>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</si>
  <si>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</si>
  <si>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</si>
  <si>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</si>
  <si>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</si>
  <si>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</si>
  <si>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</si>
  <si>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</si>
  <si>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</si>
  <si>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</si>
  <si>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</si>
  <si>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</si>
  <si>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</si>
  <si>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</si>
  <si>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</si>
  <si>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</si>
  <si>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</si>
  <si>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</si>
  <si>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</si>
  <si>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</si>
  <si>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</si>
  <si>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</si>
  <si>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</si>
  <si>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</si>
  <si>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</si>
  <si>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</si>
  <si>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</si>
  <si>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</si>
  <si>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</si>
  <si>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</si>
  <si>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</si>
  <si>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</si>
  <si>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</si>
  <si>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</si>
  <si>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</si>
  <si>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</si>
  <si>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</si>
  <si>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</si>
  <si>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</si>
  <si>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</si>
  <si>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</si>
  <si>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</si>
  <si>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</si>
  <si>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</si>
  <si>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</si>
  <si>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</si>
  <si>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</si>
  <si>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</si>
  <si>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</si>
  <si>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</si>
  <si>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</si>
  <si>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</si>
  <si>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</si>
  <si>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</si>
  <si>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</si>
  <si>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</si>
  <si>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</si>
  <si>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</si>
  <si>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</si>
  <si>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</si>
  <si>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</si>
  <si>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</si>
  <si>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</si>
  <si>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</si>
  <si>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</si>
  <si>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</si>
  <si>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</si>
  <si>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</si>
  <si>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</si>
  <si>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</si>
  <si>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</si>
  <si>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</si>
  <si>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</si>
  <si>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</si>
  <si>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</si>
  <si>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</si>
  <si>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</si>
  <si>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</si>
  <si>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</si>
  <si>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</si>
  <si>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</si>
  <si>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</si>
  <si>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</si>
  <si>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</si>
  <si>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</si>
  <si>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</si>
  <si>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</si>
  <si>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</si>
  <si>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</si>
  <si>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</si>
  <si>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</si>
  <si>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</si>
  <si>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</si>
  <si>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</si>
  <si>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</si>
  <si>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</si>
  <si>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</si>
  <si>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</si>
  <si>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</si>
  <si>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</si>
  <si>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</si>
  <si>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</si>
  <si>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</si>
  <si>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</si>
  <si>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</si>
  <si>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</si>
  <si>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</si>
  <si>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</si>
  <si>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</si>
  <si>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</si>
  <si>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</si>
  <si>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</si>
  <si>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</si>
  <si>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</si>
  <si>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</si>
  <si>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</si>
  <si>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</si>
  <si>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</si>
  <si>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</si>
  <si>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</si>
  <si>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</si>
  <si>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</si>
  <si>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</si>
  <si>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</si>
  <si>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</si>
  <si>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</si>
  <si>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</si>
  <si>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</si>
  <si>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</si>
  <si>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</si>
  <si>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</si>
  <si>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</si>
  <si>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</si>
  <si>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</si>
  <si>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</si>
  <si>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</si>
  <si>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</si>
  <si>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</si>
  <si>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</si>
  <si>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</si>
  <si>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</si>
  <si>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</si>
  <si>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</si>
  <si>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</si>
  <si>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</si>
  <si>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</si>
  <si>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</si>
  <si>
    <t>2022 (aastane tarbimine)</t>
  </si>
  <si>
    <t>2022 (%)</t>
  </si>
  <si>
    <t>Trd_electricity import_fi</t>
  </si>
  <si>
    <t>Trd_electricity import_lv</t>
  </si>
  <si>
    <t>Trd_electricity export_fi</t>
  </si>
  <si>
    <t>Trd_electricity export_lv</t>
  </si>
  <si>
    <t>Comment</t>
  </si>
  <si>
    <t>Trd_elc_imp_fi</t>
  </si>
  <si>
    <t>CAP_BND</t>
  </si>
  <si>
    <t>Import capacity to Finland interconnector in GW</t>
  </si>
  <si>
    <t>Trd_elc_imp_lv</t>
  </si>
  <si>
    <t>Import capacity to Latvia interconnector in GW</t>
  </si>
  <si>
    <t>Trd_elc_exp_fi</t>
  </si>
  <si>
    <t>Export capacity to Finland interconnector in GW</t>
  </si>
  <si>
    <t>Trd_elc_exp_lv</t>
  </si>
  <si>
    <t>Export capacity to Latvia interconnector in GW</t>
  </si>
  <si>
    <t>lo</t>
  </si>
  <si>
    <t>up</t>
  </si>
  <si>
    <t>elc_spv_tartu</t>
  </si>
  <si>
    <t>elc_spv_parnu</t>
  </si>
  <si>
    <t>elc_spv_laane_viru</t>
  </si>
  <si>
    <t>elc_spv_ida_viru</t>
  </si>
  <si>
    <t>elc_spv_jarva</t>
  </si>
  <si>
    <t>elc_spv_jogeva</t>
  </si>
  <si>
    <t>elc_spv_polva</t>
  </si>
  <si>
    <t>elc_spv_harju</t>
  </si>
  <si>
    <t>elc_spv_valga</t>
  </si>
  <si>
    <t>elc_spv_viljandi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</si>
  <si>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</si>
  <si>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</si>
  <si>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</si>
  <si>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</si>
  <si>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</si>
  <si>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</si>
  <si>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e_wof_parnu_laht</t>
  </si>
  <si>
    <t>TFM_DINS-AT</t>
  </si>
  <si>
    <t>Timeslice</t>
  </si>
  <si>
    <t>Attribute</t>
  </si>
  <si>
    <t>NCAP_AF</t>
  </si>
  <si>
    <t>Limtype</t>
  </si>
  <si>
    <t>elc_spv_voru</t>
  </si>
  <si>
    <t>elc_spv_saare</t>
  </si>
  <si>
    <t>elc_spv_rapla</t>
  </si>
  <si>
    <t>elc_spv_laane</t>
  </si>
  <si>
    <t>elc_spv_hiiu</t>
  </si>
  <si>
    <t>UC_T: uc_rhsrt</t>
  </si>
  <si>
    <t>TimeSlice</t>
  </si>
  <si>
    <t>Commodity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</si>
</sst>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1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86"/>
      <scheme val="minor"/>
    </font>
    <font>
      <sz val="10"/>
      <name val="Arial"/>
      <family val="2"/>
      <charset val="186"/>
    </font>
    <font>
      <b/>
      <sz val="10"/>
      <color indexed="12"/>
      <name val="Arial"/>
      <family val="2"/>
    </font>
    <font>
      <b/>
      <sz val="10"/>
      <name val="Arial"/>
      <family val="2"/>
    </font>
    <font>
      <b/>
      <sz val="10"/>
      <name val="Arial"/>
      <family val="2"/>
      <charset val="186"/>
    </font>
    <font>
      <b/>
      <sz val="11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b/>
      <sz val="9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0">
    <xf numFmtId="0" fontId="0" fillId="0" borderId="0"/>
    <xf numFmtId="9" fontId="2" fillId="0" borderId="0" applyFont="0" applyFill="0" applyBorder="0" applyAlignment="0" applyProtection="0"/>
    <xf numFmtId="0" fontId="4" fillId="0" borderId="0"/>
    <xf numFmtId="43" fontId="9" fillId="0" borderId="0" applyFont="0" applyFill="0" applyBorder="0" applyAlignment="0" applyProtection="0"/>
    <xf numFmtId="0" fontId="9" fillId="0" borderId="0"/>
    <xf numFmtId="0" fontId="2" fillId="0" borderId="0"/>
    <xf numFmtId="9" fontId="9" fillId="0" borderId="0" applyFont="0" applyFill="0" applyBorder="0" applyAlignment="0" applyProtection="0"/>
    <xf numFmtId="0" fontId="10" fillId="0" borderId="0"/>
    <xf numFmtId="0" fontId="9" fillId="0" borderId="0"/>
    <xf numFmtId="0" fontId="4" fillId="0" borderId="0"/>
  </cellStyleXfs>
  <cellXfs count="20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1" applyNumberFormat="1" applyFont="1"/>
    <xf numFmtId="0" fontId="5" fillId="0" borderId="0" xfId="2" applyFont="1"/>
    <xf numFmtId="0" fontId="4" fillId="0" borderId="0" xfId="2"/>
    <xf numFmtId="0" fontId="6" fillId="3" borderId="1" xfId="2" applyFont="1" applyFill="1" applyBorder="1"/>
    <xf numFmtId="0" fontId="6" fillId="4" borderId="1" xfId="2" applyFont="1" applyFill="1" applyBorder="1"/>
    <xf numFmtId="0" fontId="7" fillId="0" borderId="0" xfId="2" applyFont="1"/>
    <xf numFmtId="0" fontId="5" fillId="2" borderId="0" xfId="2" applyFont="1" applyFill="1"/>
    <xf numFmtId="0" fontId="6" fillId="0" borderId="0" xfId="2" applyFont="1"/>
    <xf numFmtId="0" fontId="3" fillId="0" borderId="0" xfId="0" applyFont="1"/>
    <xf numFmtId="0" fontId="8" fillId="5" borderId="0" xfId="0" applyFont="1" applyFill="1" applyAlignment="1">
      <alignment horizontal="left"/>
    </xf>
    <xf numFmtId="0" fontId="11" fillId="6" borderId="1" xfId="8" applyFont="1" applyFill="1" applyBorder="1" applyAlignment="1">
      <alignment horizontal="center" vertical="center"/>
    </xf>
    <xf numFmtId="0" fontId="11" fillId="3" borderId="1" xfId="8" applyFont="1" applyFill="1" applyBorder="1" applyAlignment="1">
      <alignment horizontal="center" vertical="center" wrapText="1"/>
    </xf>
    <xf numFmtId="0" fontId="5" fillId="0" borderId="0" xfId="9" applyFont="1"/>
    <xf numFmtId="0" fontId="4" fillId="0" borderId="0" xfId="9"/>
    <xf numFmtId="0" fontId="6" fillId="3" borderId="1" xfId="9" applyFont="1" applyFill="1" applyBorder="1"/>
  </cellXfs>
  <cellStyles count="10">
    <cellStyle name="Comma 2" xfId="3" xr:uid="{45765176-8E4D-467C-8B17-17A7F0C6EBE1}"/>
    <cellStyle name="Normal" xfId="0" builtinId="0"/>
    <cellStyle name="Normal 2" xfId="9" xr:uid="{B297574D-FF79-43D6-93FB-A9CB2BC7406B}"/>
    <cellStyle name="Normal 2 2" xfId="4" xr:uid="{F7C519C7-8350-49D9-BDA7-A6841DB0335B}"/>
    <cellStyle name="Normal 3" xfId="2" xr:uid="{723D26E9-AFF9-4781-93F1-B8052D379618}"/>
    <cellStyle name="Normal 4" xfId="8" xr:uid="{5A49801C-378A-4555-A702-42C4A58529E9}"/>
    <cellStyle name="Normal 9" xfId="5" xr:uid="{5D6FD39B-DCDC-4285-837A-541EB825D101}"/>
    <cellStyle name="Normale_Scen_UC_IND-StrucConst 2" xfId="7" xr:uid="{331F6440-54CE-44B5-B9D2-09DA670354B5}"/>
    <cellStyle name="Percent" xfId="1" builtinId="5"/>
    <cellStyle name="Percent 2" xfId="6" xr:uid="{FA3B56EB-FA69-42D1-B655-235A2293953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4" dT="2026-02-09T15:03:46.65" personId="{D890C80A-6FD1-44D2-9FEA-B2886A57E3E3}" id="{AFB77902-2BF7-4C69-9161-7580EA129EA2}">
    <text xml:space="preserve">Suvaline arv
</text>
  </threadedComment>
  <threadedComment ref="U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X26"/>
  <sheetViews>
    <sheetView zoomScale="111" workbookViewId="0">
      <selection activeCell="C31" sqref="C31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  <col min="12" max="12" width="16.85546875" bestFit="1" customWidth="1"/>
    <col min="13" max="13" width="16.42578125" bestFit="1" customWidth="1"/>
    <col min="23" max="23" width="25.7109375" bestFit="1" customWidth="1"/>
  </cols>
  <sheetData>
    <row r="3" spans="2:24" x14ac:dyDescent="0.25">
      <c r="B3" s="6" t="s">
        <v>0</v>
      </c>
      <c r="C3" s="7"/>
      <c r="D3" s="7"/>
      <c r="E3" s="7"/>
      <c r="O3" t="s">
        <v>34</v>
      </c>
    </row>
    <row r="4" spans="2:24" ht="15.75" thickBot="1" x14ac:dyDescent="0.3">
      <c r="B4" s="8" t="s">
        <v>282</v>
      </c>
      <c r="C4" s="8" t="s">
        <v>88</v>
      </c>
      <c r="D4" s="8" t="s">
        <v>273</v>
      </c>
      <c r="E4" s="9">
        <v>2022</v>
      </c>
      <c r="F4" s="9">
        <v>2025</v>
      </c>
      <c r="G4" s="9">
        <v>2030</v>
      </c>
      <c r="H4" s="9">
        <v>2035</v>
      </c>
      <c r="I4" s="9">
        <v>2040</v>
      </c>
      <c r="J4" s="9">
        <v>2045</v>
      </c>
      <c r="K4" s="9">
        <v>2050</v>
      </c>
      <c r="L4" s="8" t="s">
        <v>283</v>
      </c>
      <c r="O4">
        <v>2022</v>
      </c>
      <c r="P4">
        <v>2025</v>
      </c>
      <c r="Q4">
        <v>2030</v>
      </c>
      <c r="R4">
        <v>2035</v>
      </c>
      <c r="S4">
        <v>2040</v>
      </c>
      <c r="T4">
        <v>2045</v>
      </c>
      <c r="U4">
        <v>2050</v>
      </c>
      <c r="X4" t="s">
        <v>236</v>
      </c>
    </row>
    <row r="5" spans="2:24" x14ac:dyDescent="0.25">
      <c r="D5" t="s">
        <v>4</v>
      </c>
      <c r="E5">
        <f>$O$5*P10</f>
        <v>3.3660000000000001</v>
      </c>
      <c r="F5">
        <v>3.3980000000000001</v>
      </c>
      <c r="G5">
        <v>3.57</v>
      </c>
      <c r="H5">
        <v>3.9750000000000001</v>
      </c>
      <c r="I5">
        <v>4.3120000000000003</v>
      </c>
      <c r="J5">
        <v>4.5830000000000002</v>
      </c>
      <c r="K5">
        <v>4.798</v>
      </c>
      <c r="L5" t="s">
        <v>35</v>
      </c>
      <c r="O5">
        <v>8.5</v>
      </c>
      <c r="P5">
        <v>8.6999999999999993</v>
      </c>
      <c r="Q5">
        <v>10.4</v>
      </c>
      <c r="R5">
        <v>12.2</v>
      </c>
      <c r="S5">
        <v>14.2</v>
      </c>
      <c r="T5">
        <v>15</v>
      </c>
      <c r="U5">
        <v>16</v>
      </c>
      <c r="X5">
        <v>8.5</v>
      </c>
    </row>
    <row r="6" spans="2:24" x14ac:dyDescent="0.25">
      <c r="D6" t="s">
        <v>4</v>
      </c>
      <c r="E6">
        <f>$O$5*P11</f>
        <v>2.6859999999999999</v>
      </c>
      <c r="F6">
        <v>2.6019999999999999</v>
      </c>
      <c r="G6">
        <v>2.6349999999999998</v>
      </c>
      <c r="H6">
        <v>2.657</v>
      </c>
      <c r="I6">
        <v>2.806</v>
      </c>
      <c r="J6">
        <v>3.008</v>
      </c>
      <c r="K6">
        <v>3.306</v>
      </c>
      <c r="L6" t="s">
        <v>5</v>
      </c>
    </row>
    <row r="7" spans="2:24" x14ac:dyDescent="0.25">
      <c r="D7" t="s">
        <v>4</v>
      </c>
      <c r="E7">
        <f>$O$5*P12</f>
        <v>2.3630000000000004</v>
      </c>
      <c r="F7">
        <v>2.1909999999999998</v>
      </c>
      <c r="G7">
        <v>2.3180000000000001</v>
      </c>
      <c r="H7">
        <v>2.5470000000000002</v>
      </c>
      <c r="I7">
        <v>2.7719999999999998</v>
      </c>
      <c r="J7">
        <v>2.9969999999999999</v>
      </c>
      <c r="K7">
        <v>3.206</v>
      </c>
      <c r="L7" t="s">
        <v>6</v>
      </c>
    </row>
    <row r="8" spans="2:24" x14ac:dyDescent="0.25">
      <c r="D8" t="s">
        <v>4</v>
      </c>
      <c r="E8">
        <f>$O$5*P13</f>
        <v>7.6499999999999999E-2</v>
      </c>
      <c r="F8">
        <v>0.28100000000000003</v>
      </c>
      <c r="G8">
        <v>0.58599999999999997</v>
      </c>
      <c r="H8">
        <v>1.095</v>
      </c>
      <c r="I8">
        <v>1.4690000000000001</v>
      </c>
      <c r="J8">
        <v>2.3660000000000001</v>
      </c>
      <c r="K8">
        <v>3.2690000000000001</v>
      </c>
      <c r="L8" t="s">
        <v>7</v>
      </c>
    </row>
    <row r="9" spans="2:24" x14ac:dyDescent="0.25">
      <c r="P9" t="s">
        <v>237</v>
      </c>
    </row>
    <row r="10" spans="2:24" x14ac:dyDescent="0.25">
      <c r="D10" t="s">
        <v>4</v>
      </c>
      <c r="F10">
        <v>0.43282499999999935</v>
      </c>
      <c r="G10">
        <v>0.8755999999999986</v>
      </c>
      <c r="H10">
        <v>1.5402599999999982</v>
      </c>
      <c r="I10">
        <v>2.3064099999999979</v>
      </c>
      <c r="J10">
        <v>2.3123799999999974</v>
      </c>
      <c r="K10">
        <v>2.5670999999999964</v>
      </c>
      <c r="L10" t="s">
        <v>8</v>
      </c>
      <c r="N10" t="s">
        <v>35</v>
      </c>
      <c r="O10">
        <v>2.9033099999999998</v>
      </c>
      <c r="P10" s="5">
        <v>0.39600000000000002</v>
      </c>
    </row>
    <row r="11" spans="2:24" x14ac:dyDescent="0.25">
      <c r="D11" t="s">
        <v>4</v>
      </c>
      <c r="F11">
        <v>0</v>
      </c>
      <c r="G11">
        <v>0</v>
      </c>
      <c r="H11">
        <v>0.13133999999999996</v>
      </c>
      <c r="I11">
        <v>0.30645999999999995</v>
      </c>
      <c r="J11">
        <v>0.32635999999999987</v>
      </c>
      <c r="K11">
        <v>0.76415999999999984</v>
      </c>
      <c r="L11" t="s">
        <v>3</v>
      </c>
      <c r="N11" t="s">
        <v>5</v>
      </c>
      <c r="O11">
        <v>2.0885600000000002</v>
      </c>
      <c r="P11" s="5">
        <v>0.316</v>
      </c>
    </row>
    <row r="12" spans="2:24" x14ac:dyDescent="0.25">
      <c r="N12" t="s">
        <v>6</v>
      </c>
      <c r="O12">
        <v>1.96688</v>
      </c>
      <c r="P12" s="5">
        <v>0.27800000000000002</v>
      </c>
    </row>
    <row r="13" spans="2:24" x14ac:dyDescent="0.25">
      <c r="N13" t="s">
        <v>7</v>
      </c>
      <c r="O13">
        <v>3.5150000000000001E-2</v>
      </c>
      <c r="P13" s="5">
        <v>8.9999999999999993E-3</v>
      </c>
    </row>
    <row r="14" spans="2:24" x14ac:dyDescent="0.25">
      <c r="B14" s="6" t="s">
        <v>36</v>
      </c>
      <c r="C14" s="7"/>
      <c r="D14" s="7"/>
      <c r="E14" s="7"/>
    </row>
    <row r="15" spans="2:24" ht="15.75" thickBot="1" x14ac:dyDescent="0.3">
      <c r="B15" s="8" t="s">
        <v>2</v>
      </c>
      <c r="C15" s="8" t="s">
        <v>37</v>
      </c>
      <c r="D15" s="8" t="s">
        <v>38</v>
      </c>
      <c r="E15" s="8" t="s">
        <v>39</v>
      </c>
      <c r="F15" s="8" t="s">
        <v>14</v>
      </c>
      <c r="G15" s="8" t="s">
        <v>11</v>
      </c>
    </row>
    <row r="16" spans="2:24" x14ac:dyDescent="0.25">
      <c r="B16" t="s">
        <v>40</v>
      </c>
      <c r="C16" t="s">
        <v>41</v>
      </c>
      <c r="D16" t="s">
        <v>42</v>
      </c>
      <c r="E16">
        <v>338.40000000000003</v>
      </c>
    </row>
    <row r="17" spans="2:16" x14ac:dyDescent="0.25">
      <c r="B17" t="s">
        <v>40</v>
      </c>
      <c r="C17" t="s">
        <v>43</v>
      </c>
      <c r="D17" t="s">
        <v>42</v>
      </c>
      <c r="E17">
        <v>198</v>
      </c>
      <c r="P17">
        <v>9.950000000000081E-2</v>
      </c>
    </row>
    <row r="18" spans="2:16" x14ac:dyDescent="0.25">
      <c r="B18" t="s">
        <v>40</v>
      </c>
      <c r="C18" t="s">
        <v>44</v>
      </c>
      <c r="D18" t="s">
        <v>42</v>
      </c>
      <c r="E18">
        <v>252</v>
      </c>
      <c r="P18">
        <v>0</v>
      </c>
    </row>
    <row r="19" spans="2:16" x14ac:dyDescent="0.25">
      <c r="B19" t="s">
        <v>45</v>
      </c>
      <c r="C19" t="s">
        <v>46</v>
      </c>
      <c r="D19" t="s">
        <v>10</v>
      </c>
      <c r="E19">
        <v>1</v>
      </c>
    </row>
    <row r="26" spans="2:16" x14ac:dyDescent="0.25">
      <c r="M26" s="10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X1437"/>
  <sheetViews>
    <sheetView topLeftCell="X1" zoomScale="68" workbookViewId="0">
      <selection activeCell="J47" sqref="J47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8.140625" bestFit="1" customWidth="1"/>
    <col min="14" max="14" width="14.7109375" bestFit="1" customWidth="1"/>
    <col min="17" max="17" width="14.140625" bestFit="1" customWidth="1"/>
    <col min="19" max="19" width="13.42578125" bestFit="1" customWidth="1"/>
    <col min="21" max="21" width="11" bestFit="1" customWidth="1"/>
    <col min="24" max="24" width="15" bestFit="1" customWidth="1"/>
    <col min="26" max="26" width="16.5703125" customWidth="1"/>
    <col min="27" max="27" width="29.5703125" bestFit="1" customWidth="1"/>
    <col min="28" max="28" width="11.85546875" bestFit="1" customWidth="1"/>
    <col min="30" max="30" width="12" bestFit="1" customWidth="1"/>
    <col min="32" max="32" width="9.2851562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  <col min="43" max="43" width="9.7109375" bestFit="1" customWidth="1"/>
    <col min="44" max="44" width="10.42578125" bestFit="1" customWidth="1"/>
    <col min="45" max="45" width="8.140625" bestFit="1" customWidth="1"/>
    <col min="46" max="46" width="22.85546875" bestFit="1" customWidth="1"/>
    <col min="49" max="49" width="9.5703125" bestFit="1" customWidth="1"/>
  </cols>
  <sheetData>
    <row r="1" spans="1:49" s="6" customFormat="1" ht="12.75" x14ac:dyDescent="0.2">
      <c r="C1" s="6" t="s">
        <v>48</v>
      </c>
      <c r="I1" s="6" t="s">
        <v>49</v>
      </c>
      <c r="N1" s="6" t="s">
        <v>49</v>
      </c>
      <c r="S1" s="6" t="s">
        <v>49</v>
      </c>
      <c r="X1" s="6" t="s">
        <v>49</v>
      </c>
      <c r="AB1" s="11" t="s">
        <v>271</v>
      </c>
      <c r="AF1" s="11" t="s">
        <v>67</v>
      </c>
      <c r="AK1" s="6" t="s">
        <v>49</v>
      </c>
      <c r="AQ1" s="6" t="s">
        <v>36</v>
      </c>
    </row>
    <row r="2" spans="1:49" ht="15.75" thickBot="1" x14ac:dyDescent="0.3">
      <c r="A2" t="s">
        <v>47</v>
      </c>
      <c r="C2" s="8" t="s">
        <v>19</v>
      </c>
      <c r="D2" s="8" t="s">
        <v>20</v>
      </c>
      <c r="E2" s="8" t="s">
        <v>21</v>
      </c>
      <c r="F2" s="8" t="s">
        <v>22</v>
      </c>
      <c r="G2" s="8" t="s">
        <v>23</v>
      </c>
      <c r="I2" s="8" t="s">
        <v>1</v>
      </c>
      <c r="J2" s="8" t="s">
        <v>24</v>
      </c>
      <c r="K2" s="8" t="s">
        <v>25</v>
      </c>
      <c r="L2" s="8" t="s">
        <v>11</v>
      </c>
      <c r="N2" s="8" t="s">
        <v>1</v>
      </c>
      <c r="O2" s="8" t="s">
        <v>24</v>
      </c>
      <c r="P2" s="8" t="s">
        <v>25</v>
      </c>
      <c r="Q2" s="8" t="s">
        <v>11</v>
      </c>
      <c r="S2" s="8" t="s">
        <v>1</v>
      </c>
      <c r="T2" s="8" t="s">
        <v>24</v>
      </c>
      <c r="U2" s="8" t="s">
        <v>25</v>
      </c>
      <c r="V2" s="8" t="s">
        <v>11</v>
      </c>
      <c r="X2" s="8" t="s">
        <v>1</v>
      </c>
      <c r="Y2" s="8" t="s">
        <v>24</v>
      </c>
      <c r="Z2" s="8" t="s">
        <v>25</v>
      </c>
      <c r="AA2" s="12"/>
      <c r="AB2" s="8" t="s">
        <v>1</v>
      </c>
      <c r="AC2" s="8" t="s">
        <v>24</v>
      </c>
      <c r="AD2" s="8" t="s">
        <v>27</v>
      </c>
      <c r="AF2" s="8" t="s">
        <v>50</v>
      </c>
      <c r="AG2" s="8" t="s">
        <v>24</v>
      </c>
      <c r="AH2" s="8" t="s">
        <v>28</v>
      </c>
      <c r="AI2" s="8" t="s">
        <v>29</v>
      </c>
      <c r="AK2" s="8" t="s">
        <v>26</v>
      </c>
      <c r="AL2" s="8" t="s">
        <v>25</v>
      </c>
      <c r="AM2" s="8" t="s">
        <v>24</v>
      </c>
      <c r="AN2" s="8" t="s">
        <v>1</v>
      </c>
      <c r="AQ2" s="8" t="s">
        <v>272</v>
      </c>
      <c r="AR2" s="8" t="s">
        <v>273</v>
      </c>
      <c r="AS2" s="8" t="s">
        <v>275</v>
      </c>
      <c r="AT2" s="8" t="s">
        <v>11</v>
      </c>
      <c r="AU2" s="8" t="s">
        <v>39</v>
      </c>
    </row>
    <row r="3" spans="1:49" x14ac:dyDescent="0.25">
      <c r="A3" t="str">
        <f>IFERROR(IF([1]Veda!#REF!=A2,"ok","x"),"")</f>
        <v/>
      </c>
      <c r="C3" t="s">
        <v>100</v>
      </c>
      <c r="D3" t="s">
        <v>30</v>
      </c>
      <c r="E3" t="s">
        <v>101</v>
      </c>
      <c r="F3" t="s">
        <v>102</v>
      </c>
      <c r="G3" t="s">
        <v>30</v>
      </c>
      <c r="I3" t="s">
        <v>254</v>
      </c>
      <c r="J3" t="s">
        <v>121</v>
      </c>
      <c r="K3">
        <v>0</v>
      </c>
      <c r="L3" t="s">
        <v>31</v>
      </c>
      <c r="N3" t="s">
        <v>264</v>
      </c>
      <c r="O3" t="s">
        <v>121</v>
      </c>
      <c r="P3">
        <v>1.9486301938568304E-2</v>
      </c>
      <c r="Q3" t="s">
        <v>31</v>
      </c>
      <c r="S3" t="s">
        <v>270</v>
      </c>
      <c r="T3" t="s">
        <v>121</v>
      </c>
      <c r="U3">
        <v>2.1480465588116556E-2</v>
      </c>
      <c r="V3" t="s">
        <v>31</v>
      </c>
      <c r="X3" t="s">
        <v>6</v>
      </c>
      <c r="Y3" t="s">
        <v>121</v>
      </c>
      <c r="Z3">
        <v>1.8478957293394084E-2</v>
      </c>
      <c r="AB3" t="s">
        <v>32</v>
      </c>
      <c r="AC3" t="s">
        <v>121</v>
      </c>
      <c r="AD3">
        <v>0.14663900234639793</v>
      </c>
      <c r="AF3">
        <v>2020</v>
      </c>
      <c r="AG3" t="s">
        <v>100</v>
      </c>
      <c r="AH3">
        <v>0</v>
      </c>
      <c r="AI3" t="s">
        <v>33</v>
      </c>
      <c r="AK3">
        <v>1.7694063926940638E-2</v>
      </c>
      <c r="AL3">
        <v>2.7539798954163875E-3</v>
      </c>
      <c r="AM3" t="s">
        <v>121</v>
      </c>
      <c r="AN3" t="s">
        <v>8</v>
      </c>
      <c r="AQ3" t="s">
        <v>121</v>
      </c>
      <c r="AR3" t="s">
        <v>274</v>
      </c>
      <c r="AS3" t="s">
        <v>253</v>
      </c>
      <c r="AT3" t="s">
        <v>238</v>
      </c>
      <c r="AU3">
        <f>350/$AW$3</f>
        <v>0.34448818897637795</v>
      </c>
      <c r="AW3">
        <v>1016</v>
      </c>
    </row>
    <row r="4" spans="1:49" x14ac:dyDescent="0.25">
      <c r="C4" t="s">
        <v>103</v>
      </c>
      <c r="E4" t="s">
        <v>104</v>
      </c>
      <c r="G4" t="s">
        <v>30</v>
      </c>
      <c r="I4" t="s">
        <v>254</v>
      </c>
      <c r="J4" t="s">
        <v>122</v>
      </c>
      <c r="K4">
        <v>0</v>
      </c>
      <c r="L4" t="s">
        <v>31</v>
      </c>
      <c r="N4" t="s">
        <v>264</v>
      </c>
      <c r="O4" t="s">
        <v>122</v>
      </c>
      <c r="P4">
        <v>3.9381276045911155E-3</v>
      </c>
      <c r="Q4" t="s">
        <v>31</v>
      </c>
      <c r="S4" t="s">
        <v>270</v>
      </c>
      <c r="T4" t="s">
        <v>122</v>
      </c>
      <c r="U4">
        <v>4.2989737703853347E-3</v>
      </c>
      <c r="V4" t="s">
        <v>31</v>
      </c>
      <c r="X4" t="s">
        <v>6</v>
      </c>
      <c r="Y4" t="s">
        <v>122</v>
      </c>
      <c r="Z4">
        <v>4.1712445978343074E-3</v>
      </c>
      <c r="AB4" t="s">
        <v>32</v>
      </c>
      <c r="AC4" t="s">
        <v>122</v>
      </c>
      <c r="AD4">
        <v>7.5518054349174912E-2</v>
      </c>
      <c r="AF4">
        <v>2020</v>
      </c>
      <c r="AG4" t="s">
        <v>103</v>
      </c>
      <c r="AH4">
        <v>0</v>
      </c>
      <c r="AI4" t="s">
        <v>33</v>
      </c>
      <c r="AK4">
        <v>3.5388127853881279E-3</v>
      </c>
      <c r="AL4">
        <v>1.7880317231434744E-3</v>
      </c>
      <c r="AM4" t="s">
        <v>122</v>
      </c>
      <c r="AN4" t="s">
        <v>8</v>
      </c>
      <c r="AQ4" t="s">
        <v>122</v>
      </c>
      <c r="AR4" t="s">
        <v>274</v>
      </c>
      <c r="AS4" t="s">
        <v>253</v>
      </c>
      <c r="AT4" t="s">
        <v>238</v>
      </c>
      <c r="AU4">
        <f t="shared" ref="AU4:AU24" si="0">350/$AW$3</f>
        <v>0.34448818897637795</v>
      </c>
    </row>
    <row r="5" spans="1:49" x14ac:dyDescent="0.25">
      <c r="C5" t="s">
        <v>105</v>
      </c>
      <c r="E5" t="s">
        <v>106</v>
      </c>
      <c r="G5" t="s">
        <v>30</v>
      </c>
      <c r="I5" t="s">
        <v>254</v>
      </c>
      <c r="J5" t="s">
        <v>123</v>
      </c>
      <c r="K5">
        <v>8.244810902901795E-3</v>
      </c>
      <c r="L5" t="s">
        <v>31</v>
      </c>
      <c r="N5" t="s">
        <v>264</v>
      </c>
      <c r="O5" t="s">
        <v>123</v>
      </c>
      <c r="P5">
        <v>3.8022678670011856E-2</v>
      </c>
      <c r="Q5" t="s">
        <v>31</v>
      </c>
      <c r="S5" t="s">
        <v>270</v>
      </c>
      <c r="T5" t="s">
        <v>123</v>
      </c>
      <c r="U5">
        <v>3.6491509868469801E-2</v>
      </c>
      <c r="V5" t="s">
        <v>31</v>
      </c>
      <c r="X5" t="s">
        <v>6</v>
      </c>
      <c r="Y5" t="s">
        <v>123</v>
      </c>
      <c r="Z5">
        <v>3.8466887803889016E-2</v>
      </c>
      <c r="AB5" t="s">
        <v>32</v>
      </c>
      <c r="AC5" t="s">
        <v>123</v>
      </c>
      <c r="AD5">
        <v>6.0365549949108699E-2</v>
      </c>
      <c r="AF5">
        <v>2020</v>
      </c>
      <c r="AG5" t="s">
        <v>105</v>
      </c>
      <c r="AH5">
        <v>0</v>
      </c>
      <c r="AI5" t="s">
        <v>33</v>
      </c>
      <c r="AK5">
        <v>3.1849315068493152E-2</v>
      </c>
      <c r="AL5">
        <v>4.2573651890709309E-2</v>
      </c>
      <c r="AM5" t="s">
        <v>123</v>
      </c>
      <c r="AN5" t="s">
        <v>8</v>
      </c>
      <c r="AQ5" t="s">
        <v>123</v>
      </c>
      <c r="AR5" t="s">
        <v>274</v>
      </c>
      <c r="AS5" t="s">
        <v>253</v>
      </c>
      <c r="AT5" t="s">
        <v>238</v>
      </c>
      <c r="AU5">
        <f t="shared" si="0"/>
        <v>0.34448818897637795</v>
      </c>
    </row>
    <row r="6" spans="1:49" x14ac:dyDescent="0.25">
      <c r="C6" t="s">
        <v>107</v>
      </c>
      <c r="E6" t="s">
        <v>108</v>
      </c>
      <c r="G6" t="s">
        <v>30</v>
      </c>
      <c r="I6" t="s">
        <v>254</v>
      </c>
      <c r="J6" t="s">
        <v>124</v>
      </c>
      <c r="K6">
        <v>1.4127396844557706E-3</v>
      </c>
      <c r="L6" t="s">
        <v>31</v>
      </c>
      <c r="N6" t="s">
        <v>264</v>
      </c>
      <c r="O6" t="s">
        <v>124</v>
      </c>
      <c r="P6">
        <v>4.3550582977948471E-3</v>
      </c>
      <c r="Q6" t="s">
        <v>31</v>
      </c>
      <c r="S6" t="s">
        <v>270</v>
      </c>
      <c r="T6" t="s">
        <v>124</v>
      </c>
      <c r="U6">
        <v>4.173309623466309E-3</v>
      </c>
      <c r="V6" t="s">
        <v>31</v>
      </c>
      <c r="X6" t="s">
        <v>6</v>
      </c>
      <c r="Y6" t="s">
        <v>124</v>
      </c>
      <c r="Z6">
        <v>4.3174704668137642E-3</v>
      </c>
      <c r="AB6" t="s">
        <v>32</v>
      </c>
      <c r="AC6" t="s">
        <v>124</v>
      </c>
      <c r="AD6">
        <v>3.5756594057491098E-2</v>
      </c>
      <c r="AF6">
        <v>2020</v>
      </c>
      <c r="AG6" t="s">
        <v>107</v>
      </c>
      <c r="AH6">
        <v>0</v>
      </c>
      <c r="AI6" t="s">
        <v>33</v>
      </c>
      <c r="AK6">
        <v>3.5388127853881279E-3</v>
      </c>
      <c r="AL6">
        <v>5.3435430806586613E-3</v>
      </c>
      <c r="AM6" t="s">
        <v>124</v>
      </c>
      <c r="AN6" t="s">
        <v>8</v>
      </c>
      <c r="AQ6" t="s">
        <v>124</v>
      </c>
      <c r="AR6" t="s">
        <v>274</v>
      </c>
      <c r="AS6" t="s">
        <v>253</v>
      </c>
      <c r="AT6" t="s">
        <v>238</v>
      </c>
      <c r="AU6">
        <f t="shared" si="0"/>
        <v>0.34448818897637795</v>
      </c>
    </row>
    <row r="7" spans="1:49" x14ac:dyDescent="0.25">
      <c r="C7" t="s">
        <v>109</v>
      </c>
      <c r="E7" t="s">
        <v>110</v>
      </c>
      <c r="G7" t="s">
        <v>30</v>
      </c>
      <c r="I7" t="s">
        <v>254</v>
      </c>
      <c r="J7" t="s">
        <v>125</v>
      </c>
      <c r="K7">
        <v>6.1816345125984083E-4</v>
      </c>
      <c r="L7" t="s">
        <v>31</v>
      </c>
      <c r="N7" t="s">
        <v>264</v>
      </c>
      <c r="O7" t="s">
        <v>125</v>
      </c>
      <c r="P7">
        <v>1.2544253680139162E-2</v>
      </c>
      <c r="Q7" t="s">
        <v>31</v>
      </c>
      <c r="S7" t="s">
        <v>270</v>
      </c>
      <c r="T7" t="s">
        <v>125</v>
      </c>
      <c r="U7">
        <v>1.2528104440365827E-2</v>
      </c>
      <c r="V7" t="s">
        <v>31</v>
      </c>
      <c r="X7" t="s">
        <v>6</v>
      </c>
      <c r="Y7" t="s">
        <v>125</v>
      </c>
      <c r="Z7">
        <v>1.2948167016603873E-2</v>
      </c>
      <c r="AB7" t="s">
        <v>32</v>
      </c>
      <c r="AC7" t="s">
        <v>125</v>
      </c>
      <c r="AD7">
        <v>3.7514710861048739E-2</v>
      </c>
      <c r="AF7">
        <v>2020</v>
      </c>
      <c r="AG7" t="s">
        <v>109</v>
      </c>
      <c r="AH7">
        <v>0</v>
      </c>
      <c r="AI7" t="s">
        <v>33</v>
      </c>
      <c r="AK7">
        <v>1.0616438356164383E-2</v>
      </c>
      <c r="AL7">
        <v>1.9113442557740598E-2</v>
      </c>
      <c r="AM7" t="s">
        <v>125</v>
      </c>
      <c r="AN7" t="s">
        <v>8</v>
      </c>
      <c r="AQ7" t="s">
        <v>125</v>
      </c>
      <c r="AR7" t="s">
        <v>274</v>
      </c>
      <c r="AS7" t="s">
        <v>253</v>
      </c>
      <c r="AT7" t="s">
        <v>238</v>
      </c>
      <c r="AU7">
        <f t="shared" si="0"/>
        <v>0.34448818897637795</v>
      </c>
    </row>
    <row r="8" spans="1:49" x14ac:dyDescent="0.25">
      <c r="C8" t="s">
        <v>111</v>
      </c>
      <c r="E8" t="s">
        <v>112</v>
      </c>
      <c r="G8" t="s">
        <v>30</v>
      </c>
      <c r="I8" t="s">
        <v>254</v>
      </c>
      <c r="J8" t="s">
        <v>126</v>
      </c>
      <c r="K8">
        <v>0</v>
      </c>
      <c r="L8" t="s">
        <v>31</v>
      </c>
      <c r="N8" t="s">
        <v>264</v>
      </c>
      <c r="O8" t="s">
        <v>126</v>
      </c>
      <c r="P8">
        <v>4.0373607721423234E-3</v>
      </c>
      <c r="Q8" t="s">
        <v>31</v>
      </c>
      <c r="S8" t="s">
        <v>270</v>
      </c>
      <c r="T8" t="s">
        <v>126</v>
      </c>
      <c r="U8">
        <v>4.0092313630462713E-3</v>
      </c>
      <c r="V8" t="s">
        <v>31</v>
      </c>
      <c r="X8" t="s">
        <v>6</v>
      </c>
      <c r="Y8" t="s">
        <v>126</v>
      </c>
      <c r="Z8">
        <v>4.2717406538557694E-3</v>
      </c>
      <c r="AB8" t="s">
        <v>32</v>
      </c>
      <c r="AC8" t="s">
        <v>126</v>
      </c>
      <c r="AD8">
        <v>3.4365936288966337E-2</v>
      </c>
      <c r="AF8">
        <v>2020</v>
      </c>
      <c r="AG8" t="s">
        <v>111</v>
      </c>
      <c r="AH8">
        <v>0</v>
      </c>
      <c r="AI8" t="s">
        <v>33</v>
      </c>
      <c r="AK8">
        <v>3.5388127853881279E-3</v>
      </c>
      <c r="AL8">
        <v>4.8297408613645603E-3</v>
      </c>
      <c r="AM8" t="s">
        <v>126</v>
      </c>
      <c r="AN8" t="s">
        <v>8</v>
      </c>
      <c r="AQ8" t="s">
        <v>126</v>
      </c>
      <c r="AR8" t="s">
        <v>274</v>
      </c>
      <c r="AS8" t="s">
        <v>253</v>
      </c>
      <c r="AT8" t="s">
        <v>238</v>
      </c>
      <c r="AU8">
        <f t="shared" si="0"/>
        <v>0.34448818897637795</v>
      </c>
    </row>
    <row r="9" spans="1:49" x14ac:dyDescent="0.25">
      <c r="C9" t="s">
        <v>113</v>
      </c>
      <c r="E9" t="s">
        <v>114</v>
      </c>
      <c r="G9" t="s">
        <v>30</v>
      </c>
      <c r="I9" t="s">
        <v>254</v>
      </c>
      <c r="J9" t="s">
        <v>127</v>
      </c>
      <c r="K9">
        <v>0</v>
      </c>
      <c r="L9" t="s">
        <v>31</v>
      </c>
      <c r="N9" t="s">
        <v>264</v>
      </c>
      <c r="O9" t="s">
        <v>127</v>
      </c>
      <c r="P9">
        <v>3.989705726542914E-3</v>
      </c>
      <c r="Q9" t="s">
        <v>31</v>
      </c>
      <c r="S9" t="s">
        <v>270</v>
      </c>
      <c r="T9" t="s">
        <v>127</v>
      </c>
      <c r="U9">
        <v>3.8701318087258916E-3</v>
      </c>
      <c r="V9" t="s">
        <v>31</v>
      </c>
      <c r="X9" t="s">
        <v>6</v>
      </c>
      <c r="Y9" t="s">
        <v>127</v>
      </c>
      <c r="Z9">
        <v>4.1027867940049735E-3</v>
      </c>
      <c r="AB9" t="s">
        <v>32</v>
      </c>
      <c r="AC9" t="s">
        <v>127</v>
      </c>
      <c r="AD9">
        <v>3.5280814172634622E-2</v>
      </c>
      <c r="AF9">
        <v>2020</v>
      </c>
      <c r="AG9" t="s">
        <v>113</v>
      </c>
      <c r="AH9">
        <v>0</v>
      </c>
      <c r="AI9" t="s">
        <v>33</v>
      </c>
      <c r="AK9">
        <v>3.5388127853881279E-3</v>
      </c>
      <c r="AL9">
        <v>3.3910946473410734E-3</v>
      </c>
      <c r="AM9" t="s">
        <v>127</v>
      </c>
      <c r="AN9" t="s">
        <v>8</v>
      </c>
      <c r="AQ9" t="s">
        <v>127</v>
      </c>
      <c r="AR9" t="s">
        <v>274</v>
      </c>
      <c r="AS9" t="s">
        <v>253</v>
      </c>
      <c r="AT9" t="s">
        <v>238</v>
      </c>
      <c r="AU9">
        <f t="shared" si="0"/>
        <v>0.34448818897637795</v>
      </c>
    </row>
    <row r="10" spans="1:49" x14ac:dyDescent="0.25">
      <c r="C10" t="s">
        <v>115</v>
      </c>
      <c r="E10" t="s">
        <v>116</v>
      </c>
      <c r="G10" t="s">
        <v>30</v>
      </c>
      <c r="I10" t="s">
        <v>254</v>
      </c>
      <c r="J10" t="s">
        <v>128</v>
      </c>
      <c r="K10">
        <v>0</v>
      </c>
      <c r="L10" t="s">
        <v>31</v>
      </c>
      <c r="N10" t="s">
        <v>264</v>
      </c>
      <c r="O10" t="s">
        <v>128</v>
      </c>
      <c r="P10">
        <v>1.1854357155323816E-2</v>
      </c>
      <c r="Q10" t="s">
        <v>31</v>
      </c>
      <c r="S10" t="s">
        <v>270</v>
      </c>
      <c r="T10" t="s">
        <v>128</v>
      </c>
      <c r="U10">
        <v>1.1183050262835776E-2</v>
      </c>
      <c r="V10" t="s">
        <v>31</v>
      </c>
      <c r="X10" t="s">
        <v>6</v>
      </c>
      <c r="Y10" t="s">
        <v>128</v>
      </c>
      <c r="Z10">
        <v>1.1227685490765055E-2</v>
      </c>
      <c r="AB10" t="s">
        <v>32</v>
      </c>
      <c r="AC10" t="s">
        <v>128</v>
      </c>
      <c r="AD10">
        <v>6.6865784092132285E-2</v>
      </c>
      <c r="AF10">
        <v>2020</v>
      </c>
      <c r="AG10" t="s">
        <v>115</v>
      </c>
      <c r="AH10">
        <v>0</v>
      </c>
      <c r="AI10" t="s">
        <v>33</v>
      </c>
      <c r="AK10">
        <v>1.0616438356164383E-2</v>
      </c>
      <c r="AL10">
        <v>5.1380221929410216E-3</v>
      </c>
      <c r="AM10" t="s">
        <v>128</v>
      </c>
      <c r="AN10" t="s">
        <v>8</v>
      </c>
      <c r="AQ10" t="s">
        <v>128</v>
      </c>
      <c r="AR10" t="s">
        <v>274</v>
      </c>
      <c r="AS10" t="s">
        <v>253</v>
      </c>
      <c r="AT10" t="s">
        <v>238</v>
      </c>
      <c r="AU10">
        <f t="shared" si="0"/>
        <v>0.34448818897637795</v>
      </c>
    </row>
    <row r="11" spans="1:49" x14ac:dyDescent="0.25">
      <c r="C11" t="s">
        <v>117</v>
      </c>
      <c r="I11" t="s">
        <v>254</v>
      </c>
      <c r="J11" t="s">
        <v>129</v>
      </c>
      <c r="K11">
        <v>0</v>
      </c>
      <c r="L11" t="s">
        <v>31</v>
      </c>
      <c r="N11" t="s">
        <v>264</v>
      </c>
      <c r="O11" t="s">
        <v>129</v>
      </c>
      <c r="P11">
        <v>1.1734981519040476E-2</v>
      </c>
      <c r="Q11" t="s">
        <v>31</v>
      </c>
      <c r="S11" t="s">
        <v>270</v>
      </c>
      <c r="T11" t="s">
        <v>129</v>
      </c>
      <c r="U11">
        <v>8.4913134972629898E-3</v>
      </c>
      <c r="V11" t="s">
        <v>31</v>
      </c>
      <c r="X11" t="s">
        <v>6</v>
      </c>
      <c r="Y11" t="s">
        <v>129</v>
      </c>
      <c r="Z11">
        <v>1.6569501564808842E-2</v>
      </c>
      <c r="AB11" t="s">
        <v>32</v>
      </c>
      <c r="AC11" t="s">
        <v>129</v>
      </c>
      <c r="AD11">
        <v>0.14998067259373804</v>
      </c>
      <c r="AF11">
        <v>2020</v>
      </c>
      <c r="AG11" t="s">
        <v>117</v>
      </c>
      <c r="AH11">
        <v>0</v>
      </c>
      <c r="AI11" t="s">
        <v>33</v>
      </c>
      <c r="AK11">
        <v>1.5981735159817351E-2</v>
      </c>
      <c r="AL11">
        <v>2.4874657119889954E-3</v>
      </c>
      <c r="AM11" t="s">
        <v>129</v>
      </c>
      <c r="AN11" t="s">
        <v>8</v>
      </c>
      <c r="AQ11" t="s">
        <v>129</v>
      </c>
      <c r="AR11" t="s">
        <v>274</v>
      </c>
      <c r="AS11" t="s">
        <v>253</v>
      </c>
      <c r="AT11" t="s">
        <v>238</v>
      </c>
      <c r="AU11">
        <f t="shared" si="0"/>
        <v>0.34448818897637795</v>
      </c>
    </row>
    <row r="12" spans="1:49" x14ac:dyDescent="0.25">
      <c r="C12" t="s">
        <v>118</v>
      </c>
      <c r="I12" t="s">
        <v>254</v>
      </c>
      <c r="J12" t="s">
        <v>130</v>
      </c>
      <c r="K12">
        <v>0</v>
      </c>
      <c r="L12" t="s">
        <v>31</v>
      </c>
      <c r="N12" t="s">
        <v>264</v>
      </c>
      <c r="O12" t="s">
        <v>130</v>
      </c>
      <c r="P12">
        <v>2.5275840666760139E-3</v>
      </c>
      <c r="Q12" t="s">
        <v>31</v>
      </c>
      <c r="S12" t="s">
        <v>270</v>
      </c>
      <c r="T12" t="s">
        <v>130</v>
      </c>
      <c r="U12">
        <v>1.8087043121469367E-3</v>
      </c>
      <c r="V12" t="s">
        <v>31</v>
      </c>
      <c r="X12" t="s">
        <v>6</v>
      </c>
      <c r="Y12" t="s">
        <v>130</v>
      </c>
      <c r="Z12">
        <v>3.6635006255574106E-3</v>
      </c>
      <c r="AB12" t="s">
        <v>32</v>
      </c>
      <c r="AC12" t="s">
        <v>130</v>
      </c>
      <c r="AD12">
        <v>8.9634676311436179E-2</v>
      </c>
      <c r="AF12">
        <v>2020</v>
      </c>
      <c r="AG12" t="s">
        <v>118</v>
      </c>
      <c r="AH12">
        <v>0</v>
      </c>
      <c r="AI12" t="s">
        <v>33</v>
      </c>
      <c r="AK12">
        <v>3.1963470319634705E-3</v>
      </c>
      <c r="AL12">
        <v>1.6149963950973319E-3</v>
      </c>
      <c r="AM12" t="s">
        <v>130</v>
      </c>
      <c r="AN12" t="s">
        <v>8</v>
      </c>
      <c r="AQ12" t="s">
        <v>130</v>
      </c>
      <c r="AR12" t="s">
        <v>274</v>
      </c>
      <c r="AS12" t="s">
        <v>253</v>
      </c>
      <c r="AT12" t="s">
        <v>238</v>
      </c>
      <c r="AU12">
        <f t="shared" si="0"/>
        <v>0.34448818897637795</v>
      </c>
    </row>
    <row r="13" spans="1:49" x14ac:dyDescent="0.25">
      <c r="C13" t="s">
        <v>119</v>
      </c>
      <c r="I13" t="s">
        <v>254</v>
      </c>
      <c r="J13" t="s">
        <v>131</v>
      </c>
      <c r="K13">
        <v>2.0491651333539897E-2</v>
      </c>
      <c r="L13" t="s">
        <v>31</v>
      </c>
      <c r="N13" t="s">
        <v>264</v>
      </c>
      <c r="O13" t="s">
        <v>131</v>
      </c>
      <c r="P13">
        <v>2.3578225813490328E-2</v>
      </c>
      <c r="Q13" t="s">
        <v>31</v>
      </c>
      <c r="S13" t="s">
        <v>270</v>
      </c>
      <c r="T13" t="s">
        <v>131</v>
      </c>
      <c r="U13">
        <v>1.7919951752566547E-2</v>
      </c>
      <c r="V13" t="s">
        <v>31</v>
      </c>
      <c r="X13" t="s">
        <v>6</v>
      </c>
      <c r="Y13" t="s">
        <v>131</v>
      </c>
      <c r="Z13">
        <v>3.2669743630736992E-2</v>
      </c>
      <c r="AB13" t="s">
        <v>32</v>
      </c>
      <c r="AC13" t="s">
        <v>131</v>
      </c>
      <c r="AD13">
        <v>6.4758672392322358E-2</v>
      </c>
      <c r="AF13">
        <v>2020</v>
      </c>
      <c r="AG13" t="s">
        <v>119</v>
      </c>
      <c r="AH13">
        <v>0</v>
      </c>
      <c r="AI13" t="s">
        <v>33</v>
      </c>
      <c r="AK13">
        <v>2.8767123287671233E-2</v>
      </c>
      <c r="AL13">
        <v>3.8453621062576146E-2</v>
      </c>
      <c r="AM13" t="s">
        <v>131</v>
      </c>
      <c r="AN13" t="s">
        <v>8</v>
      </c>
      <c r="AQ13" t="s">
        <v>131</v>
      </c>
      <c r="AR13" t="s">
        <v>274</v>
      </c>
      <c r="AS13" t="s">
        <v>253</v>
      </c>
      <c r="AT13" t="s">
        <v>238</v>
      </c>
      <c r="AU13">
        <f t="shared" si="0"/>
        <v>0.34448818897637795</v>
      </c>
    </row>
    <row r="14" spans="1:49" x14ac:dyDescent="0.25">
      <c r="C14" t="s">
        <v>120</v>
      </c>
      <c r="I14" t="s">
        <v>254</v>
      </c>
      <c r="J14" t="s">
        <v>132</v>
      </c>
      <c r="K14">
        <v>3.4699017702487403E-3</v>
      </c>
      <c r="L14" t="s">
        <v>31</v>
      </c>
      <c r="N14" t="s">
        <v>264</v>
      </c>
      <c r="O14" t="s">
        <v>132</v>
      </c>
      <c r="P14">
        <v>2.5927391848114757E-3</v>
      </c>
      <c r="Q14" t="s">
        <v>31</v>
      </c>
      <c r="S14" t="s">
        <v>270</v>
      </c>
      <c r="T14" t="s">
        <v>132</v>
      </c>
      <c r="U14">
        <v>2.1792842279696623E-3</v>
      </c>
      <c r="V14" t="s">
        <v>31</v>
      </c>
      <c r="X14" t="s">
        <v>6</v>
      </c>
      <c r="Y14" t="s">
        <v>132</v>
      </c>
      <c r="Z14">
        <v>3.6733585493088348E-3</v>
      </c>
      <c r="AB14" t="s">
        <v>32</v>
      </c>
      <c r="AC14" t="s">
        <v>132</v>
      </c>
      <c r="AD14">
        <v>1.5361369932006985E-2</v>
      </c>
      <c r="AF14">
        <v>2020</v>
      </c>
      <c r="AG14" t="s">
        <v>120</v>
      </c>
      <c r="AH14">
        <v>0</v>
      </c>
      <c r="AI14" t="s">
        <v>33</v>
      </c>
      <c r="AK14">
        <v>3.1963470319634705E-3</v>
      </c>
      <c r="AL14">
        <v>4.8264260083368555E-3</v>
      </c>
      <c r="AM14" t="s">
        <v>132</v>
      </c>
      <c r="AN14" t="s">
        <v>8</v>
      </c>
      <c r="AQ14" t="s">
        <v>132</v>
      </c>
      <c r="AR14" t="s">
        <v>274</v>
      </c>
      <c r="AS14" t="s">
        <v>253</v>
      </c>
      <c r="AT14" t="s">
        <v>238</v>
      </c>
      <c r="AU14">
        <f t="shared" si="0"/>
        <v>0.34448818897637795</v>
      </c>
    </row>
    <row r="15" spans="1:49" x14ac:dyDescent="0.25">
      <c r="I15" t="s">
        <v>254</v>
      </c>
      <c r="J15" t="s">
        <v>133</v>
      </c>
      <c r="K15">
        <v>3.6213769630866659E-3</v>
      </c>
      <c r="L15" t="s">
        <v>31</v>
      </c>
      <c r="N15" t="s">
        <v>264</v>
      </c>
      <c r="O15" t="s">
        <v>133</v>
      </c>
      <c r="P15">
        <v>7.7781360949354464E-3</v>
      </c>
      <c r="Q15" t="s">
        <v>31</v>
      </c>
      <c r="S15" t="s">
        <v>270</v>
      </c>
      <c r="T15" t="s">
        <v>133</v>
      </c>
      <c r="U15">
        <v>6.9884940291298023E-3</v>
      </c>
      <c r="V15" t="s">
        <v>31</v>
      </c>
      <c r="X15" t="s">
        <v>6</v>
      </c>
      <c r="Y15" t="s">
        <v>133</v>
      </c>
      <c r="Z15">
        <v>1.10207602259648E-2</v>
      </c>
      <c r="AB15" t="s">
        <v>32</v>
      </c>
      <c r="AC15" t="s">
        <v>133</v>
      </c>
      <c r="AD15">
        <v>3.4116132883176942E-2</v>
      </c>
      <c r="AF15">
        <v>2021</v>
      </c>
      <c r="AG15" t="s">
        <v>100</v>
      </c>
      <c r="AH15">
        <v>0</v>
      </c>
      <c r="AI15" t="s">
        <v>33</v>
      </c>
      <c r="AK15">
        <v>9.5890410958904115E-3</v>
      </c>
      <c r="AL15">
        <v>1.7263754568281831E-2</v>
      </c>
      <c r="AM15" t="s">
        <v>133</v>
      </c>
      <c r="AN15" t="s">
        <v>8</v>
      </c>
      <c r="AQ15" t="s">
        <v>133</v>
      </c>
      <c r="AR15" t="s">
        <v>274</v>
      </c>
      <c r="AS15" t="s">
        <v>253</v>
      </c>
      <c r="AT15" t="s">
        <v>238</v>
      </c>
      <c r="AU15">
        <f t="shared" si="0"/>
        <v>0.34448818897637795</v>
      </c>
    </row>
    <row r="16" spans="1:49" x14ac:dyDescent="0.25">
      <c r="I16" t="s">
        <v>254</v>
      </c>
      <c r="J16" t="s">
        <v>134</v>
      </c>
      <c r="K16">
        <v>0</v>
      </c>
      <c r="L16" t="s">
        <v>31</v>
      </c>
      <c r="N16" t="s">
        <v>264</v>
      </c>
      <c r="O16" t="s">
        <v>134</v>
      </c>
      <c r="P16">
        <v>2.6011653609513755E-3</v>
      </c>
      <c r="Q16" t="s">
        <v>31</v>
      </c>
      <c r="S16" t="s">
        <v>270</v>
      </c>
      <c r="T16" t="s">
        <v>134</v>
      </c>
      <c r="U16">
        <v>2.3352065435051327E-3</v>
      </c>
      <c r="V16" t="s">
        <v>31</v>
      </c>
      <c r="X16" t="s">
        <v>6</v>
      </c>
      <c r="Y16" t="s">
        <v>134</v>
      </c>
      <c r="Z16">
        <v>3.6725370556628832E-3</v>
      </c>
      <c r="AB16" t="s">
        <v>32</v>
      </c>
      <c r="AC16" t="s">
        <v>134</v>
      </c>
      <c r="AD16">
        <v>3.1203649287773194E-2</v>
      </c>
      <c r="AF16">
        <v>2021</v>
      </c>
      <c r="AG16" t="s">
        <v>103</v>
      </c>
      <c r="AH16">
        <v>0</v>
      </c>
      <c r="AI16" t="s">
        <v>33</v>
      </c>
      <c r="AK16">
        <v>3.1963470319634705E-3</v>
      </c>
      <c r="AL16">
        <v>4.3623465844583121E-3</v>
      </c>
      <c r="AM16" t="s">
        <v>134</v>
      </c>
      <c r="AN16" t="s">
        <v>8</v>
      </c>
      <c r="AQ16" t="s">
        <v>134</v>
      </c>
      <c r="AR16" t="s">
        <v>274</v>
      </c>
      <c r="AS16" t="s">
        <v>253</v>
      </c>
      <c r="AT16" t="s">
        <v>238</v>
      </c>
      <c r="AU16">
        <f t="shared" si="0"/>
        <v>0.34448818897637795</v>
      </c>
    </row>
    <row r="17" spans="9:50" x14ac:dyDescent="0.25">
      <c r="I17" t="s">
        <v>254</v>
      </c>
      <c r="J17" t="s">
        <v>135</v>
      </c>
      <c r="K17">
        <v>0</v>
      </c>
      <c r="L17" t="s">
        <v>31</v>
      </c>
      <c r="N17" t="s">
        <v>264</v>
      </c>
      <c r="O17" t="s">
        <v>135</v>
      </c>
      <c r="P17">
        <v>2.5392959019223233E-3</v>
      </c>
      <c r="Q17" t="s">
        <v>31</v>
      </c>
      <c r="S17" t="s">
        <v>270</v>
      </c>
      <c r="T17" t="s">
        <v>135</v>
      </c>
      <c r="U17">
        <v>2.1585674650094816E-3</v>
      </c>
      <c r="V17" t="s">
        <v>31</v>
      </c>
      <c r="X17" t="s">
        <v>6</v>
      </c>
      <c r="Y17" t="s">
        <v>135</v>
      </c>
      <c r="Z17">
        <v>3.4805813737254308E-3</v>
      </c>
      <c r="AB17" t="s">
        <v>32</v>
      </c>
      <c r="AC17" t="s">
        <v>135</v>
      </c>
      <c r="AD17">
        <v>3.253619178002376E-2</v>
      </c>
      <c r="AF17">
        <v>2021</v>
      </c>
      <c r="AG17" t="s">
        <v>105</v>
      </c>
      <c r="AH17">
        <v>0</v>
      </c>
      <c r="AI17" t="s">
        <v>33</v>
      </c>
      <c r="AK17">
        <v>3.1963470319634705E-3</v>
      </c>
      <c r="AL17">
        <v>3.0629241975983893E-3</v>
      </c>
      <c r="AM17" t="s">
        <v>135</v>
      </c>
      <c r="AN17" t="s">
        <v>8</v>
      </c>
      <c r="AQ17" t="s">
        <v>135</v>
      </c>
      <c r="AR17" t="s">
        <v>274</v>
      </c>
      <c r="AS17" t="s">
        <v>253</v>
      </c>
      <c r="AT17" t="s">
        <v>238</v>
      </c>
      <c r="AU17">
        <f t="shared" si="0"/>
        <v>0.34448818897637795</v>
      </c>
    </row>
    <row r="18" spans="9:50" x14ac:dyDescent="0.25">
      <c r="I18" t="s">
        <v>254</v>
      </c>
      <c r="J18" t="s">
        <v>136</v>
      </c>
      <c r="K18">
        <v>0</v>
      </c>
      <c r="L18" t="s">
        <v>31</v>
      </c>
      <c r="N18" t="s">
        <v>264</v>
      </c>
      <c r="O18" t="s">
        <v>136</v>
      </c>
      <c r="P18">
        <v>6.89082281083871E-3</v>
      </c>
      <c r="Q18" t="s">
        <v>31</v>
      </c>
      <c r="S18" t="s">
        <v>270</v>
      </c>
      <c r="T18" t="s">
        <v>136</v>
      </c>
      <c r="U18">
        <v>6.1660375662141616E-3</v>
      </c>
      <c r="V18" t="s">
        <v>31</v>
      </c>
      <c r="X18" t="s">
        <v>6</v>
      </c>
      <c r="Y18" t="s">
        <v>136</v>
      </c>
      <c r="Z18">
        <v>9.9024335426087986E-3</v>
      </c>
      <c r="AB18" t="s">
        <v>32</v>
      </c>
      <c r="AC18" t="s">
        <v>136</v>
      </c>
      <c r="AD18">
        <v>3.7131261736022658E-2</v>
      </c>
      <c r="AF18">
        <v>2021</v>
      </c>
      <c r="AG18" t="s">
        <v>107</v>
      </c>
      <c r="AH18">
        <v>0</v>
      </c>
      <c r="AI18" t="s">
        <v>33</v>
      </c>
      <c r="AK18">
        <v>9.5890410958904115E-3</v>
      </c>
      <c r="AL18">
        <v>4.6407942387854386E-3</v>
      </c>
      <c r="AM18" t="s">
        <v>136</v>
      </c>
      <c r="AN18" t="s">
        <v>8</v>
      </c>
      <c r="AQ18" t="s">
        <v>136</v>
      </c>
      <c r="AR18" t="s">
        <v>274</v>
      </c>
      <c r="AS18" t="s">
        <v>253</v>
      </c>
      <c r="AT18" t="s">
        <v>238</v>
      </c>
      <c r="AU18">
        <f t="shared" si="0"/>
        <v>0.34448818897637795</v>
      </c>
    </row>
    <row r="19" spans="9:50" x14ac:dyDescent="0.25">
      <c r="I19" t="s">
        <v>254</v>
      </c>
      <c r="J19" t="s">
        <v>137</v>
      </c>
      <c r="K19">
        <v>0</v>
      </c>
      <c r="L19" t="s">
        <v>31</v>
      </c>
      <c r="N19" t="s">
        <v>264</v>
      </c>
      <c r="O19" t="s">
        <v>137</v>
      </c>
      <c r="P19">
        <v>1.5186608789952233E-2</v>
      </c>
      <c r="Q19" t="s">
        <v>31</v>
      </c>
      <c r="S19" t="s">
        <v>270</v>
      </c>
      <c r="T19" t="s">
        <v>137</v>
      </c>
      <c r="U19">
        <v>1.7572696246772344E-2</v>
      </c>
      <c r="V19" t="s">
        <v>31</v>
      </c>
      <c r="X19" t="s">
        <v>6</v>
      </c>
      <c r="Y19" t="s">
        <v>137</v>
      </c>
      <c r="Z19">
        <v>1.989855025272743E-2</v>
      </c>
      <c r="AB19" t="s">
        <v>32</v>
      </c>
      <c r="AC19" t="s">
        <v>137</v>
      </c>
      <c r="AD19">
        <v>0.12607997199023768</v>
      </c>
      <c r="AF19">
        <v>2021</v>
      </c>
      <c r="AG19" t="s">
        <v>109</v>
      </c>
      <c r="AH19">
        <v>0</v>
      </c>
      <c r="AI19" t="s">
        <v>33</v>
      </c>
      <c r="AK19">
        <v>1.7694063926940638E-2</v>
      </c>
      <c r="AL19">
        <v>2.7539798954163875E-3</v>
      </c>
      <c r="AM19" t="s">
        <v>137</v>
      </c>
      <c r="AN19" t="s">
        <v>8</v>
      </c>
      <c r="AQ19" t="s">
        <v>137</v>
      </c>
      <c r="AR19" t="s">
        <v>274</v>
      </c>
      <c r="AS19" t="s">
        <v>253</v>
      </c>
      <c r="AT19" t="s">
        <v>238</v>
      </c>
      <c r="AU19">
        <f t="shared" si="0"/>
        <v>0.34448818897637795</v>
      </c>
    </row>
    <row r="20" spans="9:50" x14ac:dyDescent="0.25">
      <c r="I20" t="s">
        <v>254</v>
      </c>
      <c r="J20" t="s">
        <v>138</v>
      </c>
      <c r="K20">
        <v>0</v>
      </c>
      <c r="L20" t="s">
        <v>31</v>
      </c>
      <c r="N20" t="s">
        <v>264</v>
      </c>
      <c r="O20" t="s">
        <v>138</v>
      </c>
      <c r="P20">
        <v>2.9376540208549437E-3</v>
      </c>
      <c r="Q20" t="s">
        <v>31</v>
      </c>
      <c r="S20" t="s">
        <v>270</v>
      </c>
      <c r="T20" t="s">
        <v>138</v>
      </c>
      <c r="U20">
        <v>3.2292430263027101E-3</v>
      </c>
      <c r="V20" t="s">
        <v>31</v>
      </c>
      <c r="X20" t="s">
        <v>6</v>
      </c>
      <c r="Y20" t="s">
        <v>138</v>
      </c>
      <c r="Z20">
        <v>4.4755362321205862E-3</v>
      </c>
      <c r="AB20" t="s">
        <v>32</v>
      </c>
      <c r="AC20" t="s">
        <v>138</v>
      </c>
      <c r="AD20">
        <v>6.9468974449546694E-2</v>
      </c>
      <c r="AF20">
        <v>2021</v>
      </c>
      <c r="AG20" t="s">
        <v>111</v>
      </c>
      <c r="AH20">
        <v>0</v>
      </c>
      <c r="AI20" t="s">
        <v>33</v>
      </c>
      <c r="AK20">
        <v>3.5388127853881279E-3</v>
      </c>
      <c r="AL20">
        <v>1.7880317231434744E-3</v>
      </c>
      <c r="AM20" t="s">
        <v>138</v>
      </c>
      <c r="AN20" t="s">
        <v>8</v>
      </c>
      <c r="AQ20" t="s">
        <v>138</v>
      </c>
      <c r="AR20" t="s">
        <v>274</v>
      </c>
      <c r="AS20" t="s">
        <v>253</v>
      </c>
      <c r="AT20" t="s">
        <v>238</v>
      </c>
      <c r="AU20">
        <f t="shared" si="0"/>
        <v>0.34448818897637795</v>
      </c>
    </row>
    <row r="21" spans="9:50" x14ac:dyDescent="0.25">
      <c r="I21" t="s">
        <v>254</v>
      </c>
      <c r="J21" t="s">
        <v>139</v>
      </c>
      <c r="K21">
        <v>7.8267129520329284E-2</v>
      </c>
      <c r="L21" t="s">
        <v>31</v>
      </c>
      <c r="N21" t="s">
        <v>264</v>
      </c>
      <c r="O21" t="s">
        <v>139</v>
      </c>
      <c r="P21">
        <v>2.8118785075248776E-2</v>
      </c>
      <c r="Q21" t="s">
        <v>31</v>
      </c>
      <c r="S21" t="s">
        <v>270</v>
      </c>
      <c r="T21" t="s">
        <v>139</v>
      </c>
      <c r="U21">
        <v>2.6520504376900129E-2</v>
      </c>
      <c r="V21" t="s">
        <v>31</v>
      </c>
      <c r="X21" t="s">
        <v>6</v>
      </c>
      <c r="Y21" t="s">
        <v>139</v>
      </c>
      <c r="Z21">
        <v>4.0617049230748568E-2</v>
      </c>
      <c r="AB21" t="s">
        <v>32</v>
      </c>
      <c r="AC21" t="s">
        <v>139</v>
      </c>
      <c r="AD21">
        <v>8.3655705996131369E-2</v>
      </c>
      <c r="AF21">
        <v>2021</v>
      </c>
      <c r="AG21" t="s">
        <v>113</v>
      </c>
      <c r="AH21">
        <v>0</v>
      </c>
      <c r="AI21" t="s">
        <v>33</v>
      </c>
      <c r="AK21">
        <v>3.1849315068493152E-2</v>
      </c>
      <c r="AL21">
        <v>4.2573651890709309E-2</v>
      </c>
      <c r="AM21" t="s">
        <v>139</v>
      </c>
      <c r="AN21" t="s">
        <v>8</v>
      </c>
      <c r="AQ21" t="s">
        <v>139</v>
      </c>
      <c r="AR21" t="s">
        <v>274</v>
      </c>
      <c r="AS21" t="s">
        <v>253</v>
      </c>
      <c r="AT21" t="s">
        <v>238</v>
      </c>
      <c r="AU21">
        <f t="shared" si="0"/>
        <v>0.34448818897637795</v>
      </c>
    </row>
    <row r="22" spans="9:50" x14ac:dyDescent="0.25">
      <c r="I22" t="s">
        <v>254</v>
      </c>
      <c r="J22" t="s">
        <v>140</v>
      </c>
      <c r="K22">
        <v>1.2311100614487243E-2</v>
      </c>
      <c r="L22" t="s">
        <v>31</v>
      </c>
      <c r="N22" t="s">
        <v>264</v>
      </c>
      <c r="O22" t="s">
        <v>140</v>
      </c>
      <c r="P22">
        <v>3.5565485870374929E-3</v>
      </c>
      <c r="Q22" t="s">
        <v>31</v>
      </c>
      <c r="S22" t="s">
        <v>270</v>
      </c>
      <c r="T22" t="s">
        <v>140</v>
      </c>
      <c r="U22">
        <v>3.2810454018041479E-3</v>
      </c>
      <c r="V22" t="s">
        <v>31</v>
      </c>
      <c r="X22" t="s">
        <v>6</v>
      </c>
      <c r="Y22" t="s">
        <v>140</v>
      </c>
      <c r="Z22">
        <v>4.7067866934560757E-3</v>
      </c>
      <c r="AB22" t="s">
        <v>32</v>
      </c>
      <c r="AC22" t="s">
        <v>140</v>
      </c>
      <c r="AD22">
        <v>4.1196720568917877E-2</v>
      </c>
      <c r="AF22">
        <v>2021</v>
      </c>
      <c r="AG22" t="s">
        <v>115</v>
      </c>
      <c r="AH22">
        <v>0</v>
      </c>
      <c r="AI22" t="s">
        <v>33</v>
      </c>
      <c r="AK22">
        <v>3.5388127853881279E-3</v>
      </c>
      <c r="AL22">
        <v>5.3435430806586613E-3</v>
      </c>
      <c r="AM22" t="s">
        <v>140</v>
      </c>
      <c r="AN22" t="s">
        <v>8</v>
      </c>
      <c r="AQ22" t="s">
        <v>140</v>
      </c>
      <c r="AR22" t="s">
        <v>274</v>
      </c>
      <c r="AS22" t="s">
        <v>253</v>
      </c>
      <c r="AT22" t="s">
        <v>238</v>
      </c>
      <c r="AU22">
        <f t="shared" si="0"/>
        <v>0.34448818897637795</v>
      </c>
    </row>
    <row r="23" spans="9:50" x14ac:dyDescent="0.25">
      <c r="I23" t="s">
        <v>254</v>
      </c>
      <c r="J23" t="s">
        <v>141</v>
      </c>
      <c r="K23">
        <v>2.3495211201224182E-2</v>
      </c>
      <c r="L23" t="s">
        <v>31</v>
      </c>
      <c r="N23" t="s">
        <v>264</v>
      </c>
      <c r="O23" t="s">
        <v>141</v>
      </c>
      <c r="P23">
        <v>1.1349097589523342E-2</v>
      </c>
      <c r="Q23" t="s">
        <v>31</v>
      </c>
      <c r="S23" t="s">
        <v>270</v>
      </c>
      <c r="T23" t="s">
        <v>141</v>
      </c>
      <c r="U23">
        <v>1.1256697212436235E-2</v>
      </c>
      <c r="V23" t="s">
        <v>31</v>
      </c>
      <c r="X23" t="s">
        <v>6</v>
      </c>
      <c r="Y23" t="s">
        <v>141</v>
      </c>
      <c r="Z23">
        <v>1.4151576838914404E-2</v>
      </c>
      <c r="AB23" t="s">
        <v>32</v>
      </c>
      <c r="AC23" t="s">
        <v>141</v>
      </c>
      <c r="AD23">
        <v>5.3425276961338364E-2</v>
      </c>
      <c r="AF23">
        <v>2021</v>
      </c>
      <c r="AG23" t="s">
        <v>117</v>
      </c>
      <c r="AH23">
        <v>0</v>
      </c>
      <c r="AI23" t="s">
        <v>33</v>
      </c>
      <c r="AK23">
        <v>1.0616438356164383E-2</v>
      </c>
      <c r="AL23">
        <v>1.9113442557740598E-2</v>
      </c>
      <c r="AM23" t="s">
        <v>141</v>
      </c>
      <c r="AN23" t="s">
        <v>8</v>
      </c>
      <c r="AQ23" t="s">
        <v>141</v>
      </c>
      <c r="AR23" t="s">
        <v>274</v>
      </c>
      <c r="AS23" t="s">
        <v>253</v>
      </c>
      <c r="AT23" t="s">
        <v>238</v>
      </c>
      <c r="AU23">
        <f t="shared" si="0"/>
        <v>0.34448818897637795</v>
      </c>
    </row>
    <row r="24" spans="9:50" x14ac:dyDescent="0.25">
      <c r="I24" t="s">
        <v>254</v>
      </c>
      <c r="J24" t="s">
        <v>142</v>
      </c>
      <c r="K24">
        <v>3.2923404097034135E-4</v>
      </c>
      <c r="L24" t="s">
        <v>31</v>
      </c>
      <c r="N24" t="s">
        <v>264</v>
      </c>
      <c r="O24" t="s">
        <v>142</v>
      </c>
      <c r="P24">
        <v>3.9255777378949756E-3</v>
      </c>
      <c r="Q24" t="s">
        <v>31</v>
      </c>
      <c r="S24" t="s">
        <v>270</v>
      </c>
      <c r="T24" t="s">
        <v>142</v>
      </c>
      <c r="U24">
        <v>4.1535234187099887E-3</v>
      </c>
      <c r="V24" t="s">
        <v>31</v>
      </c>
      <c r="X24" t="s">
        <v>6</v>
      </c>
      <c r="Y24" t="s">
        <v>142</v>
      </c>
      <c r="Z24">
        <v>4.4701965234218979E-3</v>
      </c>
      <c r="AB24" t="s">
        <v>32</v>
      </c>
      <c r="AC24" t="s">
        <v>142</v>
      </c>
      <c r="AD24">
        <v>4.1224720690142824E-2</v>
      </c>
      <c r="AF24">
        <v>2021</v>
      </c>
      <c r="AG24" t="s">
        <v>118</v>
      </c>
      <c r="AH24">
        <v>0</v>
      </c>
      <c r="AI24" t="s">
        <v>33</v>
      </c>
      <c r="AK24">
        <v>3.5388127853881279E-3</v>
      </c>
      <c r="AL24">
        <v>4.8297408613645603E-3</v>
      </c>
      <c r="AM24" t="s">
        <v>142</v>
      </c>
      <c r="AN24" t="s">
        <v>8</v>
      </c>
      <c r="AQ24" t="s">
        <v>142</v>
      </c>
      <c r="AR24" t="s">
        <v>274</v>
      </c>
      <c r="AS24" t="s">
        <v>253</v>
      </c>
      <c r="AT24" t="s">
        <v>238</v>
      </c>
      <c r="AU24">
        <f t="shared" si="0"/>
        <v>0.34448818897637795</v>
      </c>
    </row>
    <row r="25" spans="9:50" x14ac:dyDescent="0.25">
      <c r="I25" t="s">
        <v>254</v>
      </c>
      <c r="J25" t="s">
        <v>143</v>
      </c>
      <c r="K25">
        <v>0</v>
      </c>
      <c r="L25" t="s">
        <v>31</v>
      </c>
      <c r="N25" t="s">
        <v>264</v>
      </c>
      <c r="O25" t="s">
        <v>143</v>
      </c>
      <c r="P25">
        <v>3.771067765970981E-3</v>
      </c>
      <c r="Q25" t="s">
        <v>31</v>
      </c>
      <c r="S25" t="s">
        <v>270</v>
      </c>
      <c r="T25" t="s">
        <v>143</v>
      </c>
      <c r="U25">
        <v>4.1907995853849673E-3</v>
      </c>
      <c r="V25" t="s">
        <v>31</v>
      </c>
      <c r="X25" t="s">
        <v>6</v>
      </c>
      <c r="Y25" t="s">
        <v>143</v>
      </c>
      <c r="Z25">
        <v>4.2570189222973518E-3</v>
      </c>
      <c r="AB25" t="s">
        <v>32</v>
      </c>
      <c r="AC25" t="s">
        <v>143</v>
      </c>
      <c r="AD25">
        <v>3.5381340380239434E-2</v>
      </c>
      <c r="AF25">
        <v>2021</v>
      </c>
      <c r="AG25" t="s">
        <v>119</v>
      </c>
      <c r="AH25">
        <v>0</v>
      </c>
      <c r="AI25" t="s">
        <v>33</v>
      </c>
      <c r="AK25">
        <v>3.5388127853881279E-3</v>
      </c>
      <c r="AL25">
        <v>3.3910946473410734E-3</v>
      </c>
      <c r="AM25" t="s">
        <v>143</v>
      </c>
      <c r="AN25" t="s">
        <v>8</v>
      </c>
      <c r="AQ25" t="s">
        <v>143</v>
      </c>
      <c r="AR25" t="s">
        <v>274</v>
      </c>
      <c r="AS25" t="s">
        <v>253</v>
      </c>
      <c r="AT25" t="s">
        <v>238</v>
      </c>
      <c r="AU25">
        <v>0.79</v>
      </c>
      <c r="AX25" s="2">
        <f ca="1">RANDBETWEEN(70,95)/100</f>
        <v>0.73</v>
      </c>
    </row>
    <row r="26" spans="9:50" x14ac:dyDescent="0.25">
      <c r="I26" t="s">
        <v>254</v>
      </c>
      <c r="J26" t="s">
        <v>144</v>
      </c>
      <c r="K26">
        <v>0</v>
      </c>
      <c r="L26" t="s">
        <v>31</v>
      </c>
      <c r="N26" t="s">
        <v>264</v>
      </c>
      <c r="O26" t="s">
        <v>144</v>
      </c>
      <c r="P26">
        <v>1.0087584810998201E-2</v>
      </c>
      <c r="Q26" t="s">
        <v>31</v>
      </c>
      <c r="S26" t="s">
        <v>270</v>
      </c>
      <c r="T26" t="s">
        <v>144</v>
      </c>
      <c r="U26">
        <v>1.1569259946489371E-2</v>
      </c>
      <c r="V26" t="s">
        <v>31</v>
      </c>
      <c r="X26" t="s">
        <v>6</v>
      </c>
      <c r="Y26" t="s">
        <v>144</v>
      </c>
      <c r="Z26">
        <v>1.1790330269233018E-2</v>
      </c>
      <c r="AB26" t="s">
        <v>32</v>
      </c>
      <c r="AC26" t="s">
        <v>144</v>
      </c>
      <c r="AD26">
        <v>4.6455424274973289E-2</v>
      </c>
      <c r="AF26">
        <v>2021</v>
      </c>
      <c r="AG26" t="s">
        <v>120</v>
      </c>
      <c r="AH26">
        <v>0</v>
      </c>
      <c r="AI26" t="s">
        <v>33</v>
      </c>
      <c r="AK26">
        <v>1.0616438356164383E-2</v>
      </c>
      <c r="AL26">
        <v>5.1380221929410216E-3</v>
      </c>
      <c r="AM26" t="s">
        <v>144</v>
      </c>
      <c r="AN26" t="s">
        <v>8</v>
      </c>
      <c r="AQ26" t="s">
        <v>144</v>
      </c>
      <c r="AR26" t="s">
        <v>274</v>
      </c>
      <c r="AS26" t="s">
        <v>253</v>
      </c>
      <c r="AT26" t="s">
        <v>238</v>
      </c>
      <c r="AU26">
        <v>0.85</v>
      </c>
      <c r="AX26" s="2">
        <f t="shared" ref="AX26:AX89" ca="1" si="1">RANDBETWEEN(70,95)/100</f>
        <v>0.83</v>
      </c>
    </row>
    <row r="27" spans="9:50" x14ac:dyDescent="0.25">
      <c r="I27" t="s">
        <v>254</v>
      </c>
      <c r="J27" t="s">
        <v>145</v>
      </c>
      <c r="K27">
        <v>0</v>
      </c>
      <c r="L27" t="s">
        <v>31</v>
      </c>
      <c r="N27" t="s">
        <v>264</v>
      </c>
      <c r="O27" t="s">
        <v>145</v>
      </c>
      <c r="P27">
        <v>1.9017423251175138E-2</v>
      </c>
      <c r="Q27" t="s">
        <v>31</v>
      </c>
      <c r="S27" t="s">
        <v>270</v>
      </c>
      <c r="T27" t="s">
        <v>145</v>
      </c>
      <c r="U27">
        <v>1.8578426677455257E-2</v>
      </c>
      <c r="V27" t="s">
        <v>31</v>
      </c>
      <c r="X27" t="s">
        <v>6</v>
      </c>
      <c r="Y27" t="s">
        <v>145</v>
      </c>
      <c r="Z27">
        <v>1.7030278920719268E-2</v>
      </c>
      <c r="AB27" t="s">
        <v>32</v>
      </c>
      <c r="AC27" t="s">
        <v>145</v>
      </c>
      <c r="AD27">
        <v>0.1553262251217431</v>
      </c>
      <c r="AF27">
        <v>2022</v>
      </c>
      <c r="AG27" t="s">
        <v>100</v>
      </c>
      <c r="AH27">
        <v>0</v>
      </c>
      <c r="AI27" t="s">
        <v>33</v>
      </c>
      <c r="AK27">
        <v>1.7123287671232876E-2</v>
      </c>
      <c r="AL27">
        <v>2.6651418342739236E-3</v>
      </c>
      <c r="AM27" t="s">
        <v>145</v>
      </c>
      <c r="AN27" t="s">
        <v>8</v>
      </c>
      <c r="AQ27" t="s">
        <v>145</v>
      </c>
      <c r="AR27" t="s">
        <v>274</v>
      </c>
      <c r="AS27" t="s">
        <v>253</v>
      </c>
      <c r="AT27" t="s">
        <v>238</v>
      </c>
      <c r="AU27">
        <v>0.72</v>
      </c>
      <c r="AX27" s="2">
        <f t="shared" ca="1" si="1"/>
        <v>0.8</v>
      </c>
    </row>
    <row r="28" spans="9:50" x14ac:dyDescent="0.25">
      <c r="I28" t="s">
        <v>254</v>
      </c>
      <c r="J28" t="s">
        <v>146</v>
      </c>
      <c r="K28">
        <v>1.5979949420121474E-6</v>
      </c>
      <c r="L28" t="s">
        <v>31</v>
      </c>
      <c r="N28" t="s">
        <v>264</v>
      </c>
      <c r="O28" t="s">
        <v>146</v>
      </c>
      <c r="P28">
        <v>4.0551282629395016E-3</v>
      </c>
      <c r="Q28" t="s">
        <v>31</v>
      </c>
      <c r="S28" t="s">
        <v>270</v>
      </c>
      <c r="T28" t="s">
        <v>146</v>
      </c>
      <c r="U28">
        <v>3.8380421401229799E-3</v>
      </c>
      <c r="V28" t="s">
        <v>31</v>
      </c>
      <c r="X28" t="s">
        <v>6</v>
      </c>
      <c r="Y28" t="s">
        <v>146</v>
      </c>
      <c r="Z28">
        <v>3.8023169358295701E-3</v>
      </c>
      <c r="AB28" t="s">
        <v>32</v>
      </c>
      <c r="AC28" t="s">
        <v>146</v>
      </c>
      <c r="AD28">
        <v>3.3679588777040026E-2</v>
      </c>
      <c r="AF28">
        <v>2022</v>
      </c>
      <c r="AG28" t="s">
        <v>103</v>
      </c>
      <c r="AH28">
        <v>0</v>
      </c>
      <c r="AI28" t="s">
        <v>33</v>
      </c>
      <c r="AK28">
        <v>3.4246575342465752E-3</v>
      </c>
      <c r="AL28">
        <v>1.7303532804614269E-3</v>
      </c>
      <c r="AM28" t="s">
        <v>146</v>
      </c>
      <c r="AN28" t="s">
        <v>8</v>
      </c>
      <c r="AQ28" t="s">
        <v>146</v>
      </c>
      <c r="AR28" t="s">
        <v>274</v>
      </c>
      <c r="AS28" t="s">
        <v>253</v>
      </c>
      <c r="AT28" t="s">
        <v>238</v>
      </c>
      <c r="AU28">
        <v>0.79</v>
      </c>
      <c r="AX28" s="2">
        <f t="shared" ca="1" si="1"/>
        <v>0.91</v>
      </c>
    </row>
    <row r="29" spans="9:50" x14ac:dyDescent="0.25">
      <c r="I29" t="s">
        <v>254</v>
      </c>
      <c r="J29" t="s">
        <v>147</v>
      </c>
      <c r="K29">
        <v>8.4198439208002893E-2</v>
      </c>
      <c r="L29" t="s">
        <v>31</v>
      </c>
      <c r="N29" t="s">
        <v>264</v>
      </c>
      <c r="O29" t="s">
        <v>147</v>
      </c>
      <c r="P29">
        <v>3.6486310903012048E-2</v>
      </c>
      <c r="Q29" t="s">
        <v>31</v>
      </c>
      <c r="S29" t="s">
        <v>270</v>
      </c>
      <c r="T29" t="s">
        <v>147</v>
      </c>
      <c r="U29">
        <v>3.4683956787480243E-2</v>
      </c>
      <c r="V29" t="s">
        <v>31</v>
      </c>
      <c r="X29" t="s">
        <v>6</v>
      </c>
      <c r="Y29" t="s">
        <v>147</v>
      </c>
      <c r="Z29">
        <v>3.4216881869844028E-2</v>
      </c>
      <c r="AB29" t="s">
        <v>32</v>
      </c>
      <c r="AC29" t="s">
        <v>147</v>
      </c>
      <c r="AD29">
        <v>2.0113702962167412E-2</v>
      </c>
      <c r="AF29">
        <v>2022</v>
      </c>
      <c r="AG29" t="s">
        <v>105</v>
      </c>
      <c r="AH29">
        <v>0</v>
      </c>
      <c r="AI29" t="s">
        <v>33</v>
      </c>
      <c r="AK29">
        <v>3.0821917808219176E-2</v>
      </c>
      <c r="AL29">
        <v>4.1200308281331581E-2</v>
      </c>
      <c r="AM29" t="s">
        <v>147</v>
      </c>
      <c r="AN29" t="s">
        <v>8</v>
      </c>
      <c r="AQ29" t="s">
        <v>147</v>
      </c>
      <c r="AR29" t="s">
        <v>274</v>
      </c>
      <c r="AS29" t="s">
        <v>253</v>
      </c>
      <c r="AT29" t="s">
        <v>238</v>
      </c>
      <c r="AU29">
        <v>0.83</v>
      </c>
      <c r="AX29" s="2">
        <f t="shared" ca="1" si="1"/>
        <v>0.81</v>
      </c>
    </row>
    <row r="30" spans="9:50" x14ac:dyDescent="0.25">
      <c r="I30" t="s">
        <v>254</v>
      </c>
      <c r="J30" t="s">
        <v>148</v>
      </c>
      <c r="K30">
        <v>1.1033520293542749E-2</v>
      </c>
      <c r="L30" t="s">
        <v>31</v>
      </c>
      <c r="N30" t="s">
        <v>264</v>
      </c>
      <c r="O30" t="s">
        <v>148</v>
      </c>
      <c r="P30">
        <v>4.0505176078140586E-3</v>
      </c>
      <c r="Q30" t="s">
        <v>31</v>
      </c>
      <c r="S30" t="s">
        <v>270</v>
      </c>
      <c r="T30" t="s">
        <v>148</v>
      </c>
      <c r="U30">
        <v>4.4330258923724469E-3</v>
      </c>
      <c r="V30" t="s">
        <v>31</v>
      </c>
      <c r="X30" t="s">
        <v>6</v>
      </c>
      <c r="Y30" t="s">
        <v>148</v>
      </c>
      <c r="Z30">
        <v>3.8227173613707113E-3</v>
      </c>
      <c r="AB30" t="s">
        <v>32</v>
      </c>
      <c r="AC30" t="s">
        <v>148</v>
      </c>
      <c r="AD30">
        <v>1.597290738913637E-2</v>
      </c>
      <c r="AF30">
        <v>2022</v>
      </c>
      <c r="AG30" t="s">
        <v>107</v>
      </c>
      <c r="AH30">
        <v>0</v>
      </c>
      <c r="AI30" t="s">
        <v>33</v>
      </c>
      <c r="AK30">
        <v>3.4246575342465752E-3</v>
      </c>
      <c r="AL30">
        <v>5.1711707232180593E-3</v>
      </c>
      <c r="AM30" t="s">
        <v>148</v>
      </c>
      <c r="AN30" t="s">
        <v>8</v>
      </c>
      <c r="AQ30" t="s">
        <v>148</v>
      </c>
      <c r="AR30" t="s">
        <v>274</v>
      </c>
      <c r="AS30" t="s">
        <v>253</v>
      </c>
      <c r="AT30" t="s">
        <v>238</v>
      </c>
      <c r="AU30">
        <v>0.77</v>
      </c>
      <c r="AX30" s="2">
        <f t="shared" ca="1" si="1"/>
        <v>0.82</v>
      </c>
    </row>
    <row r="31" spans="9:50" x14ac:dyDescent="0.25">
      <c r="I31" t="s">
        <v>254</v>
      </c>
      <c r="J31" t="s">
        <v>149</v>
      </c>
      <c r="K31">
        <v>2.4762053859012197E-2</v>
      </c>
      <c r="L31" t="s">
        <v>31</v>
      </c>
      <c r="N31" t="s">
        <v>264</v>
      </c>
      <c r="O31" t="s">
        <v>149</v>
      </c>
      <c r="P31">
        <v>1.1951526431610201E-2</v>
      </c>
      <c r="Q31" t="s">
        <v>31</v>
      </c>
      <c r="S31" t="s">
        <v>270</v>
      </c>
      <c r="T31" t="s">
        <v>149</v>
      </c>
      <c r="U31">
        <v>1.279663678009311E-2</v>
      </c>
      <c r="V31" t="s">
        <v>31</v>
      </c>
      <c r="X31" t="s">
        <v>6</v>
      </c>
      <c r="Y31" t="s">
        <v>149</v>
      </c>
      <c r="Z31">
        <v>1.128249452012698E-2</v>
      </c>
      <c r="AB31" t="s">
        <v>32</v>
      </c>
      <c r="AC31" t="s">
        <v>149</v>
      </c>
      <c r="AD31">
        <v>2.5938621825150499E-2</v>
      </c>
      <c r="AF31">
        <v>2022</v>
      </c>
      <c r="AG31" t="s">
        <v>109</v>
      </c>
      <c r="AH31">
        <v>0</v>
      </c>
      <c r="AI31" t="s">
        <v>33</v>
      </c>
      <c r="AK31">
        <v>1.0273972602739725E-2</v>
      </c>
      <c r="AL31">
        <v>1.8496879894587679E-2</v>
      </c>
      <c r="AM31" t="s">
        <v>149</v>
      </c>
      <c r="AN31" t="s">
        <v>8</v>
      </c>
      <c r="AQ31" t="s">
        <v>149</v>
      </c>
      <c r="AR31" t="s">
        <v>274</v>
      </c>
      <c r="AS31" t="s">
        <v>253</v>
      </c>
      <c r="AT31" t="s">
        <v>238</v>
      </c>
      <c r="AU31">
        <v>0.74</v>
      </c>
      <c r="AX31" s="2">
        <f t="shared" ca="1" si="1"/>
        <v>0.88</v>
      </c>
    </row>
    <row r="32" spans="9:50" x14ac:dyDescent="0.25">
      <c r="I32" t="s">
        <v>254</v>
      </c>
      <c r="J32" t="s">
        <v>150</v>
      </c>
      <c r="K32">
        <v>3.6423978779708032E-3</v>
      </c>
      <c r="L32" t="s">
        <v>31</v>
      </c>
      <c r="N32" t="s">
        <v>264</v>
      </c>
      <c r="O32" t="s">
        <v>150</v>
      </c>
      <c r="P32">
        <v>3.8852258311426737E-3</v>
      </c>
      <c r="Q32" t="s">
        <v>31</v>
      </c>
      <c r="S32" t="s">
        <v>270</v>
      </c>
      <c r="T32" t="s">
        <v>150</v>
      </c>
      <c r="U32">
        <v>4.1414421218620642E-3</v>
      </c>
      <c r="V32" t="s">
        <v>31</v>
      </c>
      <c r="X32" t="s">
        <v>6</v>
      </c>
      <c r="Y32" t="s">
        <v>150</v>
      </c>
      <c r="Z32">
        <v>3.4785115237168209E-3</v>
      </c>
      <c r="AB32" t="s">
        <v>32</v>
      </c>
      <c r="AC32" t="s">
        <v>150</v>
      </c>
      <c r="AD32">
        <v>1.4376768514019478E-2</v>
      </c>
      <c r="AF32">
        <v>2022</v>
      </c>
      <c r="AG32" t="s">
        <v>111</v>
      </c>
      <c r="AH32">
        <v>0</v>
      </c>
      <c r="AI32" t="s">
        <v>33</v>
      </c>
      <c r="AK32">
        <v>3.4246575342465752E-3</v>
      </c>
      <c r="AL32">
        <v>4.6739427690624773E-3</v>
      </c>
      <c r="AM32" t="s">
        <v>150</v>
      </c>
      <c r="AN32" t="s">
        <v>8</v>
      </c>
      <c r="AQ32" t="s">
        <v>150</v>
      </c>
      <c r="AR32" t="s">
        <v>274</v>
      </c>
      <c r="AS32" t="s">
        <v>253</v>
      </c>
      <c r="AT32" t="s">
        <v>238</v>
      </c>
      <c r="AU32">
        <v>0.87</v>
      </c>
      <c r="AX32" s="2">
        <f t="shared" ca="1" si="1"/>
        <v>0.73</v>
      </c>
    </row>
    <row r="33" spans="9:50" x14ac:dyDescent="0.25">
      <c r="I33" t="s">
        <v>254</v>
      </c>
      <c r="J33" t="s">
        <v>151</v>
      </c>
      <c r="K33">
        <v>6.1765608745711453E-4</v>
      </c>
      <c r="L33" t="s">
        <v>31</v>
      </c>
      <c r="N33" t="s">
        <v>264</v>
      </c>
      <c r="O33" t="s">
        <v>151</v>
      </c>
      <c r="P33">
        <v>3.8955779067274317E-3</v>
      </c>
      <c r="Q33" t="s">
        <v>31</v>
      </c>
      <c r="S33" t="s">
        <v>270</v>
      </c>
      <c r="T33" t="s">
        <v>151</v>
      </c>
      <c r="U33">
        <v>4.1210974175952039E-3</v>
      </c>
      <c r="V33" t="s">
        <v>31</v>
      </c>
      <c r="X33" t="s">
        <v>6</v>
      </c>
      <c r="Y33" t="s">
        <v>151</v>
      </c>
      <c r="Z33">
        <v>3.3232492246318916E-3</v>
      </c>
      <c r="AB33" t="s">
        <v>32</v>
      </c>
      <c r="AC33" t="s">
        <v>151</v>
      </c>
      <c r="AD33">
        <v>1.5567305704073497E-2</v>
      </c>
      <c r="AF33">
        <v>2022</v>
      </c>
      <c r="AG33" t="s">
        <v>113</v>
      </c>
      <c r="AH33">
        <v>0</v>
      </c>
      <c r="AI33" t="s">
        <v>33</v>
      </c>
      <c r="AK33">
        <v>3.4246575342465752E-3</v>
      </c>
      <c r="AL33">
        <v>3.2817044974268452E-3</v>
      </c>
      <c r="AM33" t="s">
        <v>151</v>
      </c>
      <c r="AN33" t="s">
        <v>8</v>
      </c>
      <c r="AQ33" t="s">
        <v>151</v>
      </c>
      <c r="AR33" t="s">
        <v>274</v>
      </c>
      <c r="AS33" t="s">
        <v>253</v>
      </c>
      <c r="AT33" t="s">
        <v>238</v>
      </c>
      <c r="AU33">
        <v>0.71</v>
      </c>
      <c r="AX33" s="2">
        <f t="shared" ca="1" si="1"/>
        <v>0.76</v>
      </c>
    </row>
    <row r="34" spans="9:50" x14ac:dyDescent="0.25">
      <c r="I34" t="s">
        <v>254</v>
      </c>
      <c r="J34" t="s">
        <v>152</v>
      </c>
      <c r="K34">
        <v>0</v>
      </c>
      <c r="L34" t="s">
        <v>31</v>
      </c>
      <c r="N34" t="s">
        <v>264</v>
      </c>
      <c r="O34" t="s">
        <v>152</v>
      </c>
      <c r="P34">
        <v>1.191675698690531E-2</v>
      </c>
      <c r="Q34" t="s">
        <v>31</v>
      </c>
      <c r="S34" t="s">
        <v>270</v>
      </c>
      <c r="T34" t="s">
        <v>152</v>
      </c>
      <c r="U34">
        <v>1.2426862248129139E-2</v>
      </c>
      <c r="V34" t="s">
        <v>31</v>
      </c>
      <c r="X34" t="s">
        <v>6</v>
      </c>
      <c r="Y34" t="s">
        <v>152</v>
      </c>
      <c r="Z34">
        <v>9.5205275651675855E-3</v>
      </c>
      <c r="AB34" t="s">
        <v>32</v>
      </c>
      <c r="AC34" t="s">
        <v>152</v>
      </c>
      <c r="AD34">
        <v>3.6651132501678729E-2</v>
      </c>
      <c r="AF34">
        <v>2022</v>
      </c>
      <c r="AG34" t="s">
        <v>115</v>
      </c>
      <c r="AH34">
        <v>0</v>
      </c>
      <c r="AI34" t="s">
        <v>33</v>
      </c>
      <c r="AK34">
        <v>1.0273972602739725E-2</v>
      </c>
      <c r="AL34">
        <v>4.9722795415558275E-3</v>
      </c>
      <c r="AM34" t="s">
        <v>152</v>
      </c>
      <c r="AN34" t="s">
        <v>8</v>
      </c>
      <c r="AQ34" t="s">
        <v>152</v>
      </c>
      <c r="AR34" t="s">
        <v>274</v>
      </c>
      <c r="AS34" t="s">
        <v>253</v>
      </c>
      <c r="AT34" t="s">
        <v>238</v>
      </c>
      <c r="AU34">
        <v>0.88</v>
      </c>
      <c r="AX34" s="2">
        <f t="shared" ca="1" si="1"/>
        <v>0.82</v>
      </c>
    </row>
    <row r="35" spans="9:50" x14ac:dyDescent="0.25">
      <c r="I35" t="s">
        <v>254</v>
      </c>
      <c r="J35" t="s">
        <v>153</v>
      </c>
      <c r="K35">
        <v>3.3510082290818144E-5</v>
      </c>
      <c r="L35" t="s">
        <v>31</v>
      </c>
      <c r="N35" t="s">
        <v>264</v>
      </c>
      <c r="O35" t="s">
        <v>153</v>
      </c>
      <c r="P35">
        <v>1.6277363237341885E-2</v>
      </c>
      <c r="Q35" t="s">
        <v>31</v>
      </c>
      <c r="S35" t="s">
        <v>270</v>
      </c>
      <c r="T35" t="s">
        <v>153</v>
      </c>
      <c r="U35">
        <v>1.3936234633506095E-2</v>
      </c>
      <c r="V35" t="s">
        <v>31</v>
      </c>
      <c r="X35" t="s">
        <v>6</v>
      </c>
      <c r="Y35" t="s">
        <v>153</v>
      </c>
      <c r="Z35">
        <v>1.3014575346651859E-2</v>
      </c>
      <c r="AB35" t="s">
        <v>32</v>
      </c>
      <c r="AC35" t="s">
        <v>153</v>
      </c>
      <c r="AD35">
        <v>0.17200046870368957</v>
      </c>
      <c r="AF35">
        <v>2022</v>
      </c>
      <c r="AG35" t="s">
        <v>117</v>
      </c>
      <c r="AH35">
        <v>0</v>
      </c>
      <c r="AI35" t="s">
        <v>33</v>
      </c>
      <c r="AK35">
        <v>1.7694063926940638E-2</v>
      </c>
      <c r="AL35">
        <v>2.7539798954163875E-3</v>
      </c>
      <c r="AM35" t="s">
        <v>153</v>
      </c>
      <c r="AN35" t="s">
        <v>8</v>
      </c>
      <c r="AQ35" t="s">
        <v>153</v>
      </c>
      <c r="AR35" t="s">
        <v>274</v>
      </c>
      <c r="AS35" t="s">
        <v>253</v>
      </c>
      <c r="AT35" t="s">
        <v>238</v>
      </c>
      <c r="AU35">
        <v>0.74</v>
      </c>
      <c r="AX35" s="2">
        <f t="shared" ca="1" si="1"/>
        <v>0.91</v>
      </c>
    </row>
    <row r="36" spans="9:50" x14ac:dyDescent="0.25">
      <c r="I36" t="s">
        <v>254</v>
      </c>
      <c r="J36" t="s">
        <v>154</v>
      </c>
      <c r="K36">
        <v>2.2948374389607788E-3</v>
      </c>
      <c r="L36" t="s">
        <v>31</v>
      </c>
      <c r="N36" t="s">
        <v>264</v>
      </c>
      <c r="O36" t="s">
        <v>154</v>
      </c>
      <c r="P36">
        <v>3.0273059237558423E-3</v>
      </c>
      <c r="Q36" t="s">
        <v>31</v>
      </c>
      <c r="S36" t="s">
        <v>270</v>
      </c>
      <c r="T36" t="s">
        <v>154</v>
      </c>
      <c r="U36">
        <v>2.5553348107466801E-3</v>
      </c>
      <c r="V36" t="s">
        <v>31</v>
      </c>
      <c r="X36" t="s">
        <v>6</v>
      </c>
      <c r="Y36" t="s">
        <v>154</v>
      </c>
      <c r="Z36">
        <v>3.3452441109341371E-3</v>
      </c>
      <c r="AB36" t="s">
        <v>32</v>
      </c>
      <c r="AC36" t="s">
        <v>154</v>
      </c>
      <c r="AD36">
        <v>4.9596376096172845E-2</v>
      </c>
      <c r="AF36">
        <v>2022</v>
      </c>
      <c r="AG36" t="s">
        <v>118</v>
      </c>
      <c r="AH36">
        <v>0</v>
      </c>
      <c r="AI36" t="s">
        <v>33</v>
      </c>
      <c r="AK36">
        <v>3.5388127853881279E-3</v>
      </c>
      <c r="AL36">
        <v>1.7880317231434744E-3</v>
      </c>
      <c r="AM36" t="s">
        <v>154</v>
      </c>
      <c r="AN36" t="s">
        <v>8</v>
      </c>
      <c r="AQ36" t="s">
        <v>154</v>
      </c>
      <c r="AR36" t="s">
        <v>274</v>
      </c>
      <c r="AS36" t="s">
        <v>253</v>
      </c>
      <c r="AT36" t="s">
        <v>238</v>
      </c>
      <c r="AU36">
        <v>0.92</v>
      </c>
      <c r="AX36" s="2">
        <f t="shared" ca="1" si="1"/>
        <v>0.91</v>
      </c>
    </row>
    <row r="37" spans="9:50" x14ac:dyDescent="0.25">
      <c r="I37" t="s">
        <v>254</v>
      </c>
      <c r="J37" t="s">
        <v>155</v>
      </c>
      <c r="K37">
        <v>9.475183371211636E-2</v>
      </c>
      <c r="L37" t="s">
        <v>31</v>
      </c>
      <c r="N37" t="s">
        <v>264</v>
      </c>
      <c r="O37" t="s">
        <v>155</v>
      </c>
      <c r="P37">
        <v>2.6328030811913098E-2</v>
      </c>
      <c r="Q37" t="s">
        <v>31</v>
      </c>
      <c r="S37" t="s">
        <v>270</v>
      </c>
      <c r="T37" t="s">
        <v>155</v>
      </c>
      <c r="U37">
        <v>2.268608841380575E-2</v>
      </c>
      <c r="V37" t="s">
        <v>31</v>
      </c>
      <c r="X37" t="s">
        <v>6</v>
      </c>
      <c r="Y37" t="s">
        <v>155</v>
      </c>
      <c r="Z37">
        <v>3.2126428380157265E-2</v>
      </c>
      <c r="AB37" t="s">
        <v>32</v>
      </c>
      <c r="AC37" t="s">
        <v>155</v>
      </c>
      <c r="AD37">
        <v>8.9568511503280046E-2</v>
      </c>
      <c r="AF37">
        <v>2022</v>
      </c>
      <c r="AG37" t="s">
        <v>119</v>
      </c>
      <c r="AH37">
        <v>0</v>
      </c>
      <c r="AI37" t="s">
        <v>33</v>
      </c>
      <c r="AK37">
        <v>3.1849315068493152E-2</v>
      </c>
      <c r="AL37">
        <v>4.2573651890709309E-2</v>
      </c>
      <c r="AM37" t="s">
        <v>155</v>
      </c>
      <c r="AN37" t="s">
        <v>8</v>
      </c>
      <c r="AQ37" t="s">
        <v>155</v>
      </c>
      <c r="AR37" t="s">
        <v>274</v>
      </c>
      <c r="AS37" t="s">
        <v>253</v>
      </c>
      <c r="AT37" t="s">
        <v>238</v>
      </c>
      <c r="AU37">
        <v>0.73</v>
      </c>
      <c r="AX37" s="2">
        <f t="shared" ca="1" si="1"/>
        <v>0.7</v>
      </c>
    </row>
    <row r="38" spans="9:50" x14ac:dyDescent="0.25">
      <c r="I38" t="s">
        <v>254</v>
      </c>
      <c r="J38" t="s">
        <v>156</v>
      </c>
      <c r="K38">
        <v>1.2703254570961062E-2</v>
      </c>
      <c r="L38" t="s">
        <v>31</v>
      </c>
      <c r="N38" t="s">
        <v>264</v>
      </c>
      <c r="O38" t="s">
        <v>156</v>
      </c>
      <c r="P38">
        <v>2.9861743956497585E-3</v>
      </c>
      <c r="Q38" t="s">
        <v>31</v>
      </c>
      <c r="S38" t="s">
        <v>270</v>
      </c>
      <c r="T38" t="s">
        <v>156</v>
      </c>
      <c r="U38">
        <v>2.8339327678151226E-3</v>
      </c>
      <c r="V38" t="s">
        <v>31</v>
      </c>
      <c r="X38" t="s">
        <v>6</v>
      </c>
      <c r="Y38" t="s">
        <v>156</v>
      </c>
      <c r="Z38">
        <v>3.5255619662206026E-3</v>
      </c>
      <c r="AB38" t="s">
        <v>32</v>
      </c>
      <c r="AC38" t="s">
        <v>156</v>
      </c>
      <c r="AD38">
        <v>5.1685079009928581E-2</v>
      </c>
      <c r="AF38">
        <v>2022</v>
      </c>
      <c r="AG38" t="s">
        <v>120</v>
      </c>
      <c r="AH38">
        <v>0</v>
      </c>
      <c r="AI38" t="s">
        <v>33</v>
      </c>
      <c r="AK38">
        <v>3.5388127853881279E-3</v>
      </c>
      <c r="AL38">
        <v>5.3435430806586613E-3</v>
      </c>
      <c r="AM38" t="s">
        <v>156</v>
      </c>
      <c r="AN38" t="s">
        <v>8</v>
      </c>
      <c r="AQ38" t="s">
        <v>156</v>
      </c>
      <c r="AR38" t="s">
        <v>274</v>
      </c>
      <c r="AS38" t="s">
        <v>253</v>
      </c>
      <c r="AT38" t="s">
        <v>238</v>
      </c>
      <c r="AU38">
        <v>0.89</v>
      </c>
      <c r="AX38" s="2">
        <f t="shared" ca="1" si="1"/>
        <v>0.84</v>
      </c>
    </row>
    <row r="39" spans="9:50" x14ac:dyDescent="0.25">
      <c r="I39" t="s">
        <v>254</v>
      </c>
      <c r="J39" t="s">
        <v>157</v>
      </c>
      <c r="K39">
        <v>2.9488665335698244E-2</v>
      </c>
      <c r="L39" t="s">
        <v>31</v>
      </c>
      <c r="N39" t="s">
        <v>264</v>
      </c>
      <c r="O39" t="s">
        <v>157</v>
      </c>
      <c r="P39">
        <v>9.193153566819455E-3</v>
      </c>
      <c r="Q39" t="s">
        <v>31</v>
      </c>
      <c r="S39" t="s">
        <v>270</v>
      </c>
      <c r="T39" t="s">
        <v>157</v>
      </c>
      <c r="U39">
        <v>8.7481317742613661E-3</v>
      </c>
      <c r="V39" t="s">
        <v>31</v>
      </c>
      <c r="X39" t="s">
        <v>6</v>
      </c>
      <c r="Y39" t="s">
        <v>157</v>
      </c>
      <c r="Z39">
        <v>1.0434293666696794E-2</v>
      </c>
      <c r="AB39" t="s">
        <v>32</v>
      </c>
      <c r="AC39" t="s">
        <v>157</v>
      </c>
      <c r="AD39">
        <v>6.0230642504118581E-2</v>
      </c>
      <c r="AK39">
        <v>1.0616438356164383E-2</v>
      </c>
      <c r="AL39">
        <v>1.9113442557740598E-2</v>
      </c>
      <c r="AM39" t="s">
        <v>157</v>
      </c>
      <c r="AN39" t="s">
        <v>8</v>
      </c>
      <c r="AQ39" t="s">
        <v>157</v>
      </c>
      <c r="AR39" t="s">
        <v>274</v>
      </c>
      <c r="AS39" t="s">
        <v>253</v>
      </c>
      <c r="AT39" t="s">
        <v>238</v>
      </c>
      <c r="AU39">
        <v>0.72</v>
      </c>
      <c r="AX39" s="2">
        <f t="shared" ca="1" si="1"/>
        <v>0.89</v>
      </c>
    </row>
    <row r="40" spans="9:50" x14ac:dyDescent="0.25">
      <c r="I40" t="s">
        <v>254</v>
      </c>
      <c r="J40" t="s">
        <v>158</v>
      </c>
      <c r="K40">
        <v>5.850739322805408E-3</v>
      </c>
      <c r="L40" t="s">
        <v>31</v>
      </c>
      <c r="N40" t="s">
        <v>264</v>
      </c>
      <c r="O40" t="s">
        <v>158</v>
      </c>
      <c r="P40">
        <v>3.0969055259854497E-3</v>
      </c>
      <c r="Q40" t="s">
        <v>31</v>
      </c>
      <c r="S40" t="s">
        <v>270</v>
      </c>
      <c r="T40" t="s">
        <v>158</v>
      </c>
      <c r="U40">
        <v>2.9558280258678549E-3</v>
      </c>
      <c r="V40" t="s">
        <v>31</v>
      </c>
      <c r="X40" t="s">
        <v>6</v>
      </c>
      <c r="Y40" t="s">
        <v>158</v>
      </c>
      <c r="Z40">
        <v>3.2923946863778913E-3</v>
      </c>
      <c r="AB40" t="s">
        <v>32</v>
      </c>
      <c r="AC40" t="s">
        <v>158</v>
      </c>
      <c r="AD40">
        <v>2.5989662868553864E-2</v>
      </c>
      <c r="AK40">
        <v>3.5388127853881279E-3</v>
      </c>
      <c r="AL40">
        <v>4.8297408613645603E-3</v>
      </c>
      <c r="AM40" t="s">
        <v>158</v>
      </c>
      <c r="AN40" t="s">
        <v>8</v>
      </c>
      <c r="AQ40" t="s">
        <v>158</v>
      </c>
      <c r="AR40" t="s">
        <v>274</v>
      </c>
      <c r="AS40" t="s">
        <v>253</v>
      </c>
      <c r="AT40" t="s">
        <v>238</v>
      </c>
      <c r="AU40">
        <v>0.81</v>
      </c>
      <c r="AX40" s="2">
        <f t="shared" ca="1" si="1"/>
        <v>0.89</v>
      </c>
    </row>
    <row r="41" spans="9:50" x14ac:dyDescent="0.25">
      <c r="I41" t="s">
        <v>254</v>
      </c>
      <c r="J41" t="s">
        <v>159</v>
      </c>
      <c r="K41">
        <v>2.9766667103186804E-3</v>
      </c>
      <c r="L41" t="s">
        <v>31</v>
      </c>
      <c r="N41" t="s">
        <v>264</v>
      </c>
      <c r="O41" t="s">
        <v>159</v>
      </c>
      <c r="P41">
        <v>3.0856967987458257E-3</v>
      </c>
      <c r="Q41" t="s">
        <v>31</v>
      </c>
      <c r="S41" t="s">
        <v>270</v>
      </c>
      <c r="T41" t="s">
        <v>159</v>
      </c>
      <c r="U41">
        <v>2.8704853501071281E-3</v>
      </c>
      <c r="V41" t="s">
        <v>31</v>
      </c>
      <c r="X41" t="s">
        <v>6</v>
      </c>
      <c r="Y41" t="s">
        <v>159</v>
      </c>
      <c r="Z41">
        <v>3.1417875179533565E-3</v>
      </c>
      <c r="AB41" t="s">
        <v>32</v>
      </c>
      <c r="AC41" t="s">
        <v>159</v>
      </c>
      <c r="AD41">
        <v>4.894998786113125E-2</v>
      </c>
      <c r="AK41">
        <v>3.5388127853881279E-3</v>
      </c>
      <c r="AL41">
        <v>3.3910946473410734E-3</v>
      </c>
      <c r="AM41" t="s">
        <v>159</v>
      </c>
      <c r="AN41" t="s">
        <v>8</v>
      </c>
      <c r="AQ41" t="s">
        <v>159</v>
      </c>
      <c r="AR41" t="s">
        <v>274</v>
      </c>
      <c r="AS41" t="s">
        <v>253</v>
      </c>
      <c r="AT41" t="s">
        <v>238</v>
      </c>
      <c r="AU41">
        <v>0.78</v>
      </c>
      <c r="AX41" s="2">
        <f t="shared" ca="1" si="1"/>
        <v>0.74</v>
      </c>
    </row>
    <row r="42" spans="9:50" x14ac:dyDescent="0.25">
      <c r="I42" t="s">
        <v>254</v>
      </c>
      <c r="J42" t="s">
        <v>160</v>
      </c>
      <c r="K42">
        <v>2.9388975058872575E-4</v>
      </c>
      <c r="L42" t="s">
        <v>31</v>
      </c>
      <c r="N42" t="s">
        <v>264</v>
      </c>
      <c r="O42" t="s">
        <v>160</v>
      </c>
      <c r="P42">
        <v>9.1450616470443325E-3</v>
      </c>
      <c r="Q42" t="s">
        <v>31</v>
      </c>
      <c r="S42" t="s">
        <v>270</v>
      </c>
      <c r="T42" t="s">
        <v>160</v>
      </c>
      <c r="U42">
        <v>8.6902958249735762E-3</v>
      </c>
      <c r="V42" t="s">
        <v>31</v>
      </c>
      <c r="X42" t="s">
        <v>6</v>
      </c>
      <c r="Y42" t="s">
        <v>160</v>
      </c>
      <c r="Z42">
        <v>7.7096730742893041E-3</v>
      </c>
      <c r="AB42" t="s">
        <v>32</v>
      </c>
      <c r="AC42" t="s">
        <v>160</v>
      </c>
      <c r="AD42">
        <v>0.10425716768027793</v>
      </c>
      <c r="AK42">
        <v>1.0616438356164383E-2</v>
      </c>
      <c r="AL42">
        <v>5.1380221929410216E-3</v>
      </c>
      <c r="AM42" t="s">
        <v>160</v>
      </c>
      <c r="AN42" t="s">
        <v>8</v>
      </c>
      <c r="AQ42" t="s">
        <v>160</v>
      </c>
      <c r="AR42" t="s">
        <v>274</v>
      </c>
      <c r="AS42" t="s">
        <v>253</v>
      </c>
      <c r="AT42" t="s">
        <v>238</v>
      </c>
      <c r="AU42">
        <v>0.79</v>
      </c>
      <c r="AX42" s="2">
        <f t="shared" ca="1" si="1"/>
        <v>0.81</v>
      </c>
    </row>
    <row r="43" spans="9:50" x14ac:dyDescent="0.25">
      <c r="I43" t="s">
        <v>254</v>
      </c>
      <c r="J43" t="s">
        <v>161</v>
      </c>
      <c r="K43">
        <v>1.0864889659409332E-3</v>
      </c>
      <c r="L43" t="s">
        <v>31</v>
      </c>
      <c r="N43" t="s">
        <v>264</v>
      </c>
      <c r="O43" t="s">
        <v>161</v>
      </c>
      <c r="P43">
        <v>1.23591112600148E-2</v>
      </c>
      <c r="Q43" t="s">
        <v>31</v>
      </c>
      <c r="S43" t="s">
        <v>270</v>
      </c>
      <c r="T43" t="s">
        <v>161</v>
      </c>
      <c r="U43">
        <v>1.0490791094649956E-2</v>
      </c>
      <c r="V43" t="s">
        <v>31</v>
      </c>
      <c r="X43" t="s">
        <v>6</v>
      </c>
      <c r="Y43" t="s">
        <v>161</v>
      </c>
      <c r="Z43">
        <v>1.1331637101402961E-2</v>
      </c>
      <c r="AB43" t="s">
        <v>32</v>
      </c>
      <c r="AC43" t="s">
        <v>161</v>
      </c>
      <c r="AD43">
        <v>0.19770516034163554</v>
      </c>
      <c r="AK43">
        <v>1.7123287671232876E-2</v>
      </c>
      <c r="AL43">
        <v>2.6651418342739236E-3</v>
      </c>
      <c r="AM43" t="s">
        <v>161</v>
      </c>
      <c r="AN43" t="s">
        <v>8</v>
      </c>
      <c r="AQ43" t="s">
        <v>161</v>
      </c>
      <c r="AR43" t="s">
        <v>274</v>
      </c>
      <c r="AS43" t="s">
        <v>253</v>
      </c>
      <c r="AT43" t="s">
        <v>238</v>
      </c>
      <c r="AU43">
        <v>0.87</v>
      </c>
      <c r="AX43" s="2">
        <f t="shared" ca="1" si="1"/>
        <v>0.71</v>
      </c>
    </row>
    <row r="44" spans="9:50" x14ac:dyDescent="0.25">
      <c r="I44" t="s">
        <v>254</v>
      </c>
      <c r="J44" t="s">
        <v>162</v>
      </c>
      <c r="K44">
        <v>3.3552638840407155E-3</v>
      </c>
      <c r="L44" t="s">
        <v>31</v>
      </c>
      <c r="N44" t="s">
        <v>264</v>
      </c>
      <c r="O44" t="s">
        <v>162</v>
      </c>
      <c r="P44">
        <v>2.2735411966646199E-3</v>
      </c>
      <c r="Q44" t="s">
        <v>31</v>
      </c>
      <c r="S44" t="s">
        <v>270</v>
      </c>
      <c r="T44" t="s">
        <v>162</v>
      </c>
      <c r="U44">
        <v>1.6257255078900791E-3</v>
      </c>
      <c r="V44" t="s">
        <v>31</v>
      </c>
      <c r="X44" t="s">
        <v>6</v>
      </c>
      <c r="Y44" t="s">
        <v>162</v>
      </c>
      <c r="Z44">
        <v>3.1008006658386411E-3</v>
      </c>
      <c r="AB44" t="s">
        <v>32</v>
      </c>
      <c r="AC44" t="s">
        <v>162</v>
      </c>
      <c r="AD44">
        <v>0.10650796104498372</v>
      </c>
      <c r="AK44">
        <v>3.4246575342465752E-3</v>
      </c>
      <c r="AL44">
        <v>1.7303532804614269E-3</v>
      </c>
      <c r="AM44" t="s">
        <v>162</v>
      </c>
      <c r="AN44" t="s">
        <v>8</v>
      </c>
      <c r="AQ44" t="s">
        <v>162</v>
      </c>
      <c r="AR44" t="s">
        <v>274</v>
      </c>
      <c r="AS44" t="s">
        <v>253</v>
      </c>
      <c r="AT44" t="s">
        <v>238</v>
      </c>
      <c r="AU44">
        <v>0.7</v>
      </c>
      <c r="AX44" s="2">
        <f t="shared" ca="1" si="1"/>
        <v>0.72</v>
      </c>
    </row>
    <row r="45" spans="9:50" x14ac:dyDescent="0.25">
      <c r="I45" t="s">
        <v>254</v>
      </c>
      <c r="J45" t="s">
        <v>163</v>
      </c>
      <c r="K45">
        <v>9.5678950670496102E-2</v>
      </c>
      <c r="L45" t="s">
        <v>31</v>
      </c>
      <c r="N45" t="s">
        <v>264</v>
      </c>
      <c r="O45" t="s">
        <v>163</v>
      </c>
      <c r="P45">
        <v>2.0386474607052885E-2</v>
      </c>
      <c r="Q45" t="s">
        <v>31</v>
      </c>
      <c r="S45" t="s">
        <v>270</v>
      </c>
      <c r="T45" t="s">
        <v>163</v>
      </c>
      <c r="U45">
        <v>1.3284595980306072E-2</v>
      </c>
      <c r="V45" t="s">
        <v>31</v>
      </c>
      <c r="X45" t="s">
        <v>6</v>
      </c>
      <c r="Y45" t="s">
        <v>163</v>
      </c>
      <c r="Z45">
        <v>3.1151832062842878E-2</v>
      </c>
      <c r="AB45" t="s">
        <v>32</v>
      </c>
      <c r="AC45" t="s">
        <v>163</v>
      </c>
      <c r="AD45">
        <v>0.13814036079706993</v>
      </c>
      <c r="AK45">
        <v>3.0821917808219176E-2</v>
      </c>
      <c r="AL45">
        <v>4.1200308281331581E-2</v>
      </c>
      <c r="AM45" t="s">
        <v>163</v>
      </c>
      <c r="AN45" t="s">
        <v>8</v>
      </c>
      <c r="AQ45" t="s">
        <v>163</v>
      </c>
      <c r="AR45" t="s">
        <v>274</v>
      </c>
      <c r="AS45" t="s">
        <v>253</v>
      </c>
      <c r="AT45" t="s">
        <v>238</v>
      </c>
      <c r="AU45">
        <v>0.8</v>
      </c>
      <c r="AX45" s="2">
        <f t="shared" ca="1" si="1"/>
        <v>0.87</v>
      </c>
    </row>
    <row r="46" spans="9:50" x14ac:dyDescent="0.25">
      <c r="I46" t="s">
        <v>254</v>
      </c>
      <c r="J46" t="s">
        <v>164</v>
      </c>
      <c r="K46">
        <v>1.1360730963371654E-2</v>
      </c>
      <c r="L46" t="s">
        <v>31</v>
      </c>
      <c r="N46" t="s">
        <v>264</v>
      </c>
      <c r="O46" t="s">
        <v>164</v>
      </c>
      <c r="P46">
        <v>2.5554224202553001E-3</v>
      </c>
      <c r="Q46" t="s">
        <v>31</v>
      </c>
      <c r="S46" t="s">
        <v>270</v>
      </c>
      <c r="T46" t="s">
        <v>164</v>
      </c>
      <c r="U46">
        <v>1.776084997157963E-3</v>
      </c>
      <c r="V46" t="s">
        <v>31</v>
      </c>
      <c r="X46" t="s">
        <v>6</v>
      </c>
      <c r="Y46" t="s">
        <v>164</v>
      </c>
      <c r="Z46">
        <v>3.4567812457511771E-3</v>
      </c>
      <c r="AB46" t="s">
        <v>32</v>
      </c>
      <c r="AC46" t="s">
        <v>164</v>
      </c>
      <c r="AD46">
        <v>0.10745457146945214</v>
      </c>
      <c r="AK46">
        <v>3.4246575342465752E-3</v>
      </c>
      <c r="AL46">
        <v>5.1711707232180593E-3</v>
      </c>
      <c r="AM46" t="s">
        <v>164</v>
      </c>
      <c r="AN46" t="s">
        <v>8</v>
      </c>
      <c r="AQ46" t="s">
        <v>164</v>
      </c>
      <c r="AR46" t="s">
        <v>274</v>
      </c>
      <c r="AS46" t="s">
        <v>253</v>
      </c>
      <c r="AT46" t="s">
        <v>238</v>
      </c>
      <c r="AU46">
        <v>0.95</v>
      </c>
      <c r="AX46" s="2">
        <f t="shared" ca="1" si="1"/>
        <v>0.9</v>
      </c>
    </row>
    <row r="47" spans="9:50" x14ac:dyDescent="0.25">
      <c r="I47" t="s">
        <v>254</v>
      </c>
      <c r="J47" t="s">
        <v>165</v>
      </c>
      <c r="K47">
        <v>2.8522958059822207E-2</v>
      </c>
      <c r="L47" t="s">
        <v>31</v>
      </c>
      <c r="N47" t="s">
        <v>264</v>
      </c>
      <c r="O47" t="s">
        <v>165</v>
      </c>
      <c r="P47">
        <v>7.6053588456984353E-3</v>
      </c>
      <c r="Q47" t="s">
        <v>31</v>
      </c>
      <c r="S47" t="s">
        <v>270</v>
      </c>
      <c r="T47" t="s">
        <v>165</v>
      </c>
      <c r="U47">
        <v>5.2338313762106906E-3</v>
      </c>
      <c r="V47" t="s">
        <v>31</v>
      </c>
      <c r="X47" t="s">
        <v>6</v>
      </c>
      <c r="Y47" t="s">
        <v>165</v>
      </c>
      <c r="Z47">
        <v>1.0112531648032261E-2</v>
      </c>
      <c r="AB47" t="s">
        <v>32</v>
      </c>
      <c r="AC47" t="s">
        <v>165</v>
      </c>
      <c r="AD47">
        <v>0.11459709379128147</v>
      </c>
      <c r="AK47">
        <v>1.0273972602739725E-2</v>
      </c>
      <c r="AL47">
        <v>1.8496879894587679E-2</v>
      </c>
      <c r="AM47" t="s">
        <v>165</v>
      </c>
      <c r="AN47" t="s">
        <v>8</v>
      </c>
      <c r="AQ47" t="s">
        <v>165</v>
      </c>
      <c r="AR47" t="s">
        <v>274</v>
      </c>
      <c r="AS47" t="s">
        <v>253</v>
      </c>
      <c r="AT47" t="s">
        <v>238</v>
      </c>
      <c r="AU47">
        <v>0.87</v>
      </c>
      <c r="AX47" s="2">
        <f t="shared" ca="1" si="1"/>
        <v>0.76</v>
      </c>
    </row>
    <row r="48" spans="9:50" x14ac:dyDescent="0.25">
      <c r="I48" t="s">
        <v>254</v>
      </c>
      <c r="J48" t="s">
        <v>166</v>
      </c>
      <c r="K48">
        <v>5.7052123452518656E-3</v>
      </c>
      <c r="L48" t="s">
        <v>31</v>
      </c>
      <c r="N48" t="s">
        <v>264</v>
      </c>
      <c r="O48" t="s">
        <v>166</v>
      </c>
      <c r="P48">
        <v>2.4633071944662444E-3</v>
      </c>
      <c r="Q48" t="s">
        <v>31</v>
      </c>
      <c r="S48" t="s">
        <v>270</v>
      </c>
      <c r="T48" t="s">
        <v>166</v>
      </c>
      <c r="U48">
        <v>1.6595385219991161E-3</v>
      </c>
      <c r="V48" t="s">
        <v>31</v>
      </c>
      <c r="X48" t="s">
        <v>6</v>
      </c>
      <c r="Y48" t="s">
        <v>166</v>
      </c>
      <c r="Z48">
        <v>3.226489193669298E-3</v>
      </c>
      <c r="AB48" t="s">
        <v>32</v>
      </c>
      <c r="AC48" t="s">
        <v>166</v>
      </c>
      <c r="AD48">
        <v>6.5147461143011842E-2</v>
      </c>
      <c r="AK48">
        <v>3.4246575342465752E-3</v>
      </c>
      <c r="AL48">
        <v>4.6739427690624773E-3</v>
      </c>
      <c r="AM48" t="s">
        <v>166</v>
      </c>
      <c r="AN48" t="s">
        <v>8</v>
      </c>
      <c r="AQ48" t="s">
        <v>166</v>
      </c>
      <c r="AR48" t="s">
        <v>274</v>
      </c>
      <c r="AS48" t="s">
        <v>253</v>
      </c>
      <c r="AT48" t="s">
        <v>238</v>
      </c>
      <c r="AU48">
        <v>0.84</v>
      </c>
      <c r="AX48" s="2">
        <f t="shared" ca="1" si="1"/>
        <v>0.85</v>
      </c>
    </row>
    <row r="49" spans="9:50" x14ac:dyDescent="0.25">
      <c r="I49" t="s">
        <v>254</v>
      </c>
      <c r="J49" t="s">
        <v>167</v>
      </c>
      <c r="K49">
        <v>3.759875169577953E-3</v>
      </c>
      <c r="L49" t="s">
        <v>31</v>
      </c>
      <c r="N49" t="s">
        <v>264</v>
      </c>
      <c r="O49" t="s">
        <v>167</v>
      </c>
      <c r="P49">
        <v>2.443800892782848E-3</v>
      </c>
      <c r="Q49" t="s">
        <v>31</v>
      </c>
      <c r="S49" t="s">
        <v>270</v>
      </c>
      <c r="T49" t="s">
        <v>167</v>
      </c>
      <c r="U49">
        <v>1.7985226717968728E-3</v>
      </c>
      <c r="V49" t="s">
        <v>31</v>
      </c>
      <c r="X49" t="s">
        <v>6</v>
      </c>
      <c r="Y49" t="s">
        <v>167</v>
      </c>
      <c r="Z49">
        <v>2.9747013911850077E-3</v>
      </c>
      <c r="AB49" t="s">
        <v>32</v>
      </c>
      <c r="AC49" t="s">
        <v>167</v>
      </c>
      <c r="AD49">
        <v>7.3065173116089621E-2</v>
      </c>
      <c r="AK49">
        <v>3.4246575342465752E-3</v>
      </c>
      <c r="AL49">
        <v>3.2817044974268452E-3</v>
      </c>
      <c r="AM49" t="s">
        <v>167</v>
      </c>
      <c r="AN49" t="s">
        <v>8</v>
      </c>
      <c r="AQ49" t="s">
        <v>167</v>
      </c>
      <c r="AR49" t="s">
        <v>274</v>
      </c>
      <c r="AS49" t="s">
        <v>253</v>
      </c>
      <c r="AT49" t="s">
        <v>238</v>
      </c>
      <c r="AU49">
        <v>0.74</v>
      </c>
      <c r="AX49" s="2">
        <f t="shared" ca="1" si="1"/>
        <v>0.74</v>
      </c>
    </row>
    <row r="50" spans="9:50" x14ac:dyDescent="0.25">
      <c r="I50" t="s">
        <v>254</v>
      </c>
      <c r="J50" t="s">
        <v>168</v>
      </c>
      <c r="K50">
        <v>1.7106752169796914E-3</v>
      </c>
      <c r="L50" t="s">
        <v>31</v>
      </c>
      <c r="N50" t="s">
        <v>264</v>
      </c>
      <c r="O50" t="s">
        <v>168</v>
      </c>
      <c r="P50">
        <v>7.5280422409611187E-3</v>
      </c>
      <c r="Q50" t="s">
        <v>31</v>
      </c>
      <c r="S50" t="s">
        <v>270</v>
      </c>
      <c r="T50" t="s">
        <v>168</v>
      </c>
      <c r="U50">
        <v>6.2276299423809339E-3</v>
      </c>
      <c r="V50" t="s">
        <v>31</v>
      </c>
      <c r="X50" t="s">
        <v>6</v>
      </c>
      <c r="Y50" t="s">
        <v>168</v>
      </c>
      <c r="Z50">
        <v>6.927600782676329E-3</v>
      </c>
      <c r="AB50" t="s">
        <v>32</v>
      </c>
      <c r="AC50" t="s">
        <v>168</v>
      </c>
      <c r="AD50">
        <v>8.4201279959844388E-2</v>
      </c>
      <c r="AK50">
        <v>1.0273972602739725E-2</v>
      </c>
      <c r="AL50">
        <v>4.9722795415558275E-3</v>
      </c>
      <c r="AM50" t="s">
        <v>168</v>
      </c>
      <c r="AN50" t="s">
        <v>8</v>
      </c>
      <c r="AQ50" t="s">
        <v>168</v>
      </c>
      <c r="AR50" t="s">
        <v>274</v>
      </c>
      <c r="AS50" t="s">
        <v>253</v>
      </c>
      <c r="AT50" t="s">
        <v>238</v>
      </c>
      <c r="AU50">
        <v>0.89</v>
      </c>
      <c r="AX50" s="2">
        <f t="shared" ca="1" si="1"/>
        <v>0.77</v>
      </c>
    </row>
    <row r="51" spans="9:50" x14ac:dyDescent="0.25">
      <c r="I51" t="s">
        <v>254</v>
      </c>
      <c r="J51" t="s">
        <v>169</v>
      </c>
      <c r="K51">
        <v>2.4623721627657072E-4</v>
      </c>
      <c r="L51" t="s">
        <v>31</v>
      </c>
      <c r="N51" t="s">
        <v>264</v>
      </c>
      <c r="O51" t="s">
        <v>169</v>
      </c>
      <c r="P51">
        <v>1.3249017917957694E-2</v>
      </c>
      <c r="Q51" t="s">
        <v>31</v>
      </c>
      <c r="S51" t="s">
        <v>270</v>
      </c>
      <c r="T51" t="s">
        <v>169</v>
      </c>
      <c r="U51">
        <v>1.3328648068083794E-2</v>
      </c>
      <c r="V51" t="s">
        <v>31</v>
      </c>
      <c r="X51" t="s">
        <v>6</v>
      </c>
      <c r="Y51" t="s">
        <v>169</v>
      </c>
      <c r="Z51">
        <v>1.1777936364459845E-2</v>
      </c>
      <c r="AB51" t="s">
        <v>32</v>
      </c>
      <c r="AC51" t="s">
        <v>169</v>
      </c>
      <c r="AD51">
        <v>0.17318969444893506</v>
      </c>
      <c r="AK51">
        <v>1.7694063926940638E-2</v>
      </c>
      <c r="AL51">
        <v>2.7539798954163875E-3</v>
      </c>
      <c r="AM51" t="s">
        <v>169</v>
      </c>
      <c r="AN51" t="s">
        <v>8</v>
      </c>
      <c r="AQ51" t="s">
        <v>169</v>
      </c>
      <c r="AR51" t="s">
        <v>274</v>
      </c>
      <c r="AS51" t="s">
        <v>253</v>
      </c>
      <c r="AT51" t="s">
        <v>238</v>
      </c>
      <c r="AU51">
        <v>0.73</v>
      </c>
      <c r="AX51" s="2">
        <f t="shared" ca="1" si="1"/>
        <v>0.74</v>
      </c>
    </row>
    <row r="52" spans="9:50" x14ac:dyDescent="0.25">
      <c r="I52" t="s">
        <v>254</v>
      </c>
      <c r="J52" t="s">
        <v>170</v>
      </c>
      <c r="K52">
        <v>3.0257525251269927E-3</v>
      </c>
      <c r="L52" t="s">
        <v>31</v>
      </c>
      <c r="N52" t="s">
        <v>264</v>
      </c>
      <c r="O52" t="s">
        <v>170</v>
      </c>
      <c r="P52">
        <v>2.4338088998401364E-3</v>
      </c>
      <c r="Q52" t="s">
        <v>31</v>
      </c>
      <c r="S52" t="s">
        <v>270</v>
      </c>
      <c r="T52" t="s">
        <v>170</v>
      </c>
      <c r="U52">
        <v>2.1358759583965307E-3</v>
      </c>
      <c r="V52" t="s">
        <v>31</v>
      </c>
      <c r="X52" t="s">
        <v>6</v>
      </c>
      <c r="Y52" t="s">
        <v>170</v>
      </c>
      <c r="Z52">
        <v>3.2430194754923905E-3</v>
      </c>
      <c r="AB52" t="s">
        <v>32</v>
      </c>
      <c r="AC52" t="s">
        <v>170</v>
      </c>
      <c r="AD52">
        <v>7.3565196747581441E-2</v>
      </c>
      <c r="AK52">
        <v>3.5388127853881279E-3</v>
      </c>
      <c r="AL52">
        <v>1.7880317231434744E-3</v>
      </c>
      <c r="AM52" t="s">
        <v>170</v>
      </c>
      <c r="AN52" t="s">
        <v>8</v>
      </c>
      <c r="AQ52" t="s">
        <v>170</v>
      </c>
      <c r="AR52" t="s">
        <v>274</v>
      </c>
      <c r="AS52" t="s">
        <v>253</v>
      </c>
      <c r="AT52" t="s">
        <v>238</v>
      </c>
      <c r="AU52">
        <v>0.91</v>
      </c>
      <c r="AX52" s="2">
        <f t="shared" ca="1" si="1"/>
        <v>0.78</v>
      </c>
    </row>
    <row r="53" spans="9:50" x14ac:dyDescent="0.25">
      <c r="I53" t="s">
        <v>254</v>
      </c>
      <c r="J53" t="s">
        <v>171</v>
      </c>
      <c r="K53">
        <v>9.4752975594781436E-2</v>
      </c>
      <c r="L53" t="s">
        <v>31</v>
      </c>
      <c r="N53" t="s">
        <v>264</v>
      </c>
      <c r="O53" t="s">
        <v>171</v>
      </c>
      <c r="P53">
        <v>2.4387482350406133E-2</v>
      </c>
      <c r="Q53" t="s">
        <v>31</v>
      </c>
      <c r="S53" t="s">
        <v>270</v>
      </c>
      <c r="T53" t="s">
        <v>171</v>
      </c>
      <c r="U53">
        <v>1.7032639193274027E-2</v>
      </c>
      <c r="V53" t="s">
        <v>31</v>
      </c>
      <c r="X53" t="s">
        <v>6</v>
      </c>
      <c r="Y53" t="s">
        <v>171</v>
      </c>
      <c r="Z53">
        <v>3.2781620727294521E-2</v>
      </c>
      <c r="AB53" t="s">
        <v>32</v>
      </c>
      <c r="AC53" t="s">
        <v>171</v>
      </c>
      <c r="AD53">
        <v>0.11672811689198404</v>
      </c>
      <c r="AK53">
        <v>3.1849315068493152E-2</v>
      </c>
      <c r="AL53">
        <v>4.2573651890709309E-2</v>
      </c>
      <c r="AM53" t="s">
        <v>171</v>
      </c>
      <c r="AN53" t="s">
        <v>8</v>
      </c>
      <c r="AQ53" t="s">
        <v>171</v>
      </c>
      <c r="AR53" t="s">
        <v>274</v>
      </c>
      <c r="AS53" t="s">
        <v>253</v>
      </c>
      <c r="AT53" t="s">
        <v>238</v>
      </c>
      <c r="AU53">
        <v>0.9</v>
      </c>
      <c r="AX53" s="2">
        <f t="shared" ca="1" si="1"/>
        <v>0.72</v>
      </c>
    </row>
    <row r="54" spans="9:50" x14ac:dyDescent="0.25">
      <c r="I54" t="s">
        <v>254</v>
      </c>
      <c r="J54" t="s">
        <v>172</v>
      </c>
      <c r="K54">
        <v>1.2010369571695226E-2</v>
      </c>
      <c r="L54" t="s">
        <v>31</v>
      </c>
      <c r="N54" t="s">
        <v>264</v>
      </c>
      <c r="O54" t="s">
        <v>172</v>
      </c>
      <c r="P54">
        <v>3.3042812663052245E-3</v>
      </c>
      <c r="Q54" t="s">
        <v>31</v>
      </c>
      <c r="S54" t="s">
        <v>270</v>
      </c>
      <c r="T54" t="s">
        <v>172</v>
      </c>
      <c r="U54">
        <v>2.2080227447651125E-3</v>
      </c>
      <c r="V54" t="s">
        <v>31</v>
      </c>
      <c r="X54" t="s">
        <v>6</v>
      </c>
      <c r="Y54" t="s">
        <v>172</v>
      </c>
      <c r="Z54">
        <v>3.6493849990233166E-3</v>
      </c>
      <c r="AB54" t="s">
        <v>32</v>
      </c>
      <c r="AC54" t="s">
        <v>172</v>
      </c>
      <c r="AD54">
        <v>9.4883543337151544E-2</v>
      </c>
      <c r="AK54">
        <v>3.5388127853881279E-3</v>
      </c>
      <c r="AL54">
        <v>5.3435430806586613E-3</v>
      </c>
      <c r="AM54" t="s">
        <v>172</v>
      </c>
      <c r="AN54" t="s">
        <v>8</v>
      </c>
      <c r="AQ54" t="s">
        <v>172</v>
      </c>
      <c r="AR54" t="s">
        <v>274</v>
      </c>
      <c r="AS54" t="s">
        <v>253</v>
      </c>
      <c r="AT54" t="s">
        <v>238</v>
      </c>
      <c r="AU54">
        <v>0.88</v>
      </c>
      <c r="AX54" s="2">
        <f t="shared" ca="1" si="1"/>
        <v>0.85</v>
      </c>
    </row>
    <row r="55" spans="9:50" x14ac:dyDescent="0.25">
      <c r="I55" t="s">
        <v>254</v>
      </c>
      <c r="J55" t="s">
        <v>173</v>
      </c>
      <c r="K55">
        <v>2.9631842076279963E-2</v>
      </c>
      <c r="L55" t="s">
        <v>31</v>
      </c>
      <c r="N55" t="s">
        <v>264</v>
      </c>
      <c r="O55" t="s">
        <v>173</v>
      </c>
      <c r="P55">
        <v>9.7074843646925493E-3</v>
      </c>
      <c r="Q55" t="s">
        <v>31</v>
      </c>
      <c r="S55" t="s">
        <v>270</v>
      </c>
      <c r="T55" t="s">
        <v>173</v>
      </c>
      <c r="U55">
        <v>7.5903709475780958E-3</v>
      </c>
      <c r="V55" t="s">
        <v>31</v>
      </c>
      <c r="X55" t="s">
        <v>6</v>
      </c>
      <c r="Y55" t="s">
        <v>173</v>
      </c>
      <c r="Z55">
        <v>1.0650226634804688E-2</v>
      </c>
      <c r="AB55" t="s">
        <v>32</v>
      </c>
      <c r="AC55" t="s">
        <v>173</v>
      </c>
      <c r="AD55">
        <v>0.11352970636790261</v>
      </c>
      <c r="AK55">
        <v>1.0616438356164383E-2</v>
      </c>
      <c r="AL55">
        <v>1.9113442557740598E-2</v>
      </c>
      <c r="AM55" t="s">
        <v>173</v>
      </c>
      <c r="AN55" t="s">
        <v>8</v>
      </c>
      <c r="AQ55" t="s">
        <v>173</v>
      </c>
      <c r="AR55" t="s">
        <v>274</v>
      </c>
      <c r="AS55" t="s">
        <v>253</v>
      </c>
      <c r="AT55" t="s">
        <v>238</v>
      </c>
      <c r="AU55">
        <v>0.78</v>
      </c>
      <c r="AX55" s="2">
        <f t="shared" ca="1" si="1"/>
        <v>0.73</v>
      </c>
    </row>
    <row r="56" spans="9:50" x14ac:dyDescent="0.25">
      <c r="I56" t="s">
        <v>254</v>
      </c>
      <c r="J56" t="s">
        <v>174</v>
      </c>
      <c r="K56">
        <v>6.6642702424942442E-3</v>
      </c>
      <c r="L56" t="s">
        <v>31</v>
      </c>
      <c r="N56" t="s">
        <v>264</v>
      </c>
      <c r="O56" t="s">
        <v>174</v>
      </c>
      <c r="P56">
        <v>3.0851479847877512E-3</v>
      </c>
      <c r="Q56" t="s">
        <v>31</v>
      </c>
      <c r="S56" t="s">
        <v>270</v>
      </c>
      <c r="T56" t="s">
        <v>174</v>
      </c>
      <c r="U56">
        <v>2.615611586749121E-3</v>
      </c>
      <c r="V56" t="s">
        <v>31</v>
      </c>
      <c r="X56" t="s">
        <v>6</v>
      </c>
      <c r="Y56" t="s">
        <v>174</v>
      </c>
      <c r="Z56">
        <v>3.3951327156011707E-3</v>
      </c>
      <c r="AB56" t="s">
        <v>32</v>
      </c>
      <c r="AC56" t="s">
        <v>174</v>
      </c>
      <c r="AD56">
        <v>4.5534200925048118E-2</v>
      </c>
      <c r="AK56">
        <v>3.5388127853881279E-3</v>
      </c>
      <c r="AL56">
        <v>4.8297408613645603E-3</v>
      </c>
      <c r="AM56" t="s">
        <v>174</v>
      </c>
      <c r="AN56" t="s">
        <v>8</v>
      </c>
      <c r="AQ56" t="s">
        <v>174</v>
      </c>
      <c r="AR56" t="s">
        <v>274</v>
      </c>
      <c r="AS56" t="s">
        <v>253</v>
      </c>
      <c r="AT56" t="s">
        <v>238</v>
      </c>
      <c r="AU56">
        <v>0.78</v>
      </c>
      <c r="AX56" s="2">
        <f t="shared" ca="1" si="1"/>
        <v>0.88</v>
      </c>
    </row>
    <row r="57" spans="9:50" x14ac:dyDescent="0.25">
      <c r="I57" t="s">
        <v>254</v>
      </c>
      <c r="J57" t="s">
        <v>175</v>
      </c>
      <c r="K57">
        <v>4.0788910774191287E-3</v>
      </c>
      <c r="L57" t="s">
        <v>31</v>
      </c>
      <c r="N57" t="s">
        <v>264</v>
      </c>
      <c r="O57" t="s">
        <v>175</v>
      </c>
      <c r="P57">
        <v>3.0993055334387711E-3</v>
      </c>
      <c r="Q57" t="s">
        <v>31</v>
      </c>
      <c r="S57" t="s">
        <v>270</v>
      </c>
      <c r="T57" t="s">
        <v>175</v>
      </c>
      <c r="U57">
        <v>2.6776629535831486E-3</v>
      </c>
      <c r="V57" t="s">
        <v>31</v>
      </c>
      <c r="X57" t="s">
        <v>6</v>
      </c>
      <c r="Y57" t="s">
        <v>175</v>
      </c>
      <c r="Z57">
        <v>3.1040501337188425E-3</v>
      </c>
      <c r="AB57" t="s">
        <v>32</v>
      </c>
      <c r="AC57" t="s">
        <v>175</v>
      </c>
      <c r="AD57">
        <v>4.9046905118869111E-2</v>
      </c>
      <c r="AK57">
        <v>3.5388127853881279E-3</v>
      </c>
      <c r="AL57">
        <v>3.3910946473410734E-3</v>
      </c>
      <c r="AM57" t="s">
        <v>175</v>
      </c>
      <c r="AN57" t="s">
        <v>8</v>
      </c>
      <c r="AQ57" t="s">
        <v>175</v>
      </c>
      <c r="AR57" t="s">
        <v>274</v>
      </c>
      <c r="AS57" t="s">
        <v>253</v>
      </c>
      <c r="AT57" t="s">
        <v>238</v>
      </c>
      <c r="AU57">
        <v>0.8</v>
      </c>
      <c r="AX57" s="2">
        <f t="shared" ca="1" si="1"/>
        <v>0.86</v>
      </c>
    </row>
    <row r="58" spans="9:50" x14ac:dyDescent="0.25">
      <c r="I58" t="s">
        <v>254</v>
      </c>
      <c r="J58" t="s">
        <v>176</v>
      </c>
      <c r="K58">
        <v>1.8033283723330696E-3</v>
      </c>
      <c r="L58" t="s">
        <v>31</v>
      </c>
      <c r="N58" t="s">
        <v>264</v>
      </c>
      <c r="O58" t="s">
        <v>176</v>
      </c>
      <c r="P58">
        <v>8.9611251838574105E-3</v>
      </c>
      <c r="Q58" t="s">
        <v>31</v>
      </c>
      <c r="S58" t="s">
        <v>270</v>
      </c>
      <c r="T58" t="s">
        <v>176</v>
      </c>
      <c r="U58">
        <v>8.5043540499805774E-3</v>
      </c>
      <c r="V58" t="s">
        <v>31</v>
      </c>
      <c r="X58" t="s">
        <v>6</v>
      </c>
      <c r="Y58" t="s">
        <v>176</v>
      </c>
      <c r="Z58">
        <v>7.1828388708489264E-3</v>
      </c>
      <c r="AB58" t="s">
        <v>32</v>
      </c>
      <c r="AC58" t="s">
        <v>176</v>
      </c>
      <c r="AD58">
        <v>7.0948034473980792E-2</v>
      </c>
      <c r="AK58">
        <v>1.0616438356164383E-2</v>
      </c>
      <c r="AL58">
        <v>5.1380221929410216E-3</v>
      </c>
      <c r="AM58" t="s">
        <v>176</v>
      </c>
      <c r="AN58" t="s">
        <v>8</v>
      </c>
      <c r="AQ58" t="s">
        <v>176</v>
      </c>
      <c r="AR58" t="s">
        <v>274</v>
      </c>
      <c r="AS58" t="s">
        <v>253</v>
      </c>
      <c r="AT58" t="s">
        <v>238</v>
      </c>
      <c r="AU58">
        <v>0.7</v>
      </c>
      <c r="AX58" s="2">
        <f t="shared" ca="1" si="1"/>
        <v>0.82</v>
      </c>
    </row>
    <row r="59" spans="9:50" x14ac:dyDescent="0.25">
      <c r="I59" t="s">
        <v>254</v>
      </c>
      <c r="J59" t="s">
        <v>177</v>
      </c>
      <c r="K59">
        <v>0</v>
      </c>
      <c r="L59" t="s">
        <v>31</v>
      </c>
      <c r="N59" t="s">
        <v>264</v>
      </c>
      <c r="O59" t="s">
        <v>177</v>
      </c>
      <c r="P59">
        <v>1.0828131920841673E-2</v>
      </c>
      <c r="Q59" t="s">
        <v>31</v>
      </c>
      <c r="S59" t="s">
        <v>270</v>
      </c>
      <c r="T59" t="s">
        <v>177</v>
      </c>
      <c r="U59">
        <v>1.0202462590122146E-2</v>
      </c>
      <c r="V59" t="s">
        <v>31</v>
      </c>
      <c r="X59" t="s">
        <v>6</v>
      </c>
      <c r="Y59" t="s">
        <v>177</v>
      </c>
      <c r="Z59">
        <v>1.1769034568936449E-2</v>
      </c>
      <c r="AB59" t="s">
        <v>32</v>
      </c>
      <c r="AC59" t="s">
        <v>177</v>
      </c>
      <c r="AD59">
        <v>0.19048494024607154</v>
      </c>
      <c r="AK59">
        <v>1.7694063926940638E-2</v>
      </c>
      <c r="AL59">
        <v>2.7539798954163875E-3</v>
      </c>
      <c r="AM59" t="s">
        <v>177</v>
      </c>
      <c r="AN59" t="s">
        <v>8</v>
      </c>
      <c r="AQ59" t="s">
        <v>177</v>
      </c>
      <c r="AR59" t="s">
        <v>274</v>
      </c>
      <c r="AS59" t="s">
        <v>253</v>
      </c>
      <c r="AT59" t="s">
        <v>238</v>
      </c>
      <c r="AU59">
        <v>0.84</v>
      </c>
      <c r="AX59" s="2">
        <f t="shared" ca="1" si="1"/>
        <v>0.73</v>
      </c>
    </row>
    <row r="60" spans="9:50" x14ac:dyDescent="0.25">
      <c r="I60" t="s">
        <v>254</v>
      </c>
      <c r="J60" t="s">
        <v>178</v>
      </c>
      <c r="K60">
        <v>6.0886653577635742E-4</v>
      </c>
      <c r="L60" t="s">
        <v>31</v>
      </c>
      <c r="N60" t="s">
        <v>264</v>
      </c>
      <c r="O60" t="s">
        <v>178</v>
      </c>
      <c r="P60">
        <v>2.1798138102531498E-3</v>
      </c>
      <c r="Q60" t="s">
        <v>31</v>
      </c>
      <c r="S60" t="s">
        <v>270</v>
      </c>
      <c r="T60" t="s">
        <v>178</v>
      </c>
      <c r="U60">
        <v>2.210818457484655E-3</v>
      </c>
      <c r="V60" t="s">
        <v>31</v>
      </c>
      <c r="X60" t="s">
        <v>6</v>
      </c>
      <c r="Y60" t="s">
        <v>178</v>
      </c>
      <c r="Z60">
        <v>3.1968510763847715E-3</v>
      </c>
      <c r="AB60" t="s">
        <v>32</v>
      </c>
      <c r="AC60" t="s">
        <v>178</v>
      </c>
      <c r="AD60">
        <v>8.3220953579669743E-2</v>
      </c>
      <c r="AK60">
        <v>3.5388127853881279E-3</v>
      </c>
      <c r="AL60">
        <v>1.7880317231434744E-3</v>
      </c>
      <c r="AM60" t="s">
        <v>178</v>
      </c>
      <c r="AN60" t="s">
        <v>8</v>
      </c>
      <c r="AQ60" t="s">
        <v>178</v>
      </c>
      <c r="AR60" t="s">
        <v>274</v>
      </c>
      <c r="AS60" t="s">
        <v>253</v>
      </c>
      <c r="AT60" t="s">
        <v>238</v>
      </c>
      <c r="AU60">
        <v>0.86</v>
      </c>
      <c r="AX60" s="2">
        <f t="shared" ca="1" si="1"/>
        <v>0.9</v>
      </c>
    </row>
    <row r="61" spans="9:50" x14ac:dyDescent="0.25">
      <c r="I61" t="s">
        <v>254</v>
      </c>
      <c r="J61" t="s">
        <v>179</v>
      </c>
      <c r="K61">
        <v>7.9353716330898133E-2</v>
      </c>
      <c r="L61" t="s">
        <v>31</v>
      </c>
      <c r="N61" t="s">
        <v>264</v>
      </c>
      <c r="O61" t="s">
        <v>179</v>
      </c>
      <c r="P61">
        <v>1.8940340001646461E-2</v>
      </c>
      <c r="Q61" t="s">
        <v>31</v>
      </c>
      <c r="S61" t="s">
        <v>270</v>
      </c>
      <c r="T61" t="s">
        <v>179</v>
      </c>
      <c r="U61">
        <v>1.6864455331560578E-2</v>
      </c>
      <c r="V61" t="s">
        <v>31</v>
      </c>
      <c r="X61" t="s">
        <v>6</v>
      </c>
      <c r="Y61" t="s">
        <v>179</v>
      </c>
      <c r="Z61">
        <v>3.2223575987753272E-2</v>
      </c>
      <c r="AB61" t="s">
        <v>32</v>
      </c>
      <c r="AC61" t="s">
        <v>179</v>
      </c>
      <c r="AD61">
        <v>0.13302798794592263</v>
      </c>
      <c r="AK61">
        <v>3.1849315068493152E-2</v>
      </c>
      <c r="AL61">
        <v>4.2573651890709309E-2</v>
      </c>
      <c r="AM61" t="s">
        <v>179</v>
      </c>
      <c r="AN61" t="s">
        <v>8</v>
      </c>
      <c r="AQ61" t="s">
        <v>179</v>
      </c>
      <c r="AR61" t="s">
        <v>274</v>
      </c>
      <c r="AS61" t="s">
        <v>253</v>
      </c>
      <c r="AT61" t="s">
        <v>238</v>
      </c>
      <c r="AU61">
        <v>0.92</v>
      </c>
      <c r="AX61" s="2">
        <f t="shared" ca="1" si="1"/>
        <v>0.95</v>
      </c>
    </row>
    <row r="62" spans="9:50" x14ac:dyDescent="0.25">
      <c r="I62" t="s">
        <v>254</v>
      </c>
      <c r="J62" t="s">
        <v>180</v>
      </c>
      <c r="K62">
        <v>1.051366716307979E-2</v>
      </c>
      <c r="L62" t="s">
        <v>31</v>
      </c>
      <c r="N62" t="s">
        <v>264</v>
      </c>
      <c r="O62" t="s">
        <v>180</v>
      </c>
      <c r="P62">
        <v>2.0888380494942529E-3</v>
      </c>
      <c r="Q62" t="s">
        <v>31</v>
      </c>
      <c r="S62" t="s">
        <v>270</v>
      </c>
      <c r="T62" t="s">
        <v>180</v>
      </c>
      <c r="U62">
        <v>1.6669475385308668E-3</v>
      </c>
      <c r="V62" t="s">
        <v>31</v>
      </c>
      <c r="X62" t="s">
        <v>6</v>
      </c>
      <c r="Y62" t="s">
        <v>180</v>
      </c>
      <c r="Z62">
        <v>3.5826792587668973E-3</v>
      </c>
      <c r="AB62" t="s">
        <v>32</v>
      </c>
      <c r="AC62" t="s">
        <v>180</v>
      </c>
      <c r="AD62">
        <v>0.12222621383369714</v>
      </c>
      <c r="AK62">
        <v>3.5388127853881279E-3</v>
      </c>
      <c r="AL62">
        <v>5.3435430806586613E-3</v>
      </c>
      <c r="AM62" t="s">
        <v>180</v>
      </c>
      <c r="AN62" t="s">
        <v>8</v>
      </c>
      <c r="AQ62" t="s">
        <v>180</v>
      </c>
      <c r="AR62" t="s">
        <v>274</v>
      </c>
      <c r="AS62" t="s">
        <v>253</v>
      </c>
      <c r="AT62" t="s">
        <v>238</v>
      </c>
      <c r="AU62">
        <v>0.87</v>
      </c>
      <c r="AX62" s="2">
        <f t="shared" ca="1" si="1"/>
        <v>0.82</v>
      </c>
    </row>
    <row r="63" spans="9:50" x14ac:dyDescent="0.25">
      <c r="I63" t="s">
        <v>254</v>
      </c>
      <c r="J63" t="s">
        <v>181</v>
      </c>
      <c r="K63">
        <v>2.5529289669338068E-2</v>
      </c>
      <c r="L63" t="s">
        <v>31</v>
      </c>
      <c r="N63" t="s">
        <v>264</v>
      </c>
      <c r="O63" t="s">
        <v>181</v>
      </c>
      <c r="P63">
        <v>6.384001207595154E-3</v>
      </c>
      <c r="Q63" t="s">
        <v>31</v>
      </c>
      <c r="S63" t="s">
        <v>270</v>
      </c>
      <c r="T63" t="s">
        <v>181</v>
      </c>
      <c r="U63">
        <v>5.0301633097141838E-3</v>
      </c>
      <c r="V63" t="s">
        <v>31</v>
      </c>
      <c r="X63" t="s">
        <v>6</v>
      </c>
      <c r="Y63" t="s">
        <v>181</v>
      </c>
      <c r="Z63">
        <v>1.0443674380475474E-2</v>
      </c>
      <c r="AB63" t="s">
        <v>32</v>
      </c>
      <c r="AC63" t="s">
        <v>181</v>
      </c>
      <c r="AD63">
        <v>0.14218811713592494</v>
      </c>
      <c r="AK63">
        <v>1.0616438356164383E-2</v>
      </c>
      <c r="AL63">
        <v>1.9113442557740598E-2</v>
      </c>
      <c r="AM63" t="s">
        <v>181</v>
      </c>
      <c r="AN63" t="s">
        <v>8</v>
      </c>
      <c r="AQ63" t="s">
        <v>181</v>
      </c>
      <c r="AR63" t="s">
        <v>274</v>
      </c>
      <c r="AS63" t="s">
        <v>253</v>
      </c>
      <c r="AT63" t="s">
        <v>238</v>
      </c>
      <c r="AU63">
        <v>0.86</v>
      </c>
      <c r="AX63" s="2">
        <f t="shared" ca="1" si="1"/>
        <v>0.88</v>
      </c>
    </row>
    <row r="64" spans="9:50" x14ac:dyDescent="0.25">
      <c r="I64" t="s">
        <v>254</v>
      </c>
      <c r="J64" t="s">
        <v>182</v>
      </c>
      <c r="K64">
        <v>4.6391059379533011E-3</v>
      </c>
      <c r="L64" t="s">
        <v>31</v>
      </c>
      <c r="N64" t="s">
        <v>264</v>
      </c>
      <c r="O64" t="s">
        <v>182</v>
      </c>
      <c r="P64">
        <v>2.1959310017349138E-3</v>
      </c>
      <c r="Q64" t="s">
        <v>31</v>
      </c>
      <c r="S64" t="s">
        <v>270</v>
      </c>
      <c r="T64" t="s">
        <v>182</v>
      </c>
      <c r="U64">
        <v>1.8021776019594032E-3</v>
      </c>
      <c r="V64" t="s">
        <v>31</v>
      </c>
      <c r="X64" t="s">
        <v>6</v>
      </c>
      <c r="Y64" t="s">
        <v>182</v>
      </c>
      <c r="Z64">
        <v>3.3046036596121428E-3</v>
      </c>
      <c r="AB64" t="s">
        <v>32</v>
      </c>
      <c r="AC64" t="s">
        <v>182</v>
      </c>
      <c r="AD64">
        <v>7.4598899168520916E-2</v>
      </c>
      <c r="AK64">
        <v>3.5388127853881279E-3</v>
      </c>
      <c r="AL64">
        <v>4.8297408613645603E-3</v>
      </c>
      <c r="AM64" t="s">
        <v>182</v>
      </c>
      <c r="AN64" t="s">
        <v>8</v>
      </c>
      <c r="AQ64" t="s">
        <v>182</v>
      </c>
      <c r="AR64" t="s">
        <v>274</v>
      </c>
      <c r="AS64" t="s">
        <v>253</v>
      </c>
      <c r="AT64" t="s">
        <v>238</v>
      </c>
      <c r="AU64">
        <v>0.81</v>
      </c>
      <c r="AX64" s="2">
        <f t="shared" ca="1" si="1"/>
        <v>0.84</v>
      </c>
    </row>
    <row r="65" spans="9:50" x14ac:dyDescent="0.25">
      <c r="I65" t="s">
        <v>254</v>
      </c>
      <c r="J65" t="s">
        <v>183</v>
      </c>
      <c r="K65">
        <v>1.8105606074451286E-3</v>
      </c>
      <c r="L65" t="s">
        <v>31</v>
      </c>
      <c r="N65" t="s">
        <v>264</v>
      </c>
      <c r="O65" t="s">
        <v>183</v>
      </c>
      <c r="P65">
        <v>2.2178104383695925E-3</v>
      </c>
      <c r="Q65" t="s">
        <v>31</v>
      </c>
      <c r="S65" t="s">
        <v>270</v>
      </c>
      <c r="T65" t="s">
        <v>183</v>
      </c>
      <c r="U65">
        <v>1.9695517183469509E-3</v>
      </c>
      <c r="V65" t="s">
        <v>31</v>
      </c>
      <c r="X65" t="s">
        <v>6</v>
      </c>
      <c r="Y65" t="s">
        <v>183</v>
      </c>
      <c r="Z65">
        <v>3.0860863497889088E-3</v>
      </c>
      <c r="AB65" t="s">
        <v>32</v>
      </c>
      <c r="AC65" t="s">
        <v>183</v>
      </c>
      <c r="AD65">
        <v>7.6812039312039282E-2</v>
      </c>
      <c r="AK65">
        <v>3.5388127853881279E-3</v>
      </c>
      <c r="AL65">
        <v>3.3910946473410734E-3</v>
      </c>
      <c r="AM65" t="s">
        <v>183</v>
      </c>
      <c r="AN65" t="s">
        <v>8</v>
      </c>
      <c r="AQ65" t="s">
        <v>183</v>
      </c>
      <c r="AR65" t="s">
        <v>274</v>
      </c>
      <c r="AS65" t="s">
        <v>253</v>
      </c>
      <c r="AT65" t="s">
        <v>238</v>
      </c>
      <c r="AU65">
        <v>0.84</v>
      </c>
      <c r="AX65" s="2">
        <f t="shared" ca="1" si="1"/>
        <v>0.86</v>
      </c>
    </row>
    <row r="66" spans="9:50" x14ac:dyDescent="0.25">
      <c r="I66" t="s">
        <v>254</v>
      </c>
      <c r="J66" t="s">
        <v>184</v>
      </c>
      <c r="K66">
        <v>0</v>
      </c>
      <c r="L66" t="s">
        <v>31</v>
      </c>
      <c r="N66" t="s">
        <v>264</v>
      </c>
      <c r="O66" t="s">
        <v>184</v>
      </c>
      <c r="P66">
        <v>6.4915635787050601E-3</v>
      </c>
      <c r="Q66" t="s">
        <v>31</v>
      </c>
      <c r="S66" t="s">
        <v>270</v>
      </c>
      <c r="T66" t="s">
        <v>184</v>
      </c>
      <c r="U66">
        <v>6.8272411038891711E-3</v>
      </c>
      <c r="V66" t="s">
        <v>31</v>
      </c>
      <c r="X66" t="s">
        <v>6</v>
      </c>
      <c r="Y66" t="s">
        <v>184</v>
      </c>
      <c r="Z66">
        <v>7.1800170407158078E-3</v>
      </c>
      <c r="AB66" t="s">
        <v>32</v>
      </c>
      <c r="AC66" t="s">
        <v>184</v>
      </c>
      <c r="AD66">
        <v>8.6677737239548636E-2</v>
      </c>
      <c r="AK66">
        <v>1.0616438356164383E-2</v>
      </c>
      <c r="AL66">
        <v>5.1380221929410216E-3</v>
      </c>
      <c r="AM66" t="s">
        <v>184</v>
      </c>
      <c r="AN66" t="s">
        <v>8</v>
      </c>
      <c r="AQ66" t="s">
        <v>184</v>
      </c>
      <c r="AR66" t="s">
        <v>274</v>
      </c>
      <c r="AS66" t="s">
        <v>253</v>
      </c>
      <c r="AT66" t="s">
        <v>238</v>
      </c>
      <c r="AU66">
        <v>0.8</v>
      </c>
      <c r="AX66" s="2">
        <f t="shared" ca="1" si="1"/>
        <v>0.79</v>
      </c>
    </row>
    <row r="67" spans="9:50" x14ac:dyDescent="0.25">
      <c r="I67" t="s">
        <v>254</v>
      </c>
      <c r="J67" t="s">
        <v>185</v>
      </c>
      <c r="K67">
        <v>0</v>
      </c>
      <c r="L67" t="s">
        <v>31</v>
      </c>
      <c r="N67" t="s">
        <v>264</v>
      </c>
      <c r="O67" t="s">
        <v>185</v>
      </c>
      <c r="P67">
        <v>1.3414713041431431E-2</v>
      </c>
      <c r="Q67" t="s">
        <v>31</v>
      </c>
      <c r="S67" t="s">
        <v>270</v>
      </c>
      <c r="T67" t="s">
        <v>185</v>
      </c>
      <c r="U67">
        <v>1.2231130477103983E-2</v>
      </c>
      <c r="V67" t="s">
        <v>31</v>
      </c>
      <c r="X67" t="s">
        <v>6</v>
      </c>
      <c r="Y67" t="s">
        <v>185</v>
      </c>
      <c r="Z67">
        <v>1.2479406550232053E-2</v>
      </c>
      <c r="AB67" t="s">
        <v>32</v>
      </c>
      <c r="AC67" t="s">
        <v>185</v>
      </c>
      <c r="AD67">
        <v>0.18108543793659315</v>
      </c>
      <c r="AK67">
        <v>1.7123287671232876E-2</v>
      </c>
      <c r="AL67">
        <v>2.6651418342739236E-3</v>
      </c>
      <c r="AM67" t="s">
        <v>185</v>
      </c>
      <c r="AN67" t="s">
        <v>8</v>
      </c>
      <c r="AQ67" t="s">
        <v>185</v>
      </c>
      <c r="AR67" t="s">
        <v>274</v>
      </c>
      <c r="AS67" t="s">
        <v>253</v>
      </c>
      <c r="AT67" t="s">
        <v>238</v>
      </c>
      <c r="AU67">
        <v>0.83</v>
      </c>
      <c r="AX67" s="2">
        <f t="shared" ca="1" si="1"/>
        <v>0.84</v>
      </c>
    </row>
    <row r="68" spans="9:50" x14ac:dyDescent="0.25">
      <c r="I68" t="s">
        <v>254</v>
      </c>
      <c r="J68" t="s">
        <v>186</v>
      </c>
      <c r="K68">
        <v>0</v>
      </c>
      <c r="L68" t="s">
        <v>31</v>
      </c>
      <c r="N68" t="s">
        <v>264</v>
      </c>
      <c r="O68" t="s">
        <v>186</v>
      </c>
      <c r="P68">
        <v>2.7423572054086093E-3</v>
      </c>
      <c r="Q68" t="s">
        <v>31</v>
      </c>
      <c r="S68" t="s">
        <v>270</v>
      </c>
      <c r="T68" t="s">
        <v>186</v>
      </c>
      <c r="U68">
        <v>2.5414472883406227E-3</v>
      </c>
      <c r="V68" t="s">
        <v>31</v>
      </c>
      <c r="X68" t="s">
        <v>6</v>
      </c>
      <c r="Y68" t="s">
        <v>186</v>
      </c>
      <c r="Z68">
        <v>3.2085270479097765E-3</v>
      </c>
      <c r="AB68" t="s">
        <v>32</v>
      </c>
      <c r="AC68" t="s">
        <v>186</v>
      </c>
      <c r="AD68">
        <v>6.4311594202898448E-2</v>
      </c>
      <c r="AK68">
        <v>3.4246575342465752E-3</v>
      </c>
      <c r="AL68">
        <v>1.7303532804614269E-3</v>
      </c>
      <c r="AM68" t="s">
        <v>186</v>
      </c>
      <c r="AN68" t="s">
        <v>8</v>
      </c>
      <c r="AQ68" t="s">
        <v>186</v>
      </c>
      <c r="AR68" t="s">
        <v>274</v>
      </c>
      <c r="AS68" t="s">
        <v>253</v>
      </c>
      <c r="AT68" t="s">
        <v>238</v>
      </c>
      <c r="AU68">
        <v>0.84</v>
      </c>
      <c r="AX68" s="2">
        <f t="shared" ca="1" si="1"/>
        <v>0.76</v>
      </c>
    </row>
    <row r="69" spans="9:50" x14ac:dyDescent="0.25">
      <c r="I69" t="s">
        <v>254</v>
      </c>
      <c r="J69" t="s">
        <v>187</v>
      </c>
      <c r="K69">
        <v>6.4345262171371237E-2</v>
      </c>
      <c r="L69" t="s">
        <v>31</v>
      </c>
      <c r="N69" t="s">
        <v>264</v>
      </c>
      <c r="O69" t="s">
        <v>187</v>
      </c>
      <c r="P69">
        <v>2.4147570222827121E-2</v>
      </c>
      <c r="Q69" t="s">
        <v>31</v>
      </c>
      <c r="S69" t="s">
        <v>270</v>
      </c>
      <c r="T69" t="s">
        <v>187</v>
      </c>
      <c r="U69">
        <v>1.7622547037098448E-2</v>
      </c>
      <c r="V69" t="s">
        <v>31</v>
      </c>
      <c r="X69" t="s">
        <v>6</v>
      </c>
      <c r="Y69" t="s">
        <v>187</v>
      </c>
      <c r="Z69">
        <v>3.083751184846777E-2</v>
      </c>
      <c r="AB69" t="s">
        <v>32</v>
      </c>
      <c r="AC69" t="s">
        <v>187</v>
      </c>
      <c r="AD69">
        <v>7.0835240604223415E-2</v>
      </c>
      <c r="AK69">
        <v>3.0821917808219176E-2</v>
      </c>
      <c r="AL69">
        <v>4.1200308281331581E-2</v>
      </c>
      <c r="AM69" t="s">
        <v>187</v>
      </c>
      <c r="AN69" t="s">
        <v>8</v>
      </c>
      <c r="AQ69" t="s">
        <v>187</v>
      </c>
      <c r="AR69" t="s">
        <v>274</v>
      </c>
      <c r="AS69" t="s">
        <v>253</v>
      </c>
      <c r="AT69" t="s">
        <v>238</v>
      </c>
      <c r="AU69">
        <v>0.78</v>
      </c>
      <c r="AX69" s="2">
        <f t="shared" ca="1" si="1"/>
        <v>0.82</v>
      </c>
    </row>
    <row r="70" spans="9:50" x14ac:dyDescent="0.25">
      <c r="I70" t="s">
        <v>254</v>
      </c>
      <c r="J70" t="s">
        <v>188</v>
      </c>
      <c r="K70">
        <v>8.9574470643704138E-3</v>
      </c>
      <c r="L70" t="s">
        <v>31</v>
      </c>
      <c r="N70" t="s">
        <v>264</v>
      </c>
      <c r="O70" t="s">
        <v>188</v>
      </c>
      <c r="P70">
        <v>2.5723416999614622E-3</v>
      </c>
      <c r="Q70" t="s">
        <v>31</v>
      </c>
      <c r="S70" t="s">
        <v>270</v>
      </c>
      <c r="T70" t="s">
        <v>188</v>
      </c>
      <c r="U70">
        <v>1.8897334506337809E-3</v>
      </c>
      <c r="V70" t="s">
        <v>31</v>
      </c>
      <c r="X70" t="s">
        <v>6</v>
      </c>
      <c r="Y70" t="s">
        <v>188</v>
      </c>
      <c r="Z70">
        <v>3.3954168523638584E-3</v>
      </c>
      <c r="AB70" t="s">
        <v>32</v>
      </c>
      <c r="AC70" t="s">
        <v>188</v>
      </c>
      <c r="AD70">
        <v>6.3070900391474449E-2</v>
      </c>
      <c r="AK70">
        <v>3.4246575342465752E-3</v>
      </c>
      <c r="AL70">
        <v>5.1711707232180593E-3</v>
      </c>
      <c r="AM70" t="s">
        <v>188</v>
      </c>
      <c r="AN70" t="s">
        <v>8</v>
      </c>
      <c r="AQ70" t="s">
        <v>188</v>
      </c>
      <c r="AR70" t="s">
        <v>274</v>
      </c>
      <c r="AS70" t="s">
        <v>253</v>
      </c>
      <c r="AT70" t="s">
        <v>238</v>
      </c>
      <c r="AU70">
        <v>0.86</v>
      </c>
      <c r="AX70" s="2">
        <f t="shared" ca="1" si="1"/>
        <v>0.82</v>
      </c>
    </row>
    <row r="71" spans="9:50" x14ac:dyDescent="0.25">
      <c r="I71" t="s">
        <v>254</v>
      </c>
      <c r="J71" t="s">
        <v>189</v>
      </c>
      <c r="K71">
        <v>1.7932625613388081E-2</v>
      </c>
      <c r="L71" t="s">
        <v>31</v>
      </c>
      <c r="N71" t="s">
        <v>264</v>
      </c>
      <c r="O71" t="s">
        <v>189</v>
      </c>
      <c r="P71">
        <v>8.5989387221216494E-3</v>
      </c>
      <c r="Q71" t="s">
        <v>31</v>
      </c>
      <c r="S71" t="s">
        <v>270</v>
      </c>
      <c r="T71" t="s">
        <v>189</v>
      </c>
      <c r="U71">
        <v>6.8568953803538613E-3</v>
      </c>
      <c r="V71" t="s">
        <v>31</v>
      </c>
      <c r="X71" t="s">
        <v>6</v>
      </c>
      <c r="Y71" t="s">
        <v>189</v>
      </c>
      <c r="Z71">
        <v>1.0075759661711028E-2</v>
      </c>
      <c r="AB71" t="s">
        <v>32</v>
      </c>
      <c r="AC71" t="s">
        <v>189</v>
      </c>
      <c r="AD71">
        <v>6.8798223053542218E-2</v>
      </c>
      <c r="AK71">
        <v>1.0273972602739725E-2</v>
      </c>
      <c r="AL71">
        <v>1.8496879894587679E-2</v>
      </c>
      <c r="AM71" t="s">
        <v>189</v>
      </c>
      <c r="AN71" t="s">
        <v>8</v>
      </c>
      <c r="AQ71" t="s">
        <v>189</v>
      </c>
      <c r="AR71" t="s">
        <v>274</v>
      </c>
      <c r="AS71" t="s">
        <v>253</v>
      </c>
      <c r="AT71" t="s">
        <v>238</v>
      </c>
      <c r="AU71">
        <v>0.79</v>
      </c>
      <c r="AX71" s="2">
        <f t="shared" ca="1" si="1"/>
        <v>0.88</v>
      </c>
    </row>
    <row r="72" spans="9:50" x14ac:dyDescent="0.25">
      <c r="I72" t="s">
        <v>254</v>
      </c>
      <c r="J72" t="s">
        <v>190</v>
      </c>
      <c r="K72">
        <v>1.1273184373715762E-3</v>
      </c>
      <c r="L72" t="s">
        <v>31</v>
      </c>
      <c r="N72" t="s">
        <v>264</v>
      </c>
      <c r="O72" t="s">
        <v>190</v>
      </c>
      <c r="P72">
        <v>3.0455539504721314E-3</v>
      </c>
      <c r="Q72" t="s">
        <v>31</v>
      </c>
      <c r="S72" t="s">
        <v>270</v>
      </c>
      <c r="T72" t="s">
        <v>190</v>
      </c>
      <c r="U72">
        <v>2.7487812191153474E-3</v>
      </c>
      <c r="V72" t="s">
        <v>31</v>
      </c>
      <c r="X72" t="s">
        <v>6</v>
      </c>
      <c r="Y72" t="s">
        <v>190</v>
      </c>
      <c r="Z72">
        <v>3.168821521688763E-3</v>
      </c>
      <c r="AB72" t="s">
        <v>32</v>
      </c>
      <c r="AC72" t="s">
        <v>190</v>
      </c>
      <c r="AD72">
        <v>4.5385318306427225E-2</v>
      </c>
      <c r="AK72">
        <v>3.4246575342465752E-3</v>
      </c>
      <c r="AL72">
        <v>4.6739427690624773E-3</v>
      </c>
      <c r="AM72" t="s">
        <v>190</v>
      </c>
      <c r="AN72" t="s">
        <v>8</v>
      </c>
      <c r="AQ72" t="s">
        <v>190</v>
      </c>
      <c r="AR72" t="s">
        <v>274</v>
      </c>
      <c r="AS72" t="s">
        <v>253</v>
      </c>
      <c r="AT72" t="s">
        <v>238</v>
      </c>
      <c r="AU72">
        <v>0.88</v>
      </c>
      <c r="AX72" s="2">
        <f t="shared" ca="1" si="1"/>
        <v>0.76</v>
      </c>
    </row>
    <row r="73" spans="9:50" x14ac:dyDescent="0.25">
      <c r="I73" t="s">
        <v>254</v>
      </c>
      <c r="J73" t="s">
        <v>191</v>
      </c>
      <c r="K73">
        <v>0</v>
      </c>
      <c r="L73" t="s">
        <v>31</v>
      </c>
      <c r="N73" t="s">
        <v>264</v>
      </c>
      <c r="O73" t="s">
        <v>191</v>
      </c>
      <c r="P73">
        <v>3.0500856393189386E-3</v>
      </c>
      <c r="Q73" t="s">
        <v>31</v>
      </c>
      <c r="S73" t="s">
        <v>270</v>
      </c>
      <c r="T73" t="s">
        <v>191</v>
      </c>
      <c r="U73">
        <v>2.8119450739076336E-3</v>
      </c>
      <c r="V73" t="s">
        <v>31</v>
      </c>
      <c r="X73" t="s">
        <v>6</v>
      </c>
      <c r="Y73" t="s">
        <v>191</v>
      </c>
      <c r="Z73">
        <v>3.0313582515994601E-3</v>
      </c>
      <c r="AB73" t="s">
        <v>32</v>
      </c>
      <c r="AC73" t="s">
        <v>191</v>
      </c>
      <c r="AD73">
        <v>5.7625840507760984E-2</v>
      </c>
      <c r="AK73">
        <v>3.4246575342465752E-3</v>
      </c>
      <c r="AL73">
        <v>3.2817044974268452E-3</v>
      </c>
      <c r="AM73" t="s">
        <v>191</v>
      </c>
      <c r="AN73" t="s">
        <v>8</v>
      </c>
      <c r="AQ73" t="s">
        <v>191</v>
      </c>
      <c r="AR73" t="s">
        <v>274</v>
      </c>
      <c r="AS73" t="s">
        <v>253</v>
      </c>
      <c r="AT73" t="s">
        <v>238</v>
      </c>
      <c r="AU73">
        <v>0.9</v>
      </c>
      <c r="AX73" s="2">
        <f t="shared" ca="1" si="1"/>
        <v>0.95</v>
      </c>
    </row>
    <row r="74" spans="9:50" x14ac:dyDescent="0.25">
      <c r="I74" t="s">
        <v>254</v>
      </c>
      <c r="J74" t="s">
        <v>192</v>
      </c>
      <c r="K74">
        <v>0</v>
      </c>
      <c r="L74" t="s">
        <v>31</v>
      </c>
      <c r="N74" t="s">
        <v>264</v>
      </c>
      <c r="O74" t="s">
        <v>192</v>
      </c>
      <c r="P74">
        <v>8.8989408350922498E-3</v>
      </c>
      <c r="Q74" t="s">
        <v>31</v>
      </c>
      <c r="S74" t="s">
        <v>270</v>
      </c>
      <c r="T74" t="s">
        <v>192</v>
      </c>
      <c r="U74">
        <v>8.4397239728012316E-3</v>
      </c>
      <c r="V74" t="s">
        <v>31</v>
      </c>
      <c r="X74" t="s">
        <v>6</v>
      </c>
      <c r="Y74" t="s">
        <v>192</v>
      </c>
      <c r="Z74">
        <v>7.52173591644624E-3</v>
      </c>
      <c r="AB74" t="s">
        <v>32</v>
      </c>
      <c r="AC74" t="s">
        <v>192</v>
      </c>
      <c r="AD74">
        <v>0.11650832202300165</v>
      </c>
      <c r="AK74">
        <v>1.0273972602739725E-2</v>
      </c>
      <c r="AL74">
        <v>4.9722795415558275E-3</v>
      </c>
      <c r="AM74" t="s">
        <v>192</v>
      </c>
      <c r="AN74" t="s">
        <v>8</v>
      </c>
      <c r="AQ74" t="s">
        <v>192</v>
      </c>
      <c r="AR74" t="s">
        <v>274</v>
      </c>
      <c r="AS74" t="s">
        <v>253</v>
      </c>
      <c r="AT74" t="s">
        <v>238</v>
      </c>
      <c r="AU74">
        <v>0.79</v>
      </c>
      <c r="AX74" s="2">
        <f t="shared" ca="1" si="1"/>
        <v>0.77</v>
      </c>
    </row>
    <row r="75" spans="9:50" x14ac:dyDescent="0.25">
      <c r="I75" t="s">
        <v>254</v>
      </c>
      <c r="J75" t="s">
        <v>193</v>
      </c>
      <c r="K75">
        <v>0</v>
      </c>
      <c r="L75" t="s">
        <v>31</v>
      </c>
      <c r="N75" t="s">
        <v>264</v>
      </c>
      <c r="O75" t="s">
        <v>193</v>
      </c>
      <c r="P75">
        <v>2.0943324799647056E-2</v>
      </c>
      <c r="Q75" t="s">
        <v>31</v>
      </c>
      <c r="S75" t="s">
        <v>270</v>
      </c>
      <c r="T75" t="s">
        <v>193</v>
      </c>
      <c r="U75">
        <v>2.3799790409075382E-2</v>
      </c>
      <c r="V75" t="s">
        <v>31</v>
      </c>
      <c r="X75" t="s">
        <v>6</v>
      </c>
      <c r="Y75" t="s">
        <v>193</v>
      </c>
      <c r="Z75">
        <v>1.4531792155247624E-2</v>
      </c>
      <c r="AB75" t="s">
        <v>32</v>
      </c>
      <c r="AC75" t="s">
        <v>193</v>
      </c>
      <c r="AD75">
        <v>0.18651348267063317</v>
      </c>
      <c r="AK75">
        <v>1.7694063926940638E-2</v>
      </c>
      <c r="AL75">
        <v>2.7539798954163875E-3</v>
      </c>
      <c r="AM75" t="s">
        <v>193</v>
      </c>
      <c r="AN75" t="s">
        <v>8</v>
      </c>
      <c r="AQ75" t="s">
        <v>193</v>
      </c>
      <c r="AR75" t="s">
        <v>274</v>
      </c>
      <c r="AS75" t="s">
        <v>253</v>
      </c>
      <c r="AT75" t="s">
        <v>238</v>
      </c>
      <c r="AU75">
        <v>0.85</v>
      </c>
      <c r="AX75" s="2">
        <f t="shared" ca="1" si="1"/>
        <v>0.95</v>
      </c>
    </row>
    <row r="76" spans="9:50" x14ac:dyDescent="0.25">
      <c r="I76" t="s">
        <v>254</v>
      </c>
      <c r="J76" t="s">
        <v>194</v>
      </c>
      <c r="K76">
        <v>0</v>
      </c>
      <c r="L76" t="s">
        <v>31</v>
      </c>
      <c r="N76" t="s">
        <v>264</v>
      </c>
      <c r="O76" t="s">
        <v>194</v>
      </c>
      <c r="P76">
        <v>4.1796499292267144E-3</v>
      </c>
      <c r="Q76" t="s">
        <v>31</v>
      </c>
      <c r="S76" t="s">
        <v>270</v>
      </c>
      <c r="T76" t="s">
        <v>194</v>
      </c>
      <c r="U76">
        <v>4.6943549359922216E-3</v>
      </c>
      <c r="V76" t="s">
        <v>31</v>
      </c>
      <c r="X76" t="s">
        <v>6</v>
      </c>
      <c r="Y76" t="s">
        <v>194</v>
      </c>
      <c r="Z76">
        <v>3.4369611769699262E-3</v>
      </c>
      <c r="AB76" t="s">
        <v>32</v>
      </c>
      <c r="AC76" t="s">
        <v>194</v>
      </c>
      <c r="AD76">
        <v>7.1312480396909184E-2</v>
      </c>
      <c r="AK76">
        <v>3.5388127853881279E-3</v>
      </c>
      <c r="AL76">
        <v>1.7880317231434744E-3</v>
      </c>
      <c r="AM76" t="s">
        <v>194</v>
      </c>
      <c r="AN76" t="s">
        <v>8</v>
      </c>
      <c r="AQ76" t="s">
        <v>194</v>
      </c>
      <c r="AR76" t="s">
        <v>274</v>
      </c>
      <c r="AS76" t="s">
        <v>253</v>
      </c>
      <c r="AT76" t="s">
        <v>238</v>
      </c>
      <c r="AU76">
        <v>0.78</v>
      </c>
      <c r="AX76" s="2">
        <f t="shared" ca="1" si="1"/>
        <v>0.8</v>
      </c>
    </row>
    <row r="77" spans="9:50" x14ac:dyDescent="0.25">
      <c r="I77" t="s">
        <v>254</v>
      </c>
      <c r="J77" t="s">
        <v>195</v>
      </c>
      <c r="K77">
        <v>2.8660929714589219E-2</v>
      </c>
      <c r="L77" t="s">
        <v>31</v>
      </c>
      <c r="N77" t="s">
        <v>264</v>
      </c>
      <c r="O77" t="s">
        <v>195</v>
      </c>
      <c r="P77">
        <v>3.8594145638266464E-2</v>
      </c>
      <c r="Q77" t="s">
        <v>31</v>
      </c>
      <c r="S77" t="s">
        <v>270</v>
      </c>
      <c r="T77" t="s">
        <v>195</v>
      </c>
      <c r="U77">
        <v>4.0906031707432434E-2</v>
      </c>
      <c r="V77" t="s">
        <v>31</v>
      </c>
      <c r="X77" t="s">
        <v>6</v>
      </c>
      <c r="Y77" t="s">
        <v>195</v>
      </c>
      <c r="Z77">
        <v>3.3008975782873033E-2</v>
      </c>
      <c r="AB77" t="s">
        <v>32</v>
      </c>
      <c r="AC77" t="s">
        <v>195</v>
      </c>
      <c r="AD77">
        <v>5.4249646316247624E-2</v>
      </c>
      <c r="AK77">
        <v>3.1849315068493152E-2</v>
      </c>
      <c r="AL77">
        <v>4.2573651890709309E-2</v>
      </c>
      <c r="AM77" t="s">
        <v>195</v>
      </c>
      <c r="AN77" t="s">
        <v>8</v>
      </c>
      <c r="AQ77" t="s">
        <v>195</v>
      </c>
      <c r="AR77" t="s">
        <v>274</v>
      </c>
      <c r="AS77" t="s">
        <v>253</v>
      </c>
      <c r="AT77" t="s">
        <v>238</v>
      </c>
      <c r="AU77">
        <v>0.85</v>
      </c>
      <c r="AX77" s="2">
        <f t="shared" ca="1" si="1"/>
        <v>0.94</v>
      </c>
    </row>
    <row r="78" spans="9:50" x14ac:dyDescent="0.25">
      <c r="I78" t="s">
        <v>254</v>
      </c>
      <c r="J78" t="s">
        <v>196</v>
      </c>
      <c r="K78">
        <v>4.2748600280489643E-3</v>
      </c>
      <c r="L78" t="s">
        <v>31</v>
      </c>
      <c r="N78" t="s">
        <v>264</v>
      </c>
      <c r="O78" t="s">
        <v>196</v>
      </c>
      <c r="P78">
        <v>4.1977833399114931E-3</v>
      </c>
      <c r="Q78" t="s">
        <v>31</v>
      </c>
      <c r="S78" t="s">
        <v>270</v>
      </c>
      <c r="T78" t="s">
        <v>196</v>
      </c>
      <c r="U78">
        <v>4.4645975669885072E-3</v>
      </c>
      <c r="V78" t="s">
        <v>31</v>
      </c>
      <c r="X78" t="s">
        <v>6</v>
      </c>
      <c r="Y78" t="s">
        <v>196</v>
      </c>
      <c r="Z78">
        <v>3.6936779413299283E-3</v>
      </c>
      <c r="AB78" t="s">
        <v>32</v>
      </c>
      <c r="AC78" t="s">
        <v>196</v>
      </c>
      <c r="AD78">
        <v>4.0437395117198127E-2</v>
      </c>
      <c r="AK78">
        <v>3.5388127853881279E-3</v>
      </c>
      <c r="AL78">
        <v>5.3435430806586613E-3</v>
      </c>
      <c r="AM78" t="s">
        <v>196</v>
      </c>
      <c r="AN78" t="s">
        <v>8</v>
      </c>
      <c r="AQ78" t="s">
        <v>196</v>
      </c>
      <c r="AR78" t="s">
        <v>274</v>
      </c>
      <c r="AS78" t="s">
        <v>253</v>
      </c>
      <c r="AT78" t="s">
        <v>238</v>
      </c>
      <c r="AU78">
        <v>0.94</v>
      </c>
      <c r="AX78" s="2">
        <f t="shared" ca="1" si="1"/>
        <v>0.75</v>
      </c>
    </row>
    <row r="79" spans="9:50" x14ac:dyDescent="0.25">
      <c r="I79" t="s">
        <v>254</v>
      </c>
      <c r="J79" t="s">
        <v>197</v>
      </c>
      <c r="K79">
        <v>4.8297163299620303E-3</v>
      </c>
      <c r="L79" t="s">
        <v>31</v>
      </c>
      <c r="N79" t="s">
        <v>264</v>
      </c>
      <c r="O79" t="s">
        <v>197</v>
      </c>
      <c r="P79">
        <v>1.2688605625850254E-2</v>
      </c>
      <c r="Q79" t="s">
        <v>31</v>
      </c>
      <c r="S79" t="s">
        <v>270</v>
      </c>
      <c r="T79" t="s">
        <v>197</v>
      </c>
      <c r="U79">
        <v>1.4970527701678138E-2</v>
      </c>
      <c r="V79" t="s">
        <v>31</v>
      </c>
      <c r="X79" t="s">
        <v>6</v>
      </c>
      <c r="Y79" t="s">
        <v>197</v>
      </c>
      <c r="Z79">
        <v>1.1021201703442948E-2</v>
      </c>
      <c r="AB79" t="s">
        <v>32</v>
      </c>
      <c r="AC79" t="s">
        <v>197</v>
      </c>
      <c r="AD79">
        <v>5.8033894620519888E-2</v>
      </c>
      <c r="AK79">
        <v>1.0616438356164383E-2</v>
      </c>
      <c r="AL79">
        <v>1.9113442557740598E-2</v>
      </c>
      <c r="AM79" t="s">
        <v>197</v>
      </c>
      <c r="AN79" t="s">
        <v>8</v>
      </c>
      <c r="AQ79" t="s">
        <v>197</v>
      </c>
      <c r="AR79" t="s">
        <v>274</v>
      </c>
      <c r="AS79" t="s">
        <v>253</v>
      </c>
      <c r="AT79" t="s">
        <v>238</v>
      </c>
      <c r="AU79">
        <v>0.88</v>
      </c>
      <c r="AX79" s="2">
        <f t="shared" ca="1" si="1"/>
        <v>0.84</v>
      </c>
    </row>
    <row r="80" spans="9:50" x14ac:dyDescent="0.25">
      <c r="I80" t="s">
        <v>254</v>
      </c>
      <c r="J80" t="s">
        <v>198</v>
      </c>
      <c r="K80">
        <v>0</v>
      </c>
      <c r="L80" t="s">
        <v>31</v>
      </c>
      <c r="N80" t="s">
        <v>264</v>
      </c>
      <c r="O80" t="s">
        <v>198</v>
      </c>
      <c r="P80">
        <v>4.186646365032653E-3</v>
      </c>
      <c r="Q80" t="s">
        <v>31</v>
      </c>
      <c r="S80" t="s">
        <v>270</v>
      </c>
      <c r="T80" t="s">
        <v>198</v>
      </c>
      <c r="U80">
        <v>5.2364436962856111E-3</v>
      </c>
      <c r="V80" t="s">
        <v>31</v>
      </c>
      <c r="X80" t="s">
        <v>6</v>
      </c>
      <c r="Y80" t="s">
        <v>198</v>
      </c>
      <c r="Z80">
        <v>3.5152769045506843E-3</v>
      </c>
      <c r="AB80" t="s">
        <v>32</v>
      </c>
      <c r="AC80" t="s">
        <v>198</v>
      </c>
      <c r="AD80">
        <v>5.3250287573997745E-2</v>
      </c>
      <c r="AK80">
        <v>3.5388127853881279E-3</v>
      </c>
      <c r="AL80">
        <v>4.8297408613645603E-3</v>
      </c>
      <c r="AM80" t="s">
        <v>198</v>
      </c>
      <c r="AN80" t="s">
        <v>8</v>
      </c>
      <c r="AQ80" t="s">
        <v>198</v>
      </c>
      <c r="AR80" t="s">
        <v>274</v>
      </c>
      <c r="AS80" t="s">
        <v>253</v>
      </c>
      <c r="AT80" t="s">
        <v>238</v>
      </c>
      <c r="AU80">
        <v>0.94</v>
      </c>
      <c r="AX80" s="2">
        <f t="shared" ca="1" si="1"/>
        <v>0.83</v>
      </c>
    </row>
    <row r="81" spans="9:50" x14ac:dyDescent="0.25">
      <c r="I81" t="s">
        <v>254</v>
      </c>
      <c r="J81" t="s">
        <v>199</v>
      </c>
      <c r="K81">
        <v>0</v>
      </c>
      <c r="L81" t="s">
        <v>31</v>
      </c>
      <c r="N81" t="s">
        <v>264</v>
      </c>
      <c r="O81" t="s">
        <v>199</v>
      </c>
      <c r="P81">
        <v>4.1856555676755497E-3</v>
      </c>
      <c r="Q81" t="s">
        <v>31</v>
      </c>
      <c r="S81" t="s">
        <v>270</v>
      </c>
      <c r="T81" t="s">
        <v>199</v>
      </c>
      <c r="U81">
        <v>5.1790920461977068E-3</v>
      </c>
      <c r="V81" t="s">
        <v>31</v>
      </c>
      <c r="X81" t="s">
        <v>6</v>
      </c>
      <c r="Y81" t="s">
        <v>199</v>
      </c>
      <c r="Z81">
        <v>3.2851217680764633E-3</v>
      </c>
      <c r="AB81" t="s">
        <v>32</v>
      </c>
      <c r="AC81" t="s">
        <v>199</v>
      </c>
      <c r="AD81">
        <v>6.1568812201872714E-2</v>
      </c>
      <c r="AK81">
        <v>3.5388127853881279E-3</v>
      </c>
      <c r="AL81">
        <v>3.3910946473410734E-3</v>
      </c>
      <c r="AM81" t="s">
        <v>199</v>
      </c>
      <c r="AN81" t="s">
        <v>8</v>
      </c>
      <c r="AQ81" t="s">
        <v>199</v>
      </c>
      <c r="AR81" t="s">
        <v>274</v>
      </c>
      <c r="AS81" t="s">
        <v>253</v>
      </c>
      <c r="AT81" t="s">
        <v>238</v>
      </c>
      <c r="AU81">
        <v>0.89</v>
      </c>
      <c r="AX81" s="2">
        <f t="shared" ca="1" si="1"/>
        <v>0.8</v>
      </c>
    </row>
    <row r="82" spans="9:50" x14ac:dyDescent="0.25">
      <c r="I82" t="s">
        <v>254</v>
      </c>
      <c r="J82" t="s">
        <v>200</v>
      </c>
      <c r="K82">
        <v>0</v>
      </c>
      <c r="L82" t="s">
        <v>31</v>
      </c>
      <c r="N82" t="s">
        <v>264</v>
      </c>
      <c r="O82" t="s">
        <v>200</v>
      </c>
      <c r="P82">
        <v>1.302626194222594E-2</v>
      </c>
      <c r="Q82" t="s">
        <v>31</v>
      </c>
      <c r="S82" t="s">
        <v>270</v>
      </c>
      <c r="T82" t="s">
        <v>200</v>
      </c>
      <c r="U82">
        <v>1.5148143155734907E-2</v>
      </c>
      <c r="V82" t="s">
        <v>31</v>
      </c>
      <c r="X82" t="s">
        <v>6</v>
      </c>
      <c r="Y82" t="s">
        <v>200</v>
      </c>
      <c r="Z82">
        <v>8.5823239842190962E-3</v>
      </c>
      <c r="AB82" t="s">
        <v>32</v>
      </c>
      <c r="AC82" t="s">
        <v>200</v>
      </c>
      <c r="AD82">
        <v>0.10288590314079582</v>
      </c>
      <c r="AK82">
        <v>1.0616438356164383E-2</v>
      </c>
      <c r="AL82">
        <v>5.1380221929410216E-3</v>
      </c>
      <c r="AM82" t="s">
        <v>200</v>
      </c>
      <c r="AN82" t="s">
        <v>8</v>
      </c>
      <c r="AQ82" t="s">
        <v>200</v>
      </c>
      <c r="AR82" t="s">
        <v>274</v>
      </c>
      <c r="AS82" t="s">
        <v>253</v>
      </c>
      <c r="AT82" t="s">
        <v>238</v>
      </c>
      <c r="AU82">
        <v>0.91</v>
      </c>
      <c r="AX82" s="2">
        <f t="shared" ca="1" si="1"/>
        <v>0.75</v>
      </c>
    </row>
    <row r="83" spans="9:50" x14ac:dyDescent="0.25">
      <c r="I83" t="s">
        <v>254</v>
      </c>
      <c r="J83" t="s">
        <v>201</v>
      </c>
      <c r="K83">
        <v>0</v>
      </c>
      <c r="L83" t="s">
        <v>31</v>
      </c>
      <c r="N83" t="s">
        <v>264</v>
      </c>
      <c r="O83" t="s">
        <v>201</v>
      </c>
      <c r="P83">
        <v>2.3025577895510151E-2</v>
      </c>
      <c r="Q83" t="s">
        <v>31</v>
      </c>
      <c r="S83" t="s">
        <v>270</v>
      </c>
      <c r="T83" t="s">
        <v>201</v>
      </c>
      <c r="U83">
        <v>2.8958185146315298E-2</v>
      </c>
      <c r="V83" t="s">
        <v>31</v>
      </c>
      <c r="X83" t="s">
        <v>6</v>
      </c>
      <c r="Y83" t="s">
        <v>201</v>
      </c>
      <c r="Z83">
        <v>1.5033124372636795E-2</v>
      </c>
      <c r="AB83" t="s">
        <v>32</v>
      </c>
      <c r="AC83" t="s">
        <v>201</v>
      </c>
      <c r="AD83">
        <v>0.15444548610231323</v>
      </c>
      <c r="AK83">
        <v>1.7123287671232876E-2</v>
      </c>
      <c r="AL83">
        <v>2.6651418342739236E-3</v>
      </c>
      <c r="AM83" t="s">
        <v>201</v>
      </c>
      <c r="AN83" t="s">
        <v>8</v>
      </c>
      <c r="AQ83" t="s">
        <v>201</v>
      </c>
      <c r="AR83" t="s">
        <v>274</v>
      </c>
      <c r="AS83" t="s">
        <v>253</v>
      </c>
      <c r="AT83" t="s">
        <v>238</v>
      </c>
      <c r="AU83">
        <v>0.85</v>
      </c>
      <c r="AX83" s="2">
        <f t="shared" ca="1" si="1"/>
        <v>0.78</v>
      </c>
    </row>
    <row r="84" spans="9:50" x14ac:dyDescent="0.25">
      <c r="I84" t="s">
        <v>254</v>
      </c>
      <c r="J84" t="s">
        <v>202</v>
      </c>
      <c r="K84">
        <v>0</v>
      </c>
      <c r="L84" t="s">
        <v>31</v>
      </c>
      <c r="N84" t="s">
        <v>264</v>
      </c>
      <c r="O84" t="s">
        <v>202</v>
      </c>
      <c r="P84">
        <v>4.3629421465161983E-3</v>
      </c>
      <c r="Q84" t="s">
        <v>31</v>
      </c>
      <c r="S84" t="s">
        <v>270</v>
      </c>
      <c r="T84" t="s">
        <v>202</v>
      </c>
      <c r="U84">
        <v>5.3142948607101973E-3</v>
      </c>
      <c r="V84" t="s">
        <v>31</v>
      </c>
      <c r="X84" t="s">
        <v>6</v>
      </c>
      <c r="Y84" t="s">
        <v>202</v>
      </c>
      <c r="Z84">
        <v>3.4906763138438132E-3</v>
      </c>
      <c r="AB84" t="s">
        <v>32</v>
      </c>
      <c r="AC84" t="s">
        <v>202</v>
      </c>
      <c r="AD84">
        <v>7.5792531829445453E-2</v>
      </c>
      <c r="AK84">
        <v>3.4246575342465752E-3</v>
      </c>
      <c r="AL84">
        <v>1.7303532804614269E-3</v>
      </c>
      <c r="AM84" t="s">
        <v>202</v>
      </c>
      <c r="AN84" t="s">
        <v>8</v>
      </c>
      <c r="AQ84" t="s">
        <v>202</v>
      </c>
      <c r="AR84" t="s">
        <v>274</v>
      </c>
      <c r="AS84" t="s">
        <v>253</v>
      </c>
      <c r="AT84" t="s">
        <v>238</v>
      </c>
      <c r="AU84">
        <v>0.81</v>
      </c>
      <c r="AX84" s="2">
        <f t="shared" ca="1" si="1"/>
        <v>0.74</v>
      </c>
    </row>
    <row r="85" spans="9:50" x14ac:dyDescent="0.25">
      <c r="I85" t="s">
        <v>254</v>
      </c>
      <c r="J85" t="s">
        <v>203</v>
      </c>
      <c r="K85">
        <v>1.2092888687475101E-2</v>
      </c>
      <c r="L85" t="s">
        <v>31</v>
      </c>
      <c r="N85" t="s">
        <v>264</v>
      </c>
      <c r="O85" t="s">
        <v>203</v>
      </c>
      <c r="P85">
        <v>3.9423359964118589E-2</v>
      </c>
      <c r="Q85" t="s">
        <v>31</v>
      </c>
      <c r="S85" t="s">
        <v>270</v>
      </c>
      <c r="T85" t="s">
        <v>203</v>
      </c>
      <c r="U85">
        <v>4.6413437525458401E-2</v>
      </c>
      <c r="V85" t="s">
        <v>31</v>
      </c>
      <c r="X85" t="s">
        <v>6</v>
      </c>
      <c r="Y85" t="s">
        <v>203</v>
      </c>
      <c r="Z85">
        <v>3.2780313939305285E-2</v>
      </c>
      <c r="AB85" t="s">
        <v>32</v>
      </c>
      <c r="AC85" t="s">
        <v>203</v>
      </c>
      <c r="AD85">
        <v>4.7047814815383004E-2</v>
      </c>
      <c r="AK85">
        <v>3.0821917808219176E-2</v>
      </c>
      <c r="AL85">
        <v>4.1200308281331581E-2</v>
      </c>
      <c r="AM85" t="s">
        <v>203</v>
      </c>
      <c r="AN85" t="s">
        <v>8</v>
      </c>
      <c r="AQ85" t="s">
        <v>203</v>
      </c>
      <c r="AR85" t="s">
        <v>274</v>
      </c>
      <c r="AS85" t="s">
        <v>253</v>
      </c>
      <c r="AT85" t="s">
        <v>238</v>
      </c>
      <c r="AU85">
        <v>0.93</v>
      </c>
      <c r="AX85" s="2">
        <f t="shared" ca="1" si="1"/>
        <v>0.93</v>
      </c>
    </row>
    <row r="86" spans="9:50" x14ac:dyDescent="0.25">
      <c r="I86" t="s">
        <v>254</v>
      </c>
      <c r="J86" t="s">
        <v>204</v>
      </c>
      <c r="K86">
        <v>1.5947187723850151E-3</v>
      </c>
      <c r="L86" t="s">
        <v>31</v>
      </c>
      <c r="N86" t="s">
        <v>264</v>
      </c>
      <c r="O86" t="s">
        <v>204</v>
      </c>
      <c r="P86">
        <v>4.546909942324315E-3</v>
      </c>
      <c r="Q86" t="s">
        <v>31</v>
      </c>
      <c r="S86" t="s">
        <v>270</v>
      </c>
      <c r="T86" t="s">
        <v>204</v>
      </c>
      <c r="U86">
        <v>5.0234571329943892E-3</v>
      </c>
      <c r="V86" t="s">
        <v>31</v>
      </c>
      <c r="X86" t="s">
        <v>6</v>
      </c>
      <c r="Y86" t="s">
        <v>204</v>
      </c>
      <c r="Z86">
        <v>3.7080982988057778E-3</v>
      </c>
      <c r="AB86" t="s">
        <v>32</v>
      </c>
      <c r="AC86" t="s">
        <v>204</v>
      </c>
      <c r="AD86">
        <v>2.4334414257296322E-2</v>
      </c>
      <c r="AK86">
        <v>3.4246575342465752E-3</v>
      </c>
      <c r="AL86">
        <v>5.1711707232180593E-3</v>
      </c>
      <c r="AM86" t="s">
        <v>204</v>
      </c>
      <c r="AN86" t="s">
        <v>8</v>
      </c>
      <c r="AQ86" t="s">
        <v>204</v>
      </c>
      <c r="AR86" t="s">
        <v>274</v>
      </c>
      <c r="AS86" t="s">
        <v>253</v>
      </c>
      <c r="AT86" t="s">
        <v>238</v>
      </c>
      <c r="AU86">
        <v>0.84</v>
      </c>
      <c r="AX86" s="2">
        <f t="shared" ca="1" si="1"/>
        <v>0.94</v>
      </c>
    </row>
    <row r="87" spans="9:50" x14ac:dyDescent="0.25">
      <c r="I87" t="s">
        <v>254</v>
      </c>
      <c r="J87" t="s">
        <v>205</v>
      </c>
      <c r="K87">
        <v>2.5946071685456224E-4</v>
      </c>
      <c r="L87" t="s">
        <v>31</v>
      </c>
      <c r="N87" t="s">
        <v>264</v>
      </c>
      <c r="O87" t="s">
        <v>205</v>
      </c>
      <c r="P87">
        <v>1.4181559015853468E-2</v>
      </c>
      <c r="Q87" t="s">
        <v>31</v>
      </c>
      <c r="S87" t="s">
        <v>270</v>
      </c>
      <c r="T87" t="s">
        <v>205</v>
      </c>
      <c r="U87">
        <v>1.5714467189976634E-2</v>
      </c>
      <c r="V87" t="s">
        <v>31</v>
      </c>
      <c r="X87" t="s">
        <v>6</v>
      </c>
      <c r="Y87" t="s">
        <v>205</v>
      </c>
      <c r="Z87">
        <v>1.1064052029047521E-2</v>
      </c>
      <c r="AB87" t="s">
        <v>32</v>
      </c>
      <c r="AC87" t="s">
        <v>205</v>
      </c>
      <c r="AD87">
        <v>2.8444793025143467E-2</v>
      </c>
      <c r="AK87">
        <v>1.0273972602739725E-2</v>
      </c>
      <c r="AL87">
        <v>1.8496879894587679E-2</v>
      </c>
      <c r="AM87" t="s">
        <v>205</v>
      </c>
      <c r="AN87" t="s">
        <v>8</v>
      </c>
      <c r="AQ87" t="s">
        <v>205</v>
      </c>
      <c r="AR87" t="s">
        <v>274</v>
      </c>
      <c r="AS87" t="s">
        <v>253</v>
      </c>
      <c r="AT87" t="s">
        <v>238</v>
      </c>
      <c r="AU87">
        <v>0.8</v>
      </c>
      <c r="AX87" s="2">
        <f t="shared" ca="1" si="1"/>
        <v>0.84</v>
      </c>
    </row>
    <row r="88" spans="9:50" x14ac:dyDescent="0.25">
      <c r="I88" t="s">
        <v>254</v>
      </c>
      <c r="J88" t="s">
        <v>206</v>
      </c>
      <c r="K88">
        <v>0</v>
      </c>
      <c r="L88" t="s">
        <v>31</v>
      </c>
      <c r="N88" t="s">
        <v>264</v>
      </c>
      <c r="O88" t="s">
        <v>206</v>
      </c>
      <c r="P88">
        <v>4.8982633655495697E-3</v>
      </c>
      <c r="Q88" t="s">
        <v>31</v>
      </c>
      <c r="S88" t="s">
        <v>270</v>
      </c>
      <c r="T88" t="s">
        <v>206</v>
      </c>
      <c r="U88">
        <v>5.6749011620939628E-3</v>
      </c>
      <c r="V88" t="s">
        <v>31</v>
      </c>
      <c r="X88" t="s">
        <v>6</v>
      </c>
      <c r="Y88" t="s">
        <v>206</v>
      </c>
      <c r="Z88">
        <v>3.6366283516079531E-3</v>
      </c>
      <c r="AB88" t="s">
        <v>32</v>
      </c>
      <c r="AC88" t="s">
        <v>206</v>
      </c>
      <c r="AD88">
        <v>3.1651693158258443E-2</v>
      </c>
      <c r="AK88">
        <v>3.4246575342465752E-3</v>
      </c>
      <c r="AL88">
        <v>4.6739427690624773E-3</v>
      </c>
      <c r="AM88" t="s">
        <v>206</v>
      </c>
      <c r="AN88" t="s">
        <v>8</v>
      </c>
      <c r="AQ88" t="s">
        <v>206</v>
      </c>
      <c r="AR88" t="s">
        <v>274</v>
      </c>
      <c r="AS88" t="s">
        <v>253</v>
      </c>
      <c r="AT88" t="s">
        <v>238</v>
      </c>
      <c r="AU88">
        <v>0.87</v>
      </c>
      <c r="AX88" s="2">
        <f t="shared" ca="1" si="1"/>
        <v>0.89</v>
      </c>
    </row>
    <row r="89" spans="9:50" x14ac:dyDescent="0.25">
      <c r="I89" t="s">
        <v>254</v>
      </c>
      <c r="J89" t="s">
        <v>207</v>
      </c>
      <c r="K89">
        <v>0</v>
      </c>
      <c r="L89" t="s">
        <v>31</v>
      </c>
      <c r="N89" t="s">
        <v>264</v>
      </c>
      <c r="O89" t="s">
        <v>207</v>
      </c>
      <c r="P89">
        <v>4.8974972987533187E-3</v>
      </c>
      <c r="Q89" t="s">
        <v>31</v>
      </c>
      <c r="S89" t="s">
        <v>270</v>
      </c>
      <c r="T89" t="s">
        <v>207</v>
      </c>
      <c r="U89">
        <v>5.9069574416429089E-3</v>
      </c>
      <c r="V89" t="s">
        <v>31</v>
      </c>
      <c r="X89" t="s">
        <v>6</v>
      </c>
      <c r="Y89" t="s">
        <v>207</v>
      </c>
      <c r="Z89">
        <v>3.4442619228475251E-3</v>
      </c>
      <c r="AB89" t="s">
        <v>32</v>
      </c>
      <c r="AC89" t="s">
        <v>207</v>
      </c>
      <c r="AD89">
        <v>3.3649698015530527E-2</v>
      </c>
      <c r="AK89">
        <v>3.4246575342465752E-3</v>
      </c>
      <c r="AL89">
        <v>3.2817044974268452E-3</v>
      </c>
      <c r="AM89" t="s">
        <v>207</v>
      </c>
      <c r="AN89" t="s">
        <v>8</v>
      </c>
      <c r="AQ89" t="s">
        <v>207</v>
      </c>
      <c r="AR89" t="s">
        <v>274</v>
      </c>
      <c r="AS89" t="s">
        <v>253</v>
      </c>
      <c r="AT89" t="s">
        <v>238</v>
      </c>
      <c r="AU89">
        <v>0.75</v>
      </c>
      <c r="AX89" s="2">
        <f t="shared" ca="1" si="1"/>
        <v>0.86</v>
      </c>
    </row>
    <row r="90" spans="9:50" x14ac:dyDescent="0.25">
      <c r="I90" t="s">
        <v>254</v>
      </c>
      <c r="J90" t="s">
        <v>208</v>
      </c>
      <c r="K90">
        <v>0</v>
      </c>
      <c r="L90" t="s">
        <v>31</v>
      </c>
      <c r="N90" t="s">
        <v>264</v>
      </c>
      <c r="O90" t="s">
        <v>208</v>
      </c>
      <c r="P90">
        <v>1.4381622889702992E-2</v>
      </c>
      <c r="Q90" t="s">
        <v>31</v>
      </c>
      <c r="S90" t="s">
        <v>270</v>
      </c>
      <c r="T90" t="s">
        <v>208</v>
      </c>
      <c r="U90">
        <v>1.7397707841916896E-2</v>
      </c>
      <c r="V90" t="s">
        <v>31</v>
      </c>
      <c r="X90" t="s">
        <v>6</v>
      </c>
      <c r="Y90" t="s">
        <v>208</v>
      </c>
      <c r="Z90">
        <v>9.2879827664992809E-3</v>
      </c>
      <c r="AB90" t="s">
        <v>32</v>
      </c>
      <c r="AC90" t="s">
        <v>208</v>
      </c>
      <c r="AD90">
        <v>6.8691235945758544E-2</v>
      </c>
      <c r="AK90">
        <v>1.0273972602739725E-2</v>
      </c>
      <c r="AL90">
        <v>4.9722795415558275E-3</v>
      </c>
      <c r="AM90" t="s">
        <v>208</v>
      </c>
      <c r="AN90" t="s">
        <v>8</v>
      </c>
      <c r="AQ90" t="s">
        <v>208</v>
      </c>
      <c r="AR90" t="s">
        <v>274</v>
      </c>
      <c r="AS90" t="s">
        <v>253</v>
      </c>
      <c r="AT90" t="s">
        <v>238</v>
      </c>
      <c r="AU90">
        <v>0.94</v>
      </c>
      <c r="AX90" s="2">
        <f t="shared" ref="AX90:AX98" ca="1" si="2">RANDBETWEEN(70,95)/100</f>
        <v>0.71</v>
      </c>
    </row>
    <row r="91" spans="9:50" x14ac:dyDescent="0.25">
      <c r="I91" t="s">
        <v>254</v>
      </c>
      <c r="J91" t="s">
        <v>209</v>
      </c>
      <c r="K91">
        <v>0</v>
      </c>
      <c r="L91" t="s">
        <v>31</v>
      </c>
      <c r="N91" t="s">
        <v>264</v>
      </c>
      <c r="O91" t="s">
        <v>209</v>
      </c>
      <c r="P91">
        <v>2.8072250885638337E-2</v>
      </c>
      <c r="Q91" t="s">
        <v>31</v>
      </c>
      <c r="S91" t="s">
        <v>270</v>
      </c>
      <c r="T91" t="s">
        <v>209</v>
      </c>
      <c r="U91">
        <v>3.4015179399169891E-2</v>
      </c>
      <c r="V91" t="s">
        <v>31</v>
      </c>
      <c r="X91" t="s">
        <v>6</v>
      </c>
      <c r="Y91" t="s">
        <v>209</v>
      </c>
      <c r="Z91">
        <v>1.6818171731056177E-2</v>
      </c>
      <c r="AB91" t="s">
        <v>32</v>
      </c>
      <c r="AC91" t="s">
        <v>209</v>
      </c>
      <c r="AD91">
        <v>0.15496439701248277</v>
      </c>
      <c r="AK91">
        <v>1.7694063926940638E-2</v>
      </c>
      <c r="AL91">
        <v>2.7539798954163875E-3</v>
      </c>
      <c r="AM91" t="s">
        <v>209</v>
      </c>
      <c r="AN91" t="s">
        <v>8</v>
      </c>
      <c r="AQ91" t="s">
        <v>209</v>
      </c>
      <c r="AR91" t="s">
        <v>274</v>
      </c>
      <c r="AS91" t="s">
        <v>253</v>
      </c>
      <c r="AT91" t="s">
        <v>238</v>
      </c>
      <c r="AU91">
        <v>0.8</v>
      </c>
      <c r="AX91" s="2">
        <f t="shared" ca="1" si="2"/>
        <v>0.72</v>
      </c>
    </row>
    <row r="92" spans="9:50" x14ac:dyDescent="0.25">
      <c r="I92" t="s">
        <v>254</v>
      </c>
      <c r="J92" t="s">
        <v>210</v>
      </c>
      <c r="K92">
        <v>0</v>
      </c>
      <c r="L92" t="s">
        <v>31</v>
      </c>
      <c r="N92" t="s">
        <v>264</v>
      </c>
      <c r="O92" t="s">
        <v>210</v>
      </c>
      <c r="P92">
        <v>5.5896667703824411E-3</v>
      </c>
      <c r="Q92" t="s">
        <v>31</v>
      </c>
      <c r="S92" t="s">
        <v>270</v>
      </c>
      <c r="T92" t="s">
        <v>210</v>
      </c>
      <c r="U92">
        <v>6.9068301300158601E-3</v>
      </c>
      <c r="V92" t="s">
        <v>31</v>
      </c>
      <c r="X92" t="s">
        <v>6</v>
      </c>
      <c r="Y92" t="s">
        <v>210</v>
      </c>
      <c r="Z92">
        <v>3.9065868799424489E-3</v>
      </c>
      <c r="AB92" t="s">
        <v>32</v>
      </c>
      <c r="AC92" t="s">
        <v>210</v>
      </c>
      <c r="AD92">
        <v>5.6754013895755628E-2</v>
      </c>
      <c r="AK92">
        <v>3.5388127853881279E-3</v>
      </c>
      <c r="AL92">
        <v>1.7880317231434744E-3</v>
      </c>
      <c r="AM92" t="s">
        <v>210</v>
      </c>
      <c r="AN92" t="s">
        <v>8</v>
      </c>
      <c r="AQ92" t="s">
        <v>210</v>
      </c>
      <c r="AR92" t="s">
        <v>274</v>
      </c>
      <c r="AS92" t="s">
        <v>253</v>
      </c>
      <c r="AT92" t="s">
        <v>238</v>
      </c>
      <c r="AU92">
        <v>0.7</v>
      </c>
      <c r="AX92" s="2">
        <f t="shared" ca="1" si="2"/>
        <v>0.81</v>
      </c>
    </row>
    <row r="93" spans="9:50" x14ac:dyDescent="0.25">
      <c r="I93" t="s">
        <v>254</v>
      </c>
      <c r="J93" t="s">
        <v>211</v>
      </c>
      <c r="K93">
        <v>4.5263023002266442E-3</v>
      </c>
      <c r="L93" t="s">
        <v>31</v>
      </c>
      <c r="N93" t="s">
        <v>264</v>
      </c>
      <c r="O93" t="s">
        <v>211</v>
      </c>
      <c r="P93">
        <v>5.2160498067877814E-2</v>
      </c>
      <c r="Q93" t="s">
        <v>31</v>
      </c>
      <c r="S93" t="s">
        <v>270</v>
      </c>
      <c r="T93" t="s">
        <v>211</v>
      </c>
      <c r="U93">
        <v>6.2051860447976441E-2</v>
      </c>
      <c r="V93" t="s">
        <v>31</v>
      </c>
      <c r="X93" t="s">
        <v>6</v>
      </c>
      <c r="Y93" t="s">
        <v>211</v>
      </c>
      <c r="Z93">
        <v>3.5563456793290427E-2</v>
      </c>
      <c r="AB93" t="s">
        <v>32</v>
      </c>
      <c r="AC93" t="s">
        <v>211</v>
      </c>
      <c r="AD93">
        <v>3.9812162964109721E-2</v>
      </c>
      <c r="AK93">
        <v>3.1849315068493152E-2</v>
      </c>
      <c r="AL93">
        <v>4.2573651890709309E-2</v>
      </c>
      <c r="AM93" t="s">
        <v>211</v>
      </c>
      <c r="AN93" t="s">
        <v>8</v>
      </c>
      <c r="AQ93" t="s">
        <v>211</v>
      </c>
      <c r="AR93" t="s">
        <v>274</v>
      </c>
      <c r="AS93" t="s">
        <v>253</v>
      </c>
      <c r="AT93" t="s">
        <v>238</v>
      </c>
      <c r="AU93">
        <v>0.82</v>
      </c>
      <c r="AX93" s="2">
        <f t="shared" ca="1" si="2"/>
        <v>0.71</v>
      </c>
    </row>
    <row r="94" spans="9:50" x14ac:dyDescent="0.25">
      <c r="I94" t="s">
        <v>254</v>
      </c>
      <c r="J94" t="s">
        <v>212</v>
      </c>
      <c r="K94">
        <v>6.3906024040864611E-4</v>
      </c>
      <c r="L94" t="s">
        <v>31</v>
      </c>
      <c r="N94" t="s">
        <v>264</v>
      </c>
      <c r="O94" t="s">
        <v>212</v>
      </c>
      <c r="P94">
        <v>5.7232433259009723E-3</v>
      </c>
      <c r="Q94" t="s">
        <v>31</v>
      </c>
      <c r="S94" t="s">
        <v>270</v>
      </c>
      <c r="T94" t="s">
        <v>212</v>
      </c>
      <c r="U94">
        <v>6.6994698073323845E-3</v>
      </c>
      <c r="V94" t="s">
        <v>31</v>
      </c>
      <c r="X94" t="s">
        <v>6</v>
      </c>
      <c r="Y94" t="s">
        <v>212</v>
      </c>
      <c r="Z94">
        <v>3.9965404341741938E-3</v>
      </c>
      <c r="AB94" t="s">
        <v>32</v>
      </c>
      <c r="AC94" t="s">
        <v>212</v>
      </c>
      <c r="AD94">
        <v>1.6783503044568437E-2</v>
      </c>
      <c r="AK94">
        <v>3.5388127853881279E-3</v>
      </c>
      <c r="AL94">
        <v>5.3435430806586613E-3</v>
      </c>
      <c r="AM94" t="s">
        <v>212</v>
      </c>
      <c r="AN94" t="s">
        <v>8</v>
      </c>
      <c r="AQ94" t="s">
        <v>212</v>
      </c>
      <c r="AR94" t="s">
        <v>274</v>
      </c>
      <c r="AS94" t="s">
        <v>253</v>
      </c>
      <c r="AT94" t="s">
        <v>238</v>
      </c>
      <c r="AU94">
        <v>0.95</v>
      </c>
      <c r="AX94" s="2">
        <f t="shared" ca="1" si="2"/>
        <v>0.78</v>
      </c>
    </row>
    <row r="95" spans="9:50" x14ac:dyDescent="0.25">
      <c r="I95" t="s">
        <v>254</v>
      </c>
      <c r="J95" t="s">
        <v>213</v>
      </c>
      <c r="K95">
        <v>0</v>
      </c>
      <c r="L95" t="s">
        <v>31</v>
      </c>
      <c r="N95" t="s">
        <v>264</v>
      </c>
      <c r="O95" t="s">
        <v>213</v>
      </c>
      <c r="P95">
        <v>1.7713351772220418E-2</v>
      </c>
      <c r="Q95" t="s">
        <v>31</v>
      </c>
      <c r="S95" t="s">
        <v>270</v>
      </c>
      <c r="T95" t="s">
        <v>213</v>
      </c>
      <c r="U95">
        <v>2.1047393680301358E-2</v>
      </c>
      <c r="V95" t="s">
        <v>31</v>
      </c>
      <c r="X95" t="s">
        <v>6</v>
      </c>
      <c r="Y95" t="s">
        <v>213</v>
      </c>
      <c r="Z95">
        <v>1.1924586388884714E-2</v>
      </c>
      <c r="AB95" t="s">
        <v>32</v>
      </c>
      <c r="AC95" t="s">
        <v>213</v>
      </c>
      <c r="AD95">
        <v>2.0919140628344879E-2</v>
      </c>
      <c r="AK95">
        <v>1.0616438356164383E-2</v>
      </c>
      <c r="AL95">
        <v>1.9113442557740598E-2</v>
      </c>
      <c r="AM95" t="s">
        <v>213</v>
      </c>
      <c r="AN95" t="s">
        <v>8</v>
      </c>
      <c r="AQ95" t="s">
        <v>213</v>
      </c>
      <c r="AR95" t="s">
        <v>274</v>
      </c>
      <c r="AS95" t="s">
        <v>253</v>
      </c>
      <c r="AT95" t="s">
        <v>238</v>
      </c>
      <c r="AU95">
        <v>0.76</v>
      </c>
      <c r="AX95" s="2">
        <f t="shared" ca="1" si="2"/>
        <v>0.79</v>
      </c>
    </row>
    <row r="96" spans="9:50" x14ac:dyDescent="0.25">
      <c r="I96" t="s">
        <v>254</v>
      </c>
      <c r="J96" t="s">
        <v>214</v>
      </c>
      <c r="K96">
        <v>0</v>
      </c>
      <c r="L96" t="s">
        <v>31</v>
      </c>
      <c r="N96" t="s">
        <v>264</v>
      </c>
      <c r="O96" t="s">
        <v>214</v>
      </c>
      <c r="P96">
        <v>6.0051350434172949E-3</v>
      </c>
      <c r="Q96" t="s">
        <v>31</v>
      </c>
      <c r="S96" t="s">
        <v>270</v>
      </c>
      <c r="T96" t="s">
        <v>214</v>
      </c>
      <c r="U96">
        <v>7.3470933267043058E-3</v>
      </c>
      <c r="V96" t="s">
        <v>31</v>
      </c>
      <c r="X96" t="s">
        <v>6</v>
      </c>
      <c r="Y96" t="s">
        <v>214</v>
      </c>
      <c r="Z96">
        <v>3.8462070969649763E-3</v>
      </c>
      <c r="AB96" t="s">
        <v>32</v>
      </c>
      <c r="AC96" t="s">
        <v>214</v>
      </c>
      <c r="AD96">
        <v>1.516268295251133E-2</v>
      </c>
      <c r="AK96">
        <v>3.5388127853881279E-3</v>
      </c>
      <c r="AL96">
        <v>4.8297408613645603E-3</v>
      </c>
      <c r="AM96" t="s">
        <v>214</v>
      </c>
      <c r="AN96" t="s">
        <v>8</v>
      </c>
      <c r="AQ96" t="s">
        <v>214</v>
      </c>
      <c r="AR96" t="s">
        <v>274</v>
      </c>
      <c r="AS96" t="s">
        <v>253</v>
      </c>
      <c r="AT96" t="s">
        <v>238</v>
      </c>
      <c r="AU96">
        <v>0.93</v>
      </c>
      <c r="AX96" s="2">
        <f t="shared" ca="1" si="2"/>
        <v>0.9</v>
      </c>
    </row>
    <row r="97" spans="9:50" x14ac:dyDescent="0.25">
      <c r="I97" t="s">
        <v>254</v>
      </c>
      <c r="J97" t="s">
        <v>215</v>
      </c>
      <c r="K97">
        <v>0</v>
      </c>
      <c r="L97" t="s">
        <v>31</v>
      </c>
      <c r="N97" t="s">
        <v>264</v>
      </c>
      <c r="O97" t="s">
        <v>215</v>
      </c>
      <c r="P97">
        <v>5.980710060184042E-3</v>
      </c>
      <c r="Q97" t="s">
        <v>31</v>
      </c>
      <c r="S97" t="s">
        <v>270</v>
      </c>
      <c r="T97" t="s">
        <v>215</v>
      </c>
      <c r="U97">
        <v>7.3535563287540897E-3</v>
      </c>
      <c r="V97" t="s">
        <v>31</v>
      </c>
      <c r="X97" t="s">
        <v>6</v>
      </c>
      <c r="Y97" t="s">
        <v>215</v>
      </c>
      <c r="Z97">
        <v>3.6420659259459023E-3</v>
      </c>
      <c r="AB97" t="s">
        <v>32</v>
      </c>
      <c r="AC97" t="s">
        <v>215</v>
      </c>
      <c r="AD97">
        <v>1.7563087377044706E-2</v>
      </c>
      <c r="AK97">
        <v>3.5388127853881279E-3</v>
      </c>
      <c r="AL97">
        <v>3.3910946473410734E-3</v>
      </c>
      <c r="AM97" t="s">
        <v>215</v>
      </c>
      <c r="AN97" t="s">
        <v>8</v>
      </c>
      <c r="AQ97" t="s">
        <v>215</v>
      </c>
      <c r="AR97" t="s">
        <v>274</v>
      </c>
      <c r="AS97" t="s">
        <v>253</v>
      </c>
      <c r="AT97" t="s">
        <v>238</v>
      </c>
      <c r="AU97">
        <v>0.89</v>
      </c>
      <c r="AX97" s="2">
        <f t="shared" ca="1" si="2"/>
        <v>0.89</v>
      </c>
    </row>
    <row r="98" spans="9:50" x14ac:dyDescent="0.25">
      <c r="I98" t="s">
        <v>254</v>
      </c>
      <c r="J98" t="s">
        <v>216</v>
      </c>
      <c r="K98">
        <v>0</v>
      </c>
      <c r="L98" t="s">
        <v>31</v>
      </c>
      <c r="N98" t="s">
        <v>264</v>
      </c>
      <c r="O98" t="s">
        <v>216</v>
      </c>
      <c r="P98">
        <v>1.7593816799919105E-2</v>
      </c>
      <c r="Q98" t="s">
        <v>31</v>
      </c>
      <c r="S98" t="s">
        <v>270</v>
      </c>
      <c r="T98" t="s">
        <v>216</v>
      </c>
      <c r="U98">
        <v>2.1718373213278262E-2</v>
      </c>
      <c r="V98" t="s">
        <v>31</v>
      </c>
      <c r="X98" t="s">
        <v>6</v>
      </c>
      <c r="Y98" t="s">
        <v>216</v>
      </c>
      <c r="Z98">
        <v>1.0138933033800368E-2</v>
      </c>
      <c r="AB98" t="s">
        <v>32</v>
      </c>
      <c r="AC98" t="s">
        <v>216</v>
      </c>
      <c r="AD98">
        <v>4.4379753424393487E-2</v>
      </c>
      <c r="AK98">
        <v>1.0616438356164383E-2</v>
      </c>
      <c r="AL98">
        <v>5.1380221929410216E-3</v>
      </c>
      <c r="AM98" t="s">
        <v>216</v>
      </c>
      <c r="AN98" t="s">
        <v>8</v>
      </c>
      <c r="AQ98" t="s">
        <v>216</v>
      </c>
      <c r="AR98" t="s">
        <v>274</v>
      </c>
      <c r="AS98" t="s">
        <v>253</v>
      </c>
      <c r="AT98" t="s">
        <v>238</v>
      </c>
      <c r="AU98">
        <v>0.79</v>
      </c>
      <c r="AX98" s="2">
        <f t="shared" ca="1" si="2"/>
        <v>0.71</v>
      </c>
    </row>
    <row r="99" spans="9:50" x14ac:dyDescent="0.25">
      <c r="I99" t="s">
        <v>255</v>
      </c>
      <c r="J99" t="s">
        <v>121</v>
      </c>
      <c r="K99">
        <v>0</v>
      </c>
      <c r="L99" t="s">
        <v>31</v>
      </c>
      <c r="N99" t="s">
        <v>265</v>
      </c>
      <c r="O99" t="s">
        <v>121</v>
      </c>
      <c r="P99">
        <v>1.9486301938568304E-2</v>
      </c>
      <c r="Q99" t="s">
        <v>31</v>
      </c>
      <c r="X99" t="s">
        <v>5</v>
      </c>
      <c r="Y99" t="s">
        <v>121</v>
      </c>
      <c r="Z99">
        <v>1.7573439583804459E-2</v>
      </c>
    </row>
    <row r="100" spans="9:50" x14ac:dyDescent="0.25">
      <c r="I100" t="s">
        <v>255</v>
      </c>
      <c r="J100" t="s">
        <v>122</v>
      </c>
      <c r="K100">
        <v>0</v>
      </c>
      <c r="L100" t="s">
        <v>31</v>
      </c>
      <c r="N100" t="s">
        <v>265</v>
      </c>
      <c r="O100" t="s">
        <v>122</v>
      </c>
      <c r="P100">
        <v>3.9381276045911155E-3</v>
      </c>
      <c r="Q100" t="s">
        <v>31</v>
      </c>
      <c r="X100" t="s">
        <v>5</v>
      </c>
      <c r="Y100" t="s">
        <v>122</v>
      </c>
      <c r="Z100">
        <v>3.549030522775862E-3</v>
      </c>
    </row>
    <row r="101" spans="9:50" x14ac:dyDescent="0.25">
      <c r="I101" t="s">
        <v>255</v>
      </c>
      <c r="J101" t="s">
        <v>123</v>
      </c>
      <c r="K101">
        <v>8.244810902901795E-3</v>
      </c>
      <c r="L101" t="s">
        <v>31</v>
      </c>
      <c r="N101" t="s">
        <v>265</v>
      </c>
      <c r="O101" t="s">
        <v>123</v>
      </c>
      <c r="P101">
        <v>3.8022678670011856E-2</v>
      </c>
      <c r="Q101" t="s">
        <v>31</v>
      </c>
      <c r="X101" t="s">
        <v>5</v>
      </c>
      <c r="Y101" t="s">
        <v>123</v>
      </c>
      <c r="Z101">
        <v>3.2008138253697617E-2</v>
      </c>
    </row>
    <row r="102" spans="9:50" x14ac:dyDescent="0.25">
      <c r="I102" t="s">
        <v>255</v>
      </c>
      <c r="J102" t="s">
        <v>124</v>
      </c>
      <c r="K102">
        <v>1.4127396844557706E-3</v>
      </c>
      <c r="L102" t="s">
        <v>31</v>
      </c>
      <c r="N102" t="s">
        <v>265</v>
      </c>
      <c r="O102" t="s">
        <v>124</v>
      </c>
      <c r="P102">
        <v>4.3550582977948471E-3</v>
      </c>
      <c r="Q102" t="s">
        <v>31</v>
      </c>
      <c r="X102" t="s">
        <v>5</v>
      </c>
      <c r="Y102" t="s">
        <v>124</v>
      </c>
      <c r="Z102">
        <v>3.5595926097493078E-3</v>
      </c>
    </row>
    <row r="103" spans="9:50" x14ac:dyDescent="0.25">
      <c r="I103" t="s">
        <v>255</v>
      </c>
      <c r="J103" t="s">
        <v>125</v>
      </c>
      <c r="K103">
        <v>6.1816345125984083E-4</v>
      </c>
      <c r="L103" t="s">
        <v>31</v>
      </c>
      <c r="N103" t="s">
        <v>265</v>
      </c>
      <c r="O103" t="s">
        <v>125</v>
      </c>
      <c r="P103">
        <v>1.2544253680139162E-2</v>
      </c>
      <c r="Q103" t="s">
        <v>31</v>
      </c>
      <c r="X103" t="s">
        <v>5</v>
      </c>
      <c r="Y103" t="s">
        <v>125</v>
      </c>
      <c r="Z103">
        <v>1.0678471251817045E-2</v>
      </c>
    </row>
    <row r="104" spans="9:50" x14ac:dyDescent="0.25">
      <c r="I104" t="s">
        <v>255</v>
      </c>
      <c r="J104" t="s">
        <v>126</v>
      </c>
      <c r="K104">
        <v>0</v>
      </c>
      <c r="L104" t="s">
        <v>31</v>
      </c>
      <c r="N104" t="s">
        <v>265</v>
      </c>
      <c r="O104" t="s">
        <v>126</v>
      </c>
      <c r="P104">
        <v>4.0373607721423234E-3</v>
      </c>
      <c r="Q104" t="s">
        <v>31</v>
      </c>
      <c r="X104" t="s">
        <v>5</v>
      </c>
      <c r="Y104" t="s">
        <v>126</v>
      </c>
      <c r="Z104">
        <v>3.5562894851714701E-3</v>
      </c>
    </row>
    <row r="105" spans="9:50" x14ac:dyDescent="0.25">
      <c r="I105" t="s">
        <v>255</v>
      </c>
      <c r="J105" t="s">
        <v>127</v>
      </c>
      <c r="K105">
        <v>0</v>
      </c>
      <c r="L105" t="s">
        <v>31</v>
      </c>
      <c r="N105" t="s">
        <v>265</v>
      </c>
      <c r="O105" t="s">
        <v>127</v>
      </c>
      <c r="P105">
        <v>3.989705726542914E-3</v>
      </c>
      <c r="Q105" t="s">
        <v>31</v>
      </c>
      <c r="X105" t="s">
        <v>5</v>
      </c>
      <c r="Y105" t="s">
        <v>127</v>
      </c>
      <c r="Z105">
        <v>3.5440857255036491E-3</v>
      </c>
    </row>
    <row r="106" spans="9:50" x14ac:dyDescent="0.25">
      <c r="I106" t="s">
        <v>255</v>
      </c>
      <c r="J106" t="s">
        <v>128</v>
      </c>
      <c r="K106">
        <v>0</v>
      </c>
      <c r="L106" t="s">
        <v>31</v>
      </c>
      <c r="N106" t="s">
        <v>265</v>
      </c>
      <c r="O106" t="s">
        <v>128</v>
      </c>
      <c r="P106">
        <v>1.1854357155323816E-2</v>
      </c>
      <c r="Q106" t="s">
        <v>31</v>
      </c>
      <c r="X106" t="s">
        <v>5</v>
      </c>
      <c r="Y106" t="s">
        <v>128</v>
      </c>
      <c r="Z106">
        <v>1.0554198606771802E-2</v>
      </c>
    </row>
    <row r="107" spans="9:50" x14ac:dyDescent="0.25">
      <c r="I107" t="s">
        <v>255</v>
      </c>
      <c r="J107" t="s">
        <v>129</v>
      </c>
      <c r="K107">
        <v>0</v>
      </c>
      <c r="L107" t="s">
        <v>31</v>
      </c>
      <c r="N107" t="s">
        <v>265</v>
      </c>
      <c r="O107" t="s">
        <v>129</v>
      </c>
      <c r="P107">
        <v>1.1734981519040476E-2</v>
      </c>
      <c r="Q107" t="s">
        <v>31</v>
      </c>
      <c r="X107" t="s">
        <v>5</v>
      </c>
      <c r="Y107" t="s">
        <v>129</v>
      </c>
      <c r="Z107">
        <v>1.5916331913035826E-2</v>
      </c>
    </row>
    <row r="108" spans="9:50" x14ac:dyDescent="0.25">
      <c r="I108" t="s">
        <v>255</v>
      </c>
      <c r="J108" t="s">
        <v>130</v>
      </c>
      <c r="K108">
        <v>0</v>
      </c>
      <c r="L108" t="s">
        <v>31</v>
      </c>
      <c r="N108" t="s">
        <v>265</v>
      </c>
      <c r="O108" t="s">
        <v>130</v>
      </c>
      <c r="P108">
        <v>2.5275840666760139E-3</v>
      </c>
      <c r="Q108" t="s">
        <v>31</v>
      </c>
      <c r="X108" t="s">
        <v>5</v>
      </c>
      <c r="Y108" t="s">
        <v>130</v>
      </c>
      <c r="Z108">
        <v>3.2085184733168996E-3</v>
      </c>
    </row>
    <row r="109" spans="9:50" x14ac:dyDescent="0.25">
      <c r="I109" t="s">
        <v>255</v>
      </c>
      <c r="J109" t="s">
        <v>131</v>
      </c>
      <c r="K109">
        <v>2.0491651333539897E-2</v>
      </c>
      <c r="L109" t="s">
        <v>31</v>
      </c>
      <c r="N109" t="s">
        <v>265</v>
      </c>
      <c r="O109" t="s">
        <v>131</v>
      </c>
      <c r="P109">
        <v>2.3578225813490328E-2</v>
      </c>
      <c r="Q109" t="s">
        <v>31</v>
      </c>
      <c r="X109" t="s">
        <v>5</v>
      </c>
      <c r="Y109" t="s">
        <v>131</v>
      </c>
      <c r="Z109">
        <v>2.8854869593476187E-2</v>
      </c>
    </row>
    <row r="110" spans="9:50" x14ac:dyDescent="0.25">
      <c r="I110" t="s">
        <v>255</v>
      </c>
      <c r="J110" t="s">
        <v>132</v>
      </c>
      <c r="K110">
        <v>3.4699017702487403E-3</v>
      </c>
      <c r="L110" t="s">
        <v>31</v>
      </c>
      <c r="N110" t="s">
        <v>265</v>
      </c>
      <c r="O110" t="s">
        <v>132</v>
      </c>
      <c r="P110">
        <v>2.5927391848114757E-3</v>
      </c>
      <c r="Q110" t="s">
        <v>31</v>
      </c>
      <c r="X110" t="s">
        <v>5</v>
      </c>
      <c r="Y110" t="s">
        <v>132</v>
      </c>
      <c r="Z110">
        <v>3.2092305241240983E-3</v>
      </c>
    </row>
    <row r="111" spans="9:50" x14ac:dyDescent="0.25">
      <c r="I111" t="s">
        <v>255</v>
      </c>
      <c r="J111" t="s">
        <v>133</v>
      </c>
      <c r="K111">
        <v>3.6213769630866659E-3</v>
      </c>
      <c r="L111" t="s">
        <v>31</v>
      </c>
      <c r="N111" t="s">
        <v>265</v>
      </c>
      <c r="O111" t="s">
        <v>133</v>
      </c>
      <c r="P111">
        <v>7.7781360949354464E-3</v>
      </c>
      <c r="Q111" t="s">
        <v>31</v>
      </c>
      <c r="X111" t="s">
        <v>5</v>
      </c>
      <c r="Y111" t="s">
        <v>133</v>
      </c>
      <c r="Z111">
        <v>9.6277410203450178E-3</v>
      </c>
    </row>
    <row r="112" spans="9:50" x14ac:dyDescent="0.25">
      <c r="I112" t="s">
        <v>255</v>
      </c>
      <c r="J112" t="s">
        <v>134</v>
      </c>
      <c r="K112">
        <v>0</v>
      </c>
      <c r="L112" t="s">
        <v>31</v>
      </c>
      <c r="N112" t="s">
        <v>265</v>
      </c>
      <c r="O112" t="s">
        <v>134</v>
      </c>
      <c r="P112">
        <v>2.6011653609513755E-3</v>
      </c>
      <c r="Q112" t="s">
        <v>31</v>
      </c>
      <c r="X112" t="s">
        <v>5</v>
      </c>
      <c r="Y112" t="s">
        <v>134</v>
      </c>
      <c r="Z112">
        <v>3.2091711865568314E-3</v>
      </c>
    </row>
    <row r="113" spans="9:26" x14ac:dyDescent="0.25">
      <c r="I113" t="s">
        <v>255</v>
      </c>
      <c r="J113" t="s">
        <v>135</v>
      </c>
      <c r="K113">
        <v>0</v>
      </c>
      <c r="L113" t="s">
        <v>31</v>
      </c>
      <c r="N113" t="s">
        <v>265</v>
      </c>
      <c r="O113" t="s">
        <v>135</v>
      </c>
      <c r="P113">
        <v>2.5392959019223233E-3</v>
      </c>
      <c r="Q113" t="s">
        <v>31</v>
      </c>
      <c r="X113" t="s">
        <v>5</v>
      </c>
      <c r="Y113" t="s">
        <v>135</v>
      </c>
      <c r="Z113">
        <v>3.1953059750055479E-3</v>
      </c>
    </row>
    <row r="114" spans="9:26" x14ac:dyDescent="0.25">
      <c r="I114" t="s">
        <v>255</v>
      </c>
      <c r="J114" t="s">
        <v>136</v>
      </c>
      <c r="K114">
        <v>0</v>
      </c>
      <c r="L114" t="s">
        <v>31</v>
      </c>
      <c r="N114" t="s">
        <v>265</v>
      </c>
      <c r="O114" t="s">
        <v>136</v>
      </c>
      <c r="P114">
        <v>6.89082281083871E-3</v>
      </c>
      <c r="Q114" t="s">
        <v>31</v>
      </c>
      <c r="X114" t="s">
        <v>5</v>
      </c>
      <c r="Y114" t="s">
        <v>136</v>
      </c>
      <c r="Z114">
        <v>9.546962812106154E-3</v>
      </c>
    </row>
    <row r="115" spans="9:26" x14ac:dyDescent="0.25">
      <c r="I115" t="s">
        <v>255</v>
      </c>
      <c r="J115" t="s">
        <v>137</v>
      </c>
      <c r="K115">
        <v>0</v>
      </c>
      <c r="L115" t="s">
        <v>31</v>
      </c>
      <c r="N115" t="s">
        <v>265</v>
      </c>
      <c r="O115" t="s">
        <v>137</v>
      </c>
      <c r="P115">
        <v>1.5186608789952233E-2</v>
      </c>
      <c r="Q115" t="s">
        <v>31</v>
      </c>
      <c r="X115" t="s">
        <v>5</v>
      </c>
      <c r="Y115" t="s">
        <v>137</v>
      </c>
      <c r="Z115">
        <v>1.7589283950463944E-2</v>
      </c>
    </row>
    <row r="116" spans="9:26" x14ac:dyDescent="0.25">
      <c r="I116" t="s">
        <v>255</v>
      </c>
      <c r="J116" t="s">
        <v>138</v>
      </c>
      <c r="K116">
        <v>0</v>
      </c>
      <c r="L116" t="s">
        <v>31</v>
      </c>
      <c r="N116" t="s">
        <v>265</v>
      </c>
      <c r="O116" t="s">
        <v>138</v>
      </c>
      <c r="P116">
        <v>2.9376540208549437E-3</v>
      </c>
      <c r="Q116" t="s">
        <v>31</v>
      </c>
      <c r="X116" t="s">
        <v>5</v>
      </c>
      <c r="Y116" t="s">
        <v>138</v>
      </c>
      <c r="Z116">
        <v>3.5536709677759697E-3</v>
      </c>
    </row>
    <row r="117" spans="9:26" x14ac:dyDescent="0.25">
      <c r="I117" t="s">
        <v>255</v>
      </c>
      <c r="J117" t="s">
        <v>139</v>
      </c>
      <c r="K117">
        <v>7.8267129520329284E-2</v>
      </c>
      <c r="L117" t="s">
        <v>31</v>
      </c>
      <c r="N117" t="s">
        <v>265</v>
      </c>
      <c r="O117" t="s">
        <v>139</v>
      </c>
      <c r="P117">
        <v>2.8118785075248776E-2</v>
      </c>
      <c r="Q117" t="s">
        <v>31</v>
      </c>
      <c r="X117" t="s">
        <v>5</v>
      </c>
      <c r="Y117" t="s">
        <v>139</v>
      </c>
      <c r="Z117">
        <v>3.2007396781346641E-2</v>
      </c>
    </row>
    <row r="118" spans="9:26" x14ac:dyDescent="0.25">
      <c r="I118" t="s">
        <v>255</v>
      </c>
      <c r="J118" t="s">
        <v>140</v>
      </c>
      <c r="K118">
        <v>1.2311100614487243E-2</v>
      </c>
      <c r="L118" t="s">
        <v>31</v>
      </c>
      <c r="N118" t="s">
        <v>265</v>
      </c>
      <c r="O118" t="s">
        <v>140</v>
      </c>
      <c r="P118">
        <v>3.5565485870374929E-3</v>
      </c>
      <c r="Q118" t="s">
        <v>31</v>
      </c>
      <c r="X118" t="s">
        <v>5</v>
      </c>
      <c r="Y118" t="s">
        <v>140</v>
      </c>
      <c r="Z118">
        <v>3.5703744929615035E-3</v>
      </c>
    </row>
    <row r="119" spans="9:26" x14ac:dyDescent="0.25">
      <c r="I119" t="s">
        <v>255</v>
      </c>
      <c r="J119" t="s">
        <v>141</v>
      </c>
      <c r="K119">
        <v>2.3495211201224182E-2</v>
      </c>
      <c r="L119" t="s">
        <v>31</v>
      </c>
      <c r="N119" t="s">
        <v>265</v>
      </c>
      <c r="O119" t="s">
        <v>141</v>
      </c>
      <c r="P119">
        <v>1.1349097589523342E-2</v>
      </c>
      <c r="Q119" t="s">
        <v>31</v>
      </c>
      <c r="X119" t="s">
        <v>5</v>
      </c>
      <c r="Y119" t="s">
        <v>141</v>
      </c>
      <c r="Z119">
        <v>1.0713378306440639E-2</v>
      </c>
    </row>
    <row r="120" spans="9:26" x14ac:dyDescent="0.25">
      <c r="I120" t="s">
        <v>255</v>
      </c>
      <c r="J120" t="s">
        <v>142</v>
      </c>
      <c r="K120">
        <v>3.2923404097034135E-4</v>
      </c>
      <c r="L120" t="s">
        <v>31</v>
      </c>
      <c r="N120" t="s">
        <v>265</v>
      </c>
      <c r="O120" t="s">
        <v>142</v>
      </c>
      <c r="P120">
        <v>3.9255777378949756E-3</v>
      </c>
      <c r="Q120" t="s">
        <v>31</v>
      </c>
      <c r="X120" t="s">
        <v>5</v>
      </c>
      <c r="Y120" t="s">
        <v>142</v>
      </c>
      <c r="Z120">
        <v>3.5532852735887369E-3</v>
      </c>
    </row>
    <row r="121" spans="9:26" x14ac:dyDescent="0.25">
      <c r="I121" t="s">
        <v>255</v>
      </c>
      <c r="J121" t="s">
        <v>143</v>
      </c>
      <c r="K121">
        <v>0</v>
      </c>
      <c r="L121" t="s">
        <v>31</v>
      </c>
      <c r="N121" t="s">
        <v>265</v>
      </c>
      <c r="O121" t="s">
        <v>143</v>
      </c>
      <c r="P121">
        <v>3.771067765970981E-3</v>
      </c>
      <c r="Q121" t="s">
        <v>31</v>
      </c>
      <c r="X121" t="s">
        <v>5</v>
      </c>
      <c r="Y121" t="s">
        <v>143</v>
      </c>
      <c r="Z121">
        <v>3.5378871748830676E-3</v>
      </c>
    </row>
    <row r="122" spans="9:26" x14ac:dyDescent="0.25">
      <c r="I122" t="s">
        <v>255</v>
      </c>
      <c r="J122" t="s">
        <v>144</v>
      </c>
      <c r="K122">
        <v>0</v>
      </c>
      <c r="L122" t="s">
        <v>31</v>
      </c>
      <c r="N122" t="s">
        <v>265</v>
      </c>
      <c r="O122" t="s">
        <v>144</v>
      </c>
      <c r="P122">
        <v>1.0087584810998201E-2</v>
      </c>
      <c r="Q122" t="s">
        <v>31</v>
      </c>
      <c r="X122" t="s">
        <v>5</v>
      </c>
      <c r="Y122" t="s">
        <v>144</v>
      </c>
      <c r="Z122">
        <v>1.0542822358927487E-2</v>
      </c>
    </row>
    <row r="123" spans="9:26" x14ac:dyDescent="0.25">
      <c r="I123" t="s">
        <v>255</v>
      </c>
      <c r="J123" t="s">
        <v>145</v>
      </c>
      <c r="K123">
        <v>0</v>
      </c>
      <c r="L123" t="s">
        <v>31</v>
      </c>
      <c r="N123" t="s">
        <v>265</v>
      </c>
      <c r="O123" t="s">
        <v>145</v>
      </c>
      <c r="P123">
        <v>1.9017423251175138E-2</v>
      </c>
      <c r="Q123" t="s">
        <v>31</v>
      </c>
      <c r="X123" t="s">
        <v>5</v>
      </c>
      <c r="Y123" t="s">
        <v>145</v>
      </c>
      <c r="Z123">
        <v>1.705835928247789E-2</v>
      </c>
    </row>
    <row r="124" spans="9:26" x14ac:dyDescent="0.25">
      <c r="I124" t="s">
        <v>255</v>
      </c>
      <c r="J124" t="s">
        <v>146</v>
      </c>
      <c r="K124">
        <v>1.5979949420121474E-6</v>
      </c>
      <c r="L124" t="s">
        <v>31</v>
      </c>
      <c r="N124" t="s">
        <v>265</v>
      </c>
      <c r="O124" t="s">
        <v>146</v>
      </c>
      <c r="P124">
        <v>4.0551282629395016E-3</v>
      </c>
      <c r="Q124" t="s">
        <v>31</v>
      </c>
      <c r="X124" t="s">
        <v>5</v>
      </c>
      <c r="Y124" t="s">
        <v>146</v>
      </c>
      <c r="Z124">
        <v>3.4402943210260521E-3</v>
      </c>
    </row>
    <row r="125" spans="9:26" x14ac:dyDescent="0.25">
      <c r="I125" t="s">
        <v>255</v>
      </c>
      <c r="J125" t="s">
        <v>147</v>
      </c>
      <c r="K125">
        <v>8.4198439208002893E-2</v>
      </c>
      <c r="L125" t="s">
        <v>31</v>
      </c>
      <c r="N125" t="s">
        <v>265</v>
      </c>
      <c r="O125" t="s">
        <v>147</v>
      </c>
      <c r="P125">
        <v>3.6486310903012048E-2</v>
      </c>
      <c r="Q125" t="s">
        <v>31</v>
      </c>
      <c r="X125" t="s">
        <v>5</v>
      </c>
      <c r="Y125" t="s">
        <v>147</v>
      </c>
      <c r="Z125">
        <v>3.0962362090992686E-2</v>
      </c>
    </row>
    <row r="126" spans="9:26" x14ac:dyDescent="0.25">
      <c r="I126" t="s">
        <v>255</v>
      </c>
      <c r="J126" t="s">
        <v>148</v>
      </c>
      <c r="K126">
        <v>1.1033520293542749E-2</v>
      </c>
      <c r="L126" t="s">
        <v>31</v>
      </c>
      <c r="N126" t="s">
        <v>265</v>
      </c>
      <c r="O126" t="s">
        <v>148</v>
      </c>
      <c r="P126">
        <v>4.0505176078140586E-3</v>
      </c>
      <c r="Q126" t="s">
        <v>31</v>
      </c>
      <c r="X126" t="s">
        <v>5</v>
      </c>
      <c r="Y126" t="s">
        <v>148</v>
      </c>
      <c r="Z126">
        <v>3.4417678706131715E-3</v>
      </c>
    </row>
    <row r="127" spans="9:26" x14ac:dyDescent="0.25">
      <c r="I127" t="s">
        <v>255</v>
      </c>
      <c r="J127" t="s">
        <v>149</v>
      </c>
      <c r="K127">
        <v>2.4762053859012197E-2</v>
      </c>
      <c r="L127" t="s">
        <v>31</v>
      </c>
      <c r="N127" t="s">
        <v>265</v>
      </c>
      <c r="O127" t="s">
        <v>149</v>
      </c>
      <c r="P127">
        <v>1.1951526431610201E-2</v>
      </c>
      <c r="Q127" t="s">
        <v>31</v>
      </c>
      <c r="X127" t="s">
        <v>5</v>
      </c>
      <c r="Y127" t="s">
        <v>149</v>
      </c>
      <c r="Z127">
        <v>1.0311893321637275E-2</v>
      </c>
    </row>
    <row r="128" spans="9:26" x14ac:dyDescent="0.25">
      <c r="I128" t="s">
        <v>255</v>
      </c>
      <c r="J128" t="s">
        <v>150</v>
      </c>
      <c r="K128">
        <v>3.6423978779708032E-3</v>
      </c>
      <c r="L128" t="s">
        <v>31</v>
      </c>
      <c r="N128" t="s">
        <v>265</v>
      </c>
      <c r="O128" t="s">
        <v>150</v>
      </c>
      <c r="P128">
        <v>3.8852258311426737E-3</v>
      </c>
      <c r="Q128" t="s">
        <v>31</v>
      </c>
      <c r="X128" t="s">
        <v>5</v>
      </c>
      <c r="Y128" t="s">
        <v>150</v>
      </c>
      <c r="Z128">
        <v>3.4169054299284874E-3</v>
      </c>
    </row>
    <row r="129" spans="9:26" x14ac:dyDescent="0.25">
      <c r="I129" t="s">
        <v>255</v>
      </c>
      <c r="J129" t="s">
        <v>151</v>
      </c>
      <c r="K129">
        <v>6.1765608745711453E-4</v>
      </c>
      <c r="L129" t="s">
        <v>31</v>
      </c>
      <c r="N129" t="s">
        <v>265</v>
      </c>
      <c r="O129" t="s">
        <v>151</v>
      </c>
      <c r="P129">
        <v>3.8955779067274317E-3</v>
      </c>
      <c r="Q129" t="s">
        <v>31</v>
      </c>
      <c r="X129" t="s">
        <v>5</v>
      </c>
      <c r="Y129" t="s">
        <v>151</v>
      </c>
      <c r="Z129">
        <v>3.4056906297151093E-3</v>
      </c>
    </row>
    <row r="130" spans="9:26" x14ac:dyDescent="0.25">
      <c r="I130" t="s">
        <v>255</v>
      </c>
      <c r="J130" t="s">
        <v>152</v>
      </c>
      <c r="K130">
        <v>0</v>
      </c>
      <c r="L130" t="s">
        <v>31</v>
      </c>
      <c r="N130" t="s">
        <v>265</v>
      </c>
      <c r="O130" t="s">
        <v>152</v>
      </c>
      <c r="P130">
        <v>1.191675698690531E-2</v>
      </c>
      <c r="Q130" t="s">
        <v>31</v>
      </c>
      <c r="X130" t="s">
        <v>5</v>
      </c>
      <c r="Y130" t="s">
        <v>152</v>
      </c>
      <c r="Z130">
        <v>1.0184624129445071E-2</v>
      </c>
    </row>
    <row r="131" spans="9:26" x14ac:dyDescent="0.25">
      <c r="I131" t="s">
        <v>255</v>
      </c>
      <c r="J131" t="s">
        <v>153</v>
      </c>
      <c r="K131">
        <v>3.3510082290818144E-5</v>
      </c>
      <c r="L131" t="s">
        <v>31</v>
      </c>
      <c r="N131" t="s">
        <v>265</v>
      </c>
      <c r="O131" t="s">
        <v>153</v>
      </c>
      <c r="P131">
        <v>1.6277363237341885E-2</v>
      </c>
      <c r="Q131" t="s">
        <v>31</v>
      </c>
      <c r="X131" t="s">
        <v>5</v>
      </c>
      <c r="Y131" t="s">
        <v>153</v>
      </c>
      <c r="Z131">
        <v>1.7469370144214159E-2</v>
      </c>
    </row>
    <row r="132" spans="9:26" x14ac:dyDescent="0.25">
      <c r="I132" t="s">
        <v>255</v>
      </c>
      <c r="J132" t="s">
        <v>154</v>
      </c>
      <c r="K132">
        <v>2.2948374389607788E-3</v>
      </c>
      <c r="L132" t="s">
        <v>31</v>
      </c>
      <c r="N132" t="s">
        <v>265</v>
      </c>
      <c r="O132" t="s">
        <v>154</v>
      </c>
      <c r="P132">
        <v>3.0273059237558423E-3</v>
      </c>
      <c r="Q132" t="s">
        <v>31</v>
      </c>
      <c r="X132" t="s">
        <v>5</v>
      </c>
      <c r="Y132" t="s">
        <v>154</v>
      </c>
      <c r="Z132">
        <v>3.5474934325437947E-3</v>
      </c>
    </row>
    <row r="133" spans="9:26" x14ac:dyDescent="0.25">
      <c r="I133" t="s">
        <v>255</v>
      </c>
      <c r="J133" t="s">
        <v>155</v>
      </c>
      <c r="K133">
        <v>9.475183371211636E-2</v>
      </c>
      <c r="L133" t="s">
        <v>31</v>
      </c>
      <c r="N133" t="s">
        <v>265</v>
      </c>
      <c r="O133" t="s">
        <v>155</v>
      </c>
      <c r="P133">
        <v>2.6328030811913098E-2</v>
      </c>
      <c r="Q133" t="s">
        <v>31</v>
      </c>
      <c r="X133" t="s">
        <v>5</v>
      </c>
      <c r="Y133" t="s">
        <v>155</v>
      </c>
      <c r="Z133">
        <v>3.2073292633235329E-2</v>
      </c>
    </row>
    <row r="134" spans="9:26" x14ac:dyDescent="0.25">
      <c r="I134" t="s">
        <v>255</v>
      </c>
      <c r="J134" t="s">
        <v>156</v>
      </c>
      <c r="K134">
        <v>1.2703254570961062E-2</v>
      </c>
      <c r="L134" t="s">
        <v>31</v>
      </c>
      <c r="N134" t="s">
        <v>265</v>
      </c>
      <c r="O134" t="s">
        <v>156</v>
      </c>
      <c r="P134">
        <v>2.9861743956497585E-3</v>
      </c>
      <c r="Q134" t="s">
        <v>31</v>
      </c>
      <c r="X134" t="s">
        <v>5</v>
      </c>
      <c r="Y134" t="s">
        <v>156</v>
      </c>
      <c r="Z134">
        <v>3.5605180285588024E-3</v>
      </c>
    </row>
    <row r="135" spans="9:26" x14ac:dyDescent="0.25">
      <c r="I135" t="s">
        <v>255</v>
      </c>
      <c r="J135" t="s">
        <v>157</v>
      </c>
      <c r="K135">
        <v>2.9488665335698244E-2</v>
      </c>
      <c r="L135" t="s">
        <v>31</v>
      </c>
      <c r="N135" t="s">
        <v>265</v>
      </c>
      <c r="O135" t="s">
        <v>157</v>
      </c>
      <c r="P135">
        <v>9.193153566819455E-3</v>
      </c>
      <c r="Q135" t="s">
        <v>31</v>
      </c>
      <c r="X135" t="s">
        <v>5</v>
      </c>
      <c r="Y135" t="s">
        <v>157</v>
      </c>
      <c r="Z135">
        <v>1.0671268907350207E-2</v>
      </c>
    </row>
    <row r="136" spans="9:26" x14ac:dyDescent="0.25">
      <c r="I136" t="s">
        <v>255</v>
      </c>
      <c r="J136" t="s">
        <v>158</v>
      </c>
      <c r="K136">
        <v>5.850739322805408E-3</v>
      </c>
      <c r="L136" t="s">
        <v>31</v>
      </c>
      <c r="N136" t="s">
        <v>265</v>
      </c>
      <c r="O136" t="s">
        <v>158</v>
      </c>
      <c r="P136">
        <v>3.0969055259854497E-3</v>
      </c>
      <c r="Q136" t="s">
        <v>31</v>
      </c>
      <c r="X136" t="s">
        <v>5</v>
      </c>
      <c r="Y136" t="s">
        <v>158</v>
      </c>
      <c r="Z136">
        <v>3.5436760490496462E-3</v>
      </c>
    </row>
    <row r="137" spans="9:26" x14ac:dyDescent="0.25">
      <c r="I137" t="s">
        <v>255</v>
      </c>
      <c r="J137" t="s">
        <v>159</v>
      </c>
      <c r="K137">
        <v>2.9766667103186804E-3</v>
      </c>
      <c r="L137" t="s">
        <v>31</v>
      </c>
      <c r="N137" t="s">
        <v>265</v>
      </c>
      <c r="O137" t="s">
        <v>159</v>
      </c>
      <c r="P137">
        <v>3.0856967987458257E-3</v>
      </c>
      <c r="Q137" t="s">
        <v>31</v>
      </c>
      <c r="X137" t="s">
        <v>5</v>
      </c>
      <c r="Y137" t="s">
        <v>159</v>
      </c>
      <c r="Z137">
        <v>3.5327974950507793E-3</v>
      </c>
    </row>
    <row r="138" spans="9:26" x14ac:dyDescent="0.25">
      <c r="I138" t="s">
        <v>255</v>
      </c>
      <c r="J138" t="s">
        <v>160</v>
      </c>
      <c r="K138">
        <v>2.9388975058872575E-4</v>
      </c>
      <c r="L138" t="s">
        <v>31</v>
      </c>
      <c r="N138" t="s">
        <v>265</v>
      </c>
      <c r="O138" t="s">
        <v>160</v>
      </c>
      <c r="P138">
        <v>9.1450616470443325E-3</v>
      </c>
      <c r="Q138" t="s">
        <v>31</v>
      </c>
      <c r="X138" t="s">
        <v>5</v>
      </c>
      <c r="Y138" t="s">
        <v>160</v>
      </c>
      <c r="Z138">
        <v>1.0474465975916149E-2</v>
      </c>
    </row>
    <row r="139" spans="9:26" x14ac:dyDescent="0.25">
      <c r="I139" t="s">
        <v>255</v>
      </c>
      <c r="J139" t="s">
        <v>161</v>
      </c>
      <c r="K139">
        <v>1.0864889659409332E-3</v>
      </c>
      <c r="L139" t="s">
        <v>31</v>
      </c>
      <c r="N139" t="s">
        <v>265</v>
      </c>
      <c r="O139" t="s">
        <v>161</v>
      </c>
      <c r="P139">
        <v>1.23591112600148E-2</v>
      </c>
      <c r="Q139" t="s">
        <v>31</v>
      </c>
      <c r="X139" t="s">
        <v>5</v>
      </c>
      <c r="Y139" t="s">
        <v>161</v>
      </c>
      <c r="Z139">
        <v>1.6839558802278737E-2</v>
      </c>
    </row>
    <row r="140" spans="9:26" x14ac:dyDescent="0.25">
      <c r="I140" t="s">
        <v>255</v>
      </c>
      <c r="J140" t="s">
        <v>162</v>
      </c>
      <c r="K140">
        <v>3.3552638840407155E-3</v>
      </c>
      <c r="L140" t="s">
        <v>31</v>
      </c>
      <c r="N140" t="s">
        <v>265</v>
      </c>
      <c r="O140" t="s">
        <v>162</v>
      </c>
      <c r="P140">
        <v>2.2735411966646199E-3</v>
      </c>
      <c r="Q140" t="s">
        <v>31</v>
      </c>
      <c r="X140" t="s">
        <v>5</v>
      </c>
      <c r="Y140" t="s">
        <v>162</v>
      </c>
      <c r="Z140">
        <v>3.4281868612851089E-3</v>
      </c>
    </row>
    <row r="141" spans="9:26" x14ac:dyDescent="0.25">
      <c r="I141" t="s">
        <v>255</v>
      </c>
      <c r="J141" t="s">
        <v>163</v>
      </c>
      <c r="K141">
        <v>9.5678950670496102E-2</v>
      </c>
      <c r="L141" t="s">
        <v>31</v>
      </c>
      <c r="N141" t="s">
        <v>265</v>
      </c>
      <c r="O141" t="s">
        <v>163</v>
      </c>
      <c r="P141">
        <v>2.0386474607052885E-2</v>
      </c>
      <c r="Q141" t="s">
        <v>31</v>
      </c>
      <c r="X141" t="s">
        <v>5</v>
      </c>
      <c r="Y141" t="s">
        <v>163</v>
      </c>
      <c r="Z141">
        <v>3.1088045363079762E-2</v>
      </c>
    </row>
    <row r="142" spans="9:26" x14ac:dyDescent="0.25">
      <c r="I142" t="s">
        <v>255</v>
      </c>
      <c r="J142" t="s">
        <v>164</v>
      </c>
      <c r="K142">
        <v>1.1360730963371654E-2</v>
      </c>
      <c r="L142" t="s">
        <v>31</v>
      </c>
      <c r="N142" t="s">
        <v>265</v>
      </c>
      <c r="O142" t="s">
        <v>164</v>
      </c>
      <c r="P142">
        <v>2.5554224202553001E-3</v>
      </c>
      <c r="Q142" t="s">
        <v>31</v>
      </c>
      <c r="X142" t="s">
        <v>5</v>
      </c>
      <c r="Y142" t="s">
        <v>164</v>
      </c>
      <c r="Z142">
        <v>3.4538998071006136E-3</v>
      </c>
    </row>
    <row r="143" spans="9:26" x14ac:dyDescent="0.25">
      <c r="I143" t="s">
        <v>255</v>
      </c>
      <c r="J143" t="s">
        <v>165</v>
      </c>
      <c r="K143">
        <v>2.8522958059822207E-2</v>
      </c>
      <c r="L143" t="s">
        <v>31</v>
      </c>
      <c r="N143" t="s">
        <v>265</v>
      </c>
      <c r="O143" t="s">
        <v>165</v>
      </c>
      <c r="P143">
        <v>7.6053588456984353E-3</v>
      </c>
      <c r="Q143" t="s">
        <v>31</v>
      </c>
      <c r="X143" t="s">
        <v>5</v>
      </c>
      <c r="Y143" t="s">
        <v>165</v>
      </c>
      <c r="Z143">
        <v>1.0343077314774688E-2</v>
      </c>
    </row>
    <row r="144" spans="9:26" x14ac:dyDescent="0.25">
      <c r="I144" t="s">
        <v>255</v>
      </c>
      <c r="J144" t="s">
        <v>166</v>
      </c>
      <c r="K144">
        <v>5.7052123452518656E-3</v>
      </c>
      <c r="L144" t="s">
        <v>31</v>
      </c>
      <c r="N144" t="s">
        <v>265</v>
      </c>
      <c r="O144" t="s">
        <v>166</v>
      </c>
      <c r="P144">
        <v>2.4633071944662444E-3</v>
      </c>
      <c r="Q144" t="s">
        <v>31</v>
      </c>
      <c r="X144" t="s">
        <v>5</v>
      </c>
      <c r="Y144" t="s">
        <v>166</v>
      </c>
      <c r="Z144">
        <v>3.437265509076891E-3</v>
      </c>
    </row>
    <row r="145" spans="9:26" x14ac:dyDescent="0.25">
      <c r="I145" t="s">
        <v>255</v>
      </c>
      <c r="J145" t="s">
        <v>167</v>
      </c>
      <c r="K145">
        <v>3.759875169577953E-3</v>
      </c>
      <c r="L145" t="s">
        <v>31</v>
      </c>
      <c r="N145" t="s">
        <v>265</v>
      </c>
      <c r="O145" t="s">
        <v>167</v>
      </c>
      <c r="P145">
        <v>2.443800892782848E-3</v>
      </c>
      <c r="Q145" t="s">
        <v>31</v>
      </c>
      <c r="X145" t="s">
        <v>5</v>
      </c>
      <c r="Y145" t="s">
        <v>167</v>
      </c>
      <c r="Z145">
        <v>3.419078544709693E-3</v>
      </c>
    </row>
    <row r="146" spans="9:26" x14ac:dyDescent="0.25">
      <c r="I146" t="s">
        <v>255</v>
      </c>
      <c r="J146" t="s">
        <v>168</v>
      </c>
      <c r="K146">
        <v>1.7106752169796914E-3</v>
      </c>
      <c r="L146" t="s">
        <v>31</v>
      </c>
      <c r="N146" t="s">
        <v>265</v>
      </c>
      <c r="O146" t="s">
        <v>168</v>
      </c>
      <c r="P146">
        <v>7.5280422409611187E-3</v>
      </c>
      <c r="Q146" t="s">
        <v>31</v>
      </c>
      <c r="X146" t="s">
        <v>5</v>
      </c>
      <c r="Y146" t="s">
        <v>168</v>
      </c>
      <c r="Z146">
        <v>1.0113025566482275E-2</v>
      </c>
    </row>
    <row r="147" spans="9:26" x14ac:dyDescent="0.25">
      <c r="I147" t="s">
        <v>255</v>
      </c>
      <c r="J147" t="s">
        <v>169</v>
      </c>
      <c r="K147">
        <v>2.4623721627657072E-4</v>
      </c>
      <c r="L147" t="s">
        <v>31</v>
      </c>
      <c r="N147" t="s">
        <v>265</v>
      </c>
      <c r="O147" t="s">
        <v>169</v>
      </c>
      <c r="P147">
        <v>1.3249017917957694E-2</v>
      </c>
      <c r="Q147" t="s">
        <v>31</v>
      </c>
      <c r="X147" t="s">
        <v>5</v>
      </c>
      <c r="Y147" t="s">
        <v>169</v>
      </c>
      <c r="Z147">
        <v>1.7390991398851634E-2</v>
      </c>
    </row>
    <row r="148" spans="9:26" x14ac:dyDescent="0.25">
      <c r="I148" t="s">
        <v>255</v>
      </c>
      <c r="J148" t="s">
        <v>170</v>
      </c>
      <c r="K148">
        <v>3.0257525251269927E-3</v>
      </c>
      <c r="L148" t="s">
        <v>31</v>
      </c>
      <c r="N148" t="s">
        <v>265</v>
      </c>
      <c r="O148" t="s">
        <v>170</v>
      </c>
      <c r="P148">
        <v>2.4338088998401364E-3</v>
      </c>
      <c r="Q148" t="s">
        <v>31</v>
      </c>
      <c r="X148" t="s">
        <v>5</v>
      </c>
      <c r="Y148" t="s">
        <v>170</v>
      </c>
      <c r="Z148">
        <v>3.5422986757694718E-3</v>
      </c>
    </row>
    <row r="149" spans="9:26" x14ac:dyDescent="0.25">
      <c r="I149" t="s">
        <v>255</v>
      </c>
      <c r="J149" t="s">
        <v>171</v>
      </c>
      <c r="K149">
        <v>9.4752975594781436E-2</v>
      </c>
      <c r="L149" t="s">
        <v>31</v>
      </c>
      <c r="N149" t="s">
        <v>265</v>
      </c>
      <c r="O149" t="s">
        <v>171</v>
      </c>
      <c r="P149">
        <v>2.4387482350406133E-2</v>
      </c>
      <c r="Q149" t="s">
        <v>31</v>
      </c>
      <c r="X149" t="s">
        <v>5</v>
      </c>
      <c r="Y149" t="s">
        <v>171</v>
      </c>
      <c r="Z149">
        <v>3.2140319607500037E-2</v>
      </c>
    </row>
    <row r="150" spans="9:26" x14ac:dyDescent="0.25">
      <c r="I150" t="s">
        <v>255</v>
      </c>
      <c r="J150" t="s">
        <v>172</v>
      </c>
      <c r="K150">
        <v>1.2010369571695226E-2</v>
      </c>
      <c r="L150" t="s">
        <v>31</v>
      </c>
      <c r="N150" t="s">
        <v>265</v>
      </c>
      <c r="O150" t="s">
        <v>172</v>
      </c>
      <c r="P150">
        <v>3.3042812663052245E-3</v>
      </c>
      <c r="Q150" t="s">
        <v>31</v>
      </c>
      <c r="X150" t="s">
        <v>5</v>
      </c>
      <c r="Y150" t="s">
        <v>172</v>
      </c>
      <c r="Z150">
        <v>3.5716509923773253E-3</v>
      </c>
    </row>
    <row r="151" spans="9:26" x14ac:dyDescent="0.25">
      <c r="I151" t="s">
        <v>255</v>
      </c>
      <c r="J151" t="s">
        <v>173</v>
      </c>
      <c r="K151">
        <v>2.9631842076279963E-2</v>
      </c>
      <c r="L151" t="s">
        <v>31</v>
      </c>
      <c r="N151" t="s">
        <v>265</v>
      </c>
      <c r="O151" t="s">
        <v>173</v>
      </c>
      <c r="P151">
        <v>9.7074843646925493E-3</v>
      </c>
      <c r="Q151" t="s">
        <v>31</v>
      </c>
      <c r="X151" t="s">
        <v>5</v>
      </c>
      <c r="Y151" t="s">
        <v>173</v>
      </c>
      <c r="Z151">
        <v>1.0693433219403307E-2</v>
      </c>
    </row>
    <row r="152" spans="9:26" x14ac:dyDescent="0.25">
      <c r="I152" t="s">
        <v>255</v>
      </c>
      <c r="J152" t="s">
        <v>174</v>
      </c>
      <c r="K152">
        <v>6.6642702424942442E-3</v>
      </c>
      <c r="L152" t="s">
        <v>31</v>
      </c>
      <c r="N152" t="s">
        <v>265</v>
      </c>
      <c r="O152" t="s">
        <v>174</v>
      </c>
      <c r="P152">
        <v>3.0851479847877512E-3</v>
      </c>
      <c r="Q152" t="s">
        <v>31</v>
      </c>
      <c r="X152" t="s">
        <v>5</v>
      </c>
      <c r="Y152" t="s">
        <v>174</v>
      </c>
      <c r="Z152">
        <v>3.5532860153083276E-3</v>
      </c>
    </row>
    <row r="153" spans="9:26" x14ac:dyDescent="0.25">
      <c r="I153" t="s">
        <v>255</v>
      </c>
      <c r="J153" t="s">
        <v>175</v>
      </c>
      <c r="K153">
        <v>4.0788910774191287E-3</v>
      </c>
      <c r="L153" t="s">
        <v>31</v>
      </c>
      <c r="N153" t="s">
        <v>265</v>
      </c>
      <c r="O153" t="s">
        <v>175</v>
      </c>
      <c r="P153">
        <v>3.0993055334387711E-3</v>
      </c>
      <c r="Q153" t="s">
        <v>31</v>
      </c>
      <c r="X153" t="s">
        <v>5</v>
      </c>
      <c r="Y153" t="s">
        <v>175</v>
      </c>
      <c r="Z153">
        <v>3.5322607373068802E-3</v>
      </c>
    </row>
    <row r="154" spans="9:26" x14ac:dyDescent="0.25">
      <c r="I154" t="s">
        <v>255</v>
      </c>
      <c r="J154" t="s">
        <v>176</v>
      </c>
      <c r="K154">
        <v>1.8033283723330696E-3</v>
      </c>
      <c r="L154" t="s">
        <v>31</v>
      </c>
      <c r="N154" t="s">
        <v>265</v>
      </c>
      <c r="O154" t="s">
        <v>176</v>
      </c>
      <c r="P154">
        <v>8.9611251838574105E-3</v>
      </c>
      <c r="Q154" t="s">
        <v>31</v>
      </c>
      <c r="X154" t="s">
        <v>5</v>
      </c>
      <c r="Y154" t="s">
        <v>176</v>
      </c>
      <c r="Z154">
        <v>1.0442979237565745E-2</v>
      </c>
    </row>
    <row r="155" spans="9:26" x14ac:dyDescent="0.25">
      <c r="I155" t="s">
        <v>255</v>
      </c>
      <c r="J155" t="s">
        <v>177</v>
      </c>
      <c r="K155">
        <v>0</v>
      </c>
      <c r="L155" t="s">
        <v>31</v>
      </c>
      <c r="N155" t="s">
        <v>265</v>
      </c>
      <c r="O155" t="s">
        <v>177</v>
      </c>
      <c r="P155">
        <v>1.0828131920841673E-2</v>
      </c>
      <c r="Q155" t="s">
        <v>31</v>
      </c>
      <c r="X155" t="s">
        <v>5</v>
      </c>
      <c r="Y155" t="s">
        <v>177</v>
      </c>
      <c r="Z155">
        <v>1.7403901028330063E-2</v>
      </c>
    </row>
    <row r="156" spans="9:26" x14ac:dyDescent="0.25">
      <c r="I156" t="s">
        <v>255</v>
      </c>
      <c r="J156" t="s">
        <v>178</v>
      </c>
      <c r="K156">
        <v>6.0886653577635742E-4</v>
      </c>
      <c r="L156" t="s">
        <v>31</v>
      </c>
      <c r="N156" t="s">
        <v>265</v>
      </c>
      <c r="O156" t="s">
        <v>178</v>
      </c>
      <c r="P156">
        <v>2.1798138102531498E-3</v>
      </c>
      <c r="Q156" t="s">
        <v>31</v>
      </c>
      <c r="X156" t="s">
        <v>5</v>
      </c>
      <c r="Y156" t="s">
        <v>178</v>
      </c>
      <c r="Z156">
        <v>3.5416743951138551E-3</v>
      </c>
    </row>
    <row r="157" spans="9:26" x14ac:dyDescent="0.25">
      <c r="I157" t="s">
        <v>255</v>
      </c>
      <c r="J157" t="s">
        <v>179</v>
      </c>
      <c r="K157">
        <v>7.9353716330898133E-2</v>
      </c>
      <c r="L157" t="s">
        <v>31</v>
      </c>
      <c r="N157" t="s">
        <v>265</v>
      </c>
      <c r="O157" t="s">
        <v>179</v>
      </c>
      <c r="P157">
        <v>1.8940340001646461E-2</v>
      </c>
      <c r="Q157" t="s">
        <v>31</v>
      </c>
      <c r="X157" t="s">
        <v>5</v>
      </c>
      <c r="Y157" t="s">
        <v>179</v>
      </c>
      <c r="Z157">
        <v>3.212440601367874E-2</v>
      </c>
    </row>
    <row r="158" spans="9:26" x14ac:dyDescent="0.25">
      <c r="I158" t="s">
        <v>255</v>
      </c>
      <c r="J158" t="s">
        <v>180</v>
      </c>
      <c r="K158">
        <v>1.051366716307979E-2</v>
      </c>
      <c r="L158" t="s">
        <v>31</v>
      </c>
      <c r="N158" t="s">
        <v>265</v>
      </c>
      <c r="O158" t="s">
        <v>180</v>
      </c>
      <c r="P158">
        <v>2.0888380494942529E-3</v>
      </c>
      <c r="Q158" t="s">
        <v>31</v>
      </c>
      <c r="X158" t="s">
        <v>5</v>
      </c>
      <c r="Y158" t="s">
        <v>180</v>
      </c>
      <c r="Z158">
        <v>3.5695432725400445E-3</v>
      </c>
    </row>
    <row r="159" spans="9:26" x14ac:dyDescent="0.25">
      <c r="I159" t="s">
        <v>255</v>
      </c>
      <c r="J159" t="s">
        <v>181</v>
      </c>
      <c r="K159">
        <v>2.5529289669338068E-2</v>
      </c>
      <c r="L159" t="s">
        <v>31</v>
      </c>
      <c r="N159" t="s">
        <v>265</v>
      </c>
      <c r="O159" t="s">
        <v>181</v>
      </c>
      <c r="P159">
        <v>6.384001207595154E-3</v>
      </c>
      <c r="Q159" t="s">
        <v>31</v>
      </c>
      <c r="X159" t="s">
        <v>5</v>
      </c>
      <c r="Y159" t="s">
        <v>181</v>
      </c>
      <c r="Z159">
        <v>1.0686645248947878E-2</v>
      </c>
    </row>
    <row r="160" spans="9:26" x14ac:dyDescent="0.25">
      <c r="I160" t="s">
        <v>255</v>
      </c>
      <c r="J160" t="s">
        <v>182</v>
      </c>
      <c r="K160">
        <v>4.6391059379533011E-3</v>
      </c>
      <c r="L160" t="s">
        <v>31</v>
      </c>
      <c r="N160" t="s">
        <v>265</v>
      </c>
      <c r="O160" t="s">
        <v>182</v>
      </c>
      <c r="P160">
        <v>2.1959310017349138E-3</v>
      </c>
      <c r="Q160" t="s">
        <v>31</v>
      </c>
      <c r="X160" t="s">
        <v>5</v>
      </c>
      <c r="Y160" t="s">
        <v>182</v>
      </c>
      <c r="Z160">
        <v>3.5494575060203174E-3</v>
      </c>
    </row>
    <row r="161" spans="9:26" x14ac:dyDescent="0.25">
      <c r="I161" t="s">
        <v>255</v>
      </c>
      <c r="J161" t="s">
        <v>183</v>
      </c>
      <c r="K161">
        <v>1.8105606074451286E-3</v>
      </c>
      <c r="L161" t="s">
        <v>31</v>
      </c>
      <c r="N161" t="s">
        <v>265</v>
      </c>
      <c r="O161" t="s">
        <v>183</v>
      </c>
      <c r="P161">
        <v>2.2178104383695925E-3</v>
      </c>
      <c r="Q161" t="s">
        <v>31</v>
      </c>
      <c r="X161" t="s">
        <v>5</v>
      </c>
      <c r="Y161" t="s">
        <v>183</v>
      </c>
      <c r="Z161">
        <v>3.5336737131274154E-3</v>
      </c>
    </row>
    <row r="162" spans="9:26" x14ac:dyDescent="0.25">
      <c r="I162" t="s">
        <v>255</v>
      </c>
      <c r="J162" t="s">
        <v>184</v>
      </c>
      <c r="K162">
        <v>0</v>
      </c>
      <c r="L162" t="s">
        <v>31</v>
      </c>
      <c r="N162" t="s">
        <v>265</v>
      </c>
      <c r="O162" t="s">
        <v>184</v>
      </c>
      <c r="P162">
        <v>6.4915635787050601E-3</v>
      </c>
      <c r="Q162" t="s">
        <v>31</v>
      </c>
      <c r="X162" t="s">
        <v>5</v>
      </c>
      <c r="Y162" t="s">
        <v>184</v>
      </c>
      <c r="Z162">
        <v>1.045090698379242E-2</v>
      </c>
    </row>
    <row r="163" spans="9:26" x14ac:dyDescent="0.25">
      <c r="I163" t="s">
        <v>255</v>
      </c>
      <c r="J163" t="s">
        <v>185</v>
      </c>
      <c r="K163">
        <v>0</v>
      </c>
      <c r="L163" t="s">
        <v>31</v>
      </c>
      <c r="N163" t="s">
        <v>265</v>
      </c>
      <c r="O163" t="s">
        <v>185</v>
      </c>
      <c r="P163">
        <v>1.3414713041431431E-2</v>
      </c>
      <c r="Q163" t="s">
        <v>31</v>
      </c>
      <c r="X163" t="s">
        <v>5</v>
      </c>
      <c r="Y163" t="s">
        <v>185</v>
      </c>
      <c r="Z163">
        <v>1.6902954811906457E-2</v>
      </c>
    </row>
    <row r="164" spans="9:26" x14ac:dyDescent="0.25">
      <c r="I164" t="s">
        <v>255</v>
      </c>
      <c r="J164" t="s">
        <v>186</v>
      </c>
      <c r="K164">
        <v>0</v>
      </c>
      <c r="L164" t="s">
        <v>31</v>
      </c>
      <c r="N164" t="s">
        <v>265</v>
      </c>
      <c r="O164" t="s">
        <v>186</v>
      </c>
      <c r="P164">
        <v>2.7423572054086093E-3</v>
      </c>
      <c r="Q164" t="s">
        <v>31</v>
      </c>
      <c r="X164" t="s">
        <v>5</v>
      </c>
      <c r="Y164" t="s">
        <v>186</v>
      </c>
      <c r="Z164">
        <v>3.4320663019850226E-3</v>
      </c>
    </row>
    <row r="165" spans="9:26" x14ac:dyDescent="0.25">
      <c r="I165" t="s">
        <v>255</v>
      </c>
      <c r="J165" t="s">
        <v>187</v>
      </c>
      <c r="K165">
        <v>6.4345262171371237E-2</v>
      </c>
      <c r="L165" t="s">
        <v>31</v>
      </c>
      <c r="N165" t="s">
        <v>265</v>
      </c>
      <c r="O165" t="s">
        <v>187</v>
      </c>
      <c r="P165">
        <v>2.4147570222827121E-2</v>
      </c>
      <c r="Q165" t="s">
        <v>31</v>
      </c>
      <c r="X165" t="s">
        <v>5</v>
      </c>
      <c r="Y165" t="s">
        <v>187</v>
      </c>
      <c r="Z165">
        <v>3.1030225601335913E-2</v>
      </c>
    </row>
    <row r="166" spans="9:26" x14ac:dyDescent="0.25">
      <c r="I166" t="s">
        <v>255</v>
      </c>
      <c r="J166" t="s">
        <v>188</v>
      </c>
      <c r="K166">
        <v>8.9574470643704138E-3</v>
      </c>
      <c r="L166" t="s">
        <v>31</v>
      </c>
      <c r="N166" t="s">
        <v>265</v>
      </c>
      <c r="O166" t="s">
        <v>188</v>
      </c>
      <c r="P166">
        <v>2.5723416999614622E-3</v>
      </c>
      <c r="Q166" t="s">
        <v>31</v>
      </c>
      <c r="X166" t="s">
        <v>5</v>
      </c>
      <c r="Y166" t="s">
        <v>188</v>
      </c>
      <c r="Z166">
        <v>3.4455655985381629E-3</v>
      </c>
    </row>
    <row r="167" spans="9:26" x14ac:dyDescent="0.25">
      <c r="I167" t="s">
        <v>255</v>
      </c>
      <c r="J167" t="s">
        <v>189</v>
      </c>
      <c r="K167">
        <v>1.7932625613388081E-2</v>
      </c>
      <c r="L167" t="s">
        <v>31</v>
      </c>
      <c r="N167" t="s">
        <v>265</v>
      </c>
      <c r="O167" t="s">
        <v>189</v>
      </c>
      <c r="P167">
        <v>8.5989387221216494E-3</v>
      </c>
      <c r="Q167" t="s">
        <v>31</v>
      </c>
      <c r="X167" t="s">
        <v>5</v>
      </c>
      <c r="Y167" t="s">
        <v>189</v>
      </c>
      <c r="Z167">
        <v>1.0328715892817138E-2</v>
      </c>
    </row>
    <row r="168" spans="9:26" x14ac:dyDescent="0.25">
      <c r="I168" t="s">
        <v>255</v>
      </c>
      <c r="J168" t="s">
        <v>190</v>
      </c>
      <c r="K168">
        <v>1.1273184373715762E-3</v>
      </c>
      <c r="L168" t="s">
        <v>31</v>
      </c>
      <c r="N168" t="s">
        <v>265</v>
      </c>
      <c r="O168" t="s">
        <v>190</v>
      </c>
      <c r="P168">
        <v>3.0455539504721314E-3</v>
      </c>
      <c r="Q168" t="s">
        <v>31</v>
      </c>
      <c r="X168" t="s">
        <v>5</v>
      </c>
      <c r="Y168" t="s">
        <v>190</v>
      </c>
      <c r="Z168">
        <v>3.4291983195671393E-3</v>
      </c>
    </row>
    <row r="169" spans="9:26" x14ac:dyDescent="0.25">
      <c r="I169" t="s">
        <v>255</v>
      </c>
      <c r="J169" t="s">
        <v>191</v>
      </c>
      <c r="K169">
        <v>0</v>
      </c>
      <c r="L169" t="s">
        <v>31</v>
      </c>
      <c r="N169" t="s">
        <v>265</v>
      </c>
      <c r="O169" t="s">
        <v>191</v>
      </c>
      <c r="P169">
        <v>3.0500856393189386E-3</v>
      </c>
      <c r="Q169" t="s">
        <v>31</v>
      </c>
      <c r="X169" t="s">
        <v>5</v>
      </c>
      <c r="Y169" t="s">
        <v>191</v>
      </c>
      <c r="Z169">
        <v>3.4192691666445375E-3</v>
      </c>
    </row>
    <row r="170" spans="9:26" x14ac:dyDescent="0.25">
      <c r="I170" t="s">
        <v>255</v>
      </c>
      <c r="J170" t="s">
        <v>192</v>
      </c>
      <c r="K170">
        <v>0</v>
      </c>
      <c r="L170" t="s">
        <v>31</v>
      </c>
      <c r="N170" t="s">
        <v>265</v>
      </c>
      <c r="O170" t="s">
        <v>192</v>
      </c>
      <c r="P170">
        <v>8.8989408350922498E-3</v>
      </c>
      <c r="Q170" t="s">
        <v>31</v>
      </c>
      <c r="X170" t="s">
        <v>5</v>
      </c>
      <c r="Y170" t="s">
        <v>192</v>
      </c>
      <c r="Z170">
        <v>1.0144235396185435E-2</v>
      </c>
    </row>
    <row r="171" spans="9:26" x14ac:dyDescent="0.25">
      <c r="I171" t="s">
        <v>255</v>
      </c>
      <c r="J171" t="s">
        <v>193</v>
      </c>
      <c r="K171">
        <v>0</v>
      </c>
      <c r="L171" t="s">
        <v>31</v>
      </c>
      <c r="N171" t="s">
        <v>265</v>
      </c>
      <c r="O171" t="s">
        <v>193</v>
      </c>
      <c r="P171">
        <v>2.0943324799647056E-2</v>
      </c>
      <c r="Q171" t="s">
        <v>31</v>
      </c>
      <c r="X171" t="s">
        <v>5</v>
      </c>
      <c r="Y171" t="s">
        <v>193</v>
      </c>
      <c r="Z171">
        <v>1.7518031276070344E-2</v>
      </c>
    </row>
    <row r="172" spans="9:26" x14ac:dyDescent="0.25">
      <c r="I172" t="s">
        <v>255</v>
      </c>
      <c r="J172" t="s">
        <v>194</v>
      </c>
      <c r="K172">
        <v>0</v>
      </c>
      <c r="L172" t="s">
        <v>31</v>
      </c>
      <c r="N172" t="s">
        <v>265</v>
      </c>
      <c r="O172" t="s">
        <v>194</v>
      </c>
      <c r="P172">
        <v>4.1796499292267144E-3</v>
      </c>
      <c r="Q172" t="s">
        <v>31</v>
      </c>
      <c r="X172" t="s">
        <v>5</v>
      </c>
      <c r="Y172" t="s">
        <v>194</v>
      </c>
      <c r="Z172">
        <v>3.5419323899115326E-3</v>
      </c>
    </row>
    <row r="173" spans="9:26" x14ac:dyDescent="0.25">
      <c r="I173" t="s">
        <v>255</v>
      </c>
      <c r="J173" t="s">
        <v>195</v>
      </c>
      <c r="K173">
        <v>2.8660929714589219E-2</v>
      </c>
      <c r="L173" t="s">
        <v>31</v>
      </c>
      <c r="N173" t="s">
        <v>265</v>
      </c>
      <c r="O173" t="s">
        <v>195</v>
      </c>
      <c r="P173">
        <v>3.8594145638266464E-2</v>
      </c>
      <c r="Q173" t="s">
        <v>31</v>
      </c>
      <c r="X173" t="s">
        <v>5</v>
      </c>
      <c r="Y173" t="s">
        <v>195</v>
      </c>
      <c r="Z173">
        <v>3.2027367210469997E-2</v>
      </c>
    </row>
    <row r="174" spans="9:26" x14ac:dyDescent="0.25">
      <c r="I174" t="s">
        <v>255</v>
      </c>
      <c r="J174" t="s">
        <v>196</v>
      </c>
      <c r="K174">
        <v>4.2748600280489643E-3</v>
      </c>
      <c r="L174" t="s">
        <v>31</v>
      </c>
      <c r="N174" t="s">
        <v>265</v>
      </c>
      <c r="O174" t="s">
        <v>196</v>
      </c>
      <c r="P174">
        <v>4.1977833399114931E-3</v>
      </c>
      <c r="Q174" t="s">
        <v>31</v>
      </c>
      <c r="X174" t="s">
        <v>5</v>
      </c>
      <c r="Y174" t="s">
        <v>196</v>
      </c>
      <c r="Z174">
        <v>3.5604753796823299E-3</v>
      </c>
    </row>
    <row r="175" spans="9:26" x14ac:dyDescent="0.25">
      <c r="I175" t="s">
        <v>255</v>
      </c>
      <c r="J175" t="s">
        <v>197</v>
      </c>
      <c r="K175">
        <v>4.8297163299620303E-3</v>
      </c>
      <c r="L175" t="s">
        <v>31</v>
      </c>
      <c r="N175" t="s">
        <v>265</v>
      </c>
      <c r="O175" t="s">
        <v>197</v>
      </c>
      <c r="P175">
        <v>1.2688605625850254E-2</v>
      </c>
      <c r="Q175" t="s">
        <v>31</v>
      </c>
      <c r="X175" t="s">
        <v>5</v>
      </c>
      <c r="Y175" t="s">
        <v>197</v>
      </c>
      <c r="Z175">
        <v>1.0677104386231075E-2</v>
      </c>
    </row>
    <row r="176" spans="9:26" x14ac:dyDescent="0.25">
      <c r="I176" t="s">
        <v>255</v>
      </c>
      <c r="J176" t="s">
        <v>198</v>
      </c>
      <c r="K176">
        <v>0</v>
      </c>
      <c r="L176" t="s">
        <v>31</v>
      </c>
      <c r="N176" t="s">
        <v>265</v>
      </c>
      <c r="O176" t="s">
        <v>198</v>
      </c>
      <c r="P176">
        <v>4.186646365032653E-3</v>
      </c>
      <c r="Q176" t="s">
        <v>31</v>
      </c>
      <c r="X176" t="s">
        <v>5</v>
      </c>
      <c r="Y176" t="s">
        <v>198</v>
      </c>
      <c r="Z176">
        <v>3.5475892379909441E-3</v>
      </c>
    </row>
    <row r="177" spans="9:26" x14ac:dyDescent="0.25">
      <c r="I177" t="s">
        <v>255</v>
      </c>
      <c r="J177" t="s">
        <v>199</v>
      </c>
      <c r="K177">
        <v>0</v>
      </c>
      <c r="L177" t="s">
        <v>31</v>
      </c>
      <c r="N177" t="s">
        <v>265</v>
      </c>
      <c r="O177" t="s">
        <v>199</v>
      </c>
      <c r="P177">
        <v>4.1856555676755497E-3</v>
      </c>
      <c r="Q177" t="s">
        <v>31</v>
      </c>
      <c r="X177" t="s">
        <v>5</v>
      </c>
      <c r="Y177" t="s">
        <v>199</v>
      </c>
      <c r="Z177">
        <v>3.5309648295617654E-3</v>
      </c>
    </row>
    <row r="178" spans="9:26" x14ac:dyDescent="0.25">
      <c r="I178" t="s">
        <v>255</v>
      </c>
      <c r="J178" t="s">
        <v>200</v>
      </c>
      <c r="K178">
        <v>0</v>
      </c>
      <c r="L178" t="s">
        <v>31</v>
      </c>
      <c r="N178" t="s">
        <v>265</v>
      </c>
      <c r="O178" t="s">
        <v>200</v>
      </c>
      <c r="P178">
        <v>1.302626194222594E-2</v>
      </c>
      <c r="Q178" t="s">
        <v>31</v>
      </c>
      <c r="X178" t="s">
        <v>5</v>
      </c>
      <c r="Y178" t="s">
        <v>200</v>
      </c>
      <c r="Z178">
        <v>1.0500941038611234E-2</v>
      </c>
    </row>
    <row r="179" spans="9:26" x14ac:dyDescent="0.25">
      <c r="I179" t="s">
        <v>255</v>
      </c>
      <c r="J179" t="s">
        <v>201</v>
      </c>
      <c r="K179">
        <v>0</v>
      </c>
      <c r="L179" t="s">
        <v>31</v>
      </c>
      <c r="N179" t="s">
        <v>265</v>
      </c>
      <c r="O179" t="s">
        <v>201</v>
      </c>
      <c r="P179">
        <v>2.3025577895510151E-2</v>
      </c>
      <c r="Q179" t="s">
        <v>31</v>
      </c>
      <c r="X179" t="s">
        <v>5</v>
      </c>
      <c r="Y179" t="s">
        <v>201</v>
      </c>
      <c r="Z179">
        <v>1.6968870813844024E-2</v>
      </c>
    </row>
    <row r="180" spans="9:26" x14ac:dyDescent="0.25">
      <c r="I180" t="s">
        <v>255</v>
      </c>
      <c r="J180" t="s">
        <v>202</v>
      </c>
      <c r="K180">
        <v>0</v>
      </c>
      <c r="L180" t="s">
        <v>31</v>
      </c>
      <c r="N180" t="s">
        <v>265</v>
      </c>
      <c r="O180" t="s">
        <v>202</v>
      </c>
      <c r="P180">
        <v>4.3629421465161983E-3</v>
      </c>
      <c r="Q180" t="s">
        <v>31</v>
      </c>
      <c r="X180" t="s">
        <v>5</v>
      </c>
      <c r="Y180" t="s">
        <v>202</v>
      </c>
      <c r="Z180">
        <v>3.4287378353211649E-3</v>
      </c>
    </row>
    <row r="181" spans="9:26" x14ac:dyDescent="0.25">
      <c r="I181" t="s">
        <v>255</v>
      </c>
      <c r="J181" t="s">
        <v>203</v>
      </c>
      <c r="K181">
        <v>1.2092888687475101E-2</v>
      </c>
      <c r="L181" t="s">
        <v>31</v>
      </c>
      <c r="N181" t="s">
        <v>265</v>
      </c>
      <c r="O181" t="s">
        <v>203</v>
      </c>
      <c r="P181">
        <v>3.9423359964118589E-2</v>
      </c>
      <c r="Q181" t="s">
        <v>31</v>
      </c>
      <c r="X181" t="s">
        <v>5</v>
      </c>
      <c r="Y181" t="s">
        <v>203</v>
      </c>
      <c r="Z181">
        <v>3.095718043793113E-2</v>
      </c>
    </row>
    <row r="182" spans="9:26" x14ac:dyDescent="0.25">
      <c r="I182" t="s">
        <v>255</v>
      </c>
      <c r="J182" t="s">
        <v>204</v>
      </c>
      <c r="K182">
        <v>1.5947187723850151E-3</v>
      </c>
      <c r="L182" t="s">
        <v>31</v>
      </c>
      <c r="N182" t="s">
        <v>265</v>
      </c>
      <c r="O182" t="s">
        <v>204</v>
      </c>
      <c r="P182">
        <v>4.546909942324315E-3</v>
      </c>
      <c r="Q182" t="s">
        <v>31</v>
      </c>
      <c r="X182" t="s">
        <v>5</v>
      </c>
      <c r="Y182" t="s">
        <v>204</v>
      </c>
      <c r="Z182">
        <v>3.4444425114577111E-3</v>
      </c>
    </row>
    <row r="183" spans="9:26" x14ac:dyDescent="0.25">
      <c r="I183" t="s">
        <v>255</v>
      </c>
      <c r="J183" t="s">
        <v>205</v>
      </c>
      <c r="K183">
        <v>2.5946071685456224E-4</v>
      </c>
      <c r="L183" t="s">
        <v>31</v>
      </c>
      <c r="N183" t="s">
        <v>265</v>
      </c>
      <c r="O183" t="s">
        <v>205</v>
      </c>
      <c r="P183">
        <v>1.4181559015853468E-2</v>
      </c>
      <c r="Q183" t="s">
        <v>31</v>
      </c>
      <c r="X183" t="s">
        <v>5</v>
      </c>
      <c r="Y183" t="s">
        <v>205</v>
      </c>
      <c r="Z183">
        <v>1.0328976112773587E-2</v>
      </c>
    </row>
    <row r="184" spans="9:26" x14ac:dyDescent="0.25">
      <c r="I184" t="s">
        <v>255</v>
      </c>
      <c r="J184" t="s">
        <v>206</v>
      </c>
      <c r="K184">
        <v>0</v>
      </c>
      <c r="L184" t="s">
        <v>31</v>
      </c>
      <c r="N184" t="s">
        <v>265</v>
      </c>
      <c r="O184" t="s">
        <v>206</v>
      </c>
      <c r="P184">
        <v>4.8982633655495697E-3</v>
      </c>
      <c r="Q184" t="s">
        <v>31</v>
      </c>
      <c r="X184" t="s">
        <v>5</v>
      </c>
      <c r="Y184" t="s">
        <v>206</v>
      </c>
      <c r="Z184">
        <v>3.4392801431055216E-3</v>
      </c>
    </row>
    <row r="185" spans="9:26" x14ac:dyDescent="0.25">
      <c r="I185" t="s">
        <v>255</v>
      </c>
      <c r="J185" t="s">
        <v>207</v>
      </c>
      <c r="K185">
        <v>0</v>
      </c>
      <c r="L185" t="s">
        <v>31</v>
      </c>
      <c r="N185" t="s">
        <v>265</v>
      </c>
      <c r="O185" t="s">
        <v>207</v>
      </c>
      <c r="P185">
        <v>4.8974972987533187E-3</v>
      </c>
      <c r="Q185" t="s">
        <v>31</v>
      </c>
      <c r="X185" t="s">
        <v>5</v>
      </c>
      <c r="Y185" t="s">
        <v>207</v>
      </c>
      <c r="Z185">
        <v>3.4253852627706047E-3</v>
      </c>
    </row>
    <row r="186" spans="9:26" x14ac:dyDescent="0.25">
      <c r="I186" t="s">
        <v>255</v>
      </c>
      <c r="J186" t="s">
        <v>208</v>
      </c>
      <c r="K186">
        <v>0</v>
      </c>
      <c r="L186" t="s">
        <v>31</v>
      </c>
      <c r="N186" t="s">
        <v>265</v>
      </c>
      <c r="O186" t="s">
        <v>208</v>
      </c>
      <c r="P186">
        <v>1.4381622889702992E-2</v>
      </c>
      <c r="Q186" t="s">
        <v>31</v>
      </c>
      <c r="X186" t="s">
        <v>5</v>
      </c>
      <c r="Y186" t="s">
        <v>208</v>
      </c>
      <c r="Z186">
        <v>1.0200688292343307E-2</v>
      </c>
    </row>
    <row r="187" spans="9:26" x14ac:dyDescent="0.25">
      <c r="I187" t="s">
        <v>255</v>
      </c>
      <c r="J187" t="s">
        <v>209</v>
      </c>
      <c r="K187">
        <v>0</v>
      </c>
      <c r="L187" t="s">
        <v>31</v>
      </c>
      <c r="N187" t="s">
        <v>265</v>
      </c>
      <c r="O187" t="s">
        <v>209</v>
      </c>
      <c r="P187">
        <v>2.8072250885638337E-2</v>
      </c>
      <c r="Q187" t="s">
        <v>31</v>
      </c>
      <c r="X187" t="s">
        <v>5</v>
      </c>
      <c r="Y187" t="s">
        <v>209</v>
      </c>
      <c r="Z187">
        <v>1.7564166852719741E-2</v>
      </c>
    </row>
    <row r="188" spans="9:26" x14ac:dyDescent="0.25">
      <c r="I188" t="s">
        <v>255</v>
      </c>
      <c r="J188" t="s">
        <v>210</v>
      </c>
      <c r="K188">
        <v>0</v>
      </c>
      <c r="L188" t="s">
        <v>31</v>
      </c>
      <c r="N188" t="s">
        <v>265</v>
      </c>
      <c r="O188" t="s">
        <v>210</v>
      </c>
      <c r="P188">
        <v>5.5896667703824411E-3</v>
      </c>
      <c r="Q188" t="s">
        <v>31</v>
      </c>
      <c r="X188" t="s">
        <v>5</v>
      </c>
      <c r="Y188" t="s">
        <v>210</v>
      </c>
      <c r="Z188">
        <v>3.5520515466693206E-3</v>
      </c>
    </row>
    <row r="189" spans="9:26" x14ac:dyDescent="0.25">
      <c r="I189" t="s">
        <v>255</v>
      </c>
      <c r="J189" t="s">
        <v>211</v>
      </c>
      <c r="K189">
        <v>4.5263023002266442E-3</v>
      </c>
      <c r="L189" t="s">
        <v>31</v>
      </c>
      <c r="N189" t="s">
        <v>265</v>
      </c>
      <c r="O189" t="s">
        <v>211</v>
      </c>
      <c r="P189">
        <v>5.2160498067877814E-2</v>
      </c>
      <c r="Q189" t="s">
        <v>31</v>
      </c>
      <c r="X189" t="s">
        <v>5</v>
      </c>
      <c r="Y189" t="s">
        <v>211</v>
      </c>
      <c r="Z189">
        <v>3.1997658003119024E-2</v>
      </c>
    </row>
    <row r="190" spans="9:26" x14ac:dyDescent="0.25">
      <c r="I190" t="s">
        <v>255</v>
      </c>
      <c r="J190" t="s">
        <v>212</v>
      </c>
      <c r="K190">
        <v>6.3906024040864611E-4</v>
      </c>
      <c r="L190" t="s">
        <v>31</v>
      </c>
      <c r="N190" t="s">
        <v>265</v>
      </c>
      <c r="O190" t="s">
        <v>212</v>
      </c>
      <c r="P190">
        <v>5.7232433259009723E-3</v>
      </c>
      <c r="Q190" t="s">
        <v>31</v>
      </c>
      <c r="X190" t="s">
        <v>5</v>
      </c>
      <c r="Y190" t="s">
        <v>212</v>
      </c>
      <c r="Z190">
        <v>3.5585490102850075E-3</v>
      </c>
    </row>
    <row r="191" spans="9:26" x14ac:dyDescent="0.25">
      <c r="I191" t="s">
        <v>255</v>
      </c>
      <c r="J191" t="s">
        <v>213</v>
      </c>
      <c r="K191">
        <v>0</v>
      </c>
      <c r="L191" t="s">
        <v>31</v>
      </c>
      <c r="N191" t="s">
        <v>265</v>
      </c>
      <c r="O191" t="s">
        <v>213</v>
      </c>
      <c r="P191">
        <v>1.7713351772220418E-2</v>
      </c>
      <c r="Q191" t="s">
        <v>31</v>
      </c>
      <c r="X191" t="s">
        <v>5</v>
      </c>
      <c r="Y191" t="s">
        <v>213</v>
      </c>
      <c r="Z191">
        <v>1.0670949473446422E-2</v>
      </c>
    </row>
    <row r="192" spans="9:26" x14ac:dyDescent="0.25">
      <c r="I192" t="s">
        <v>255</v>
      </c>
      <c r="J192" t="s">
        <v>214</v>
      </c>
      <c r="K192">
        <v>0</v>
      </c>
      <c r="L192" t="s">
        <v>31</v>
      </c>
      <c r="N192" t="s">
        <v>265</v>
      </c>
      <c r="O192" t="s">
        <v>214</v>
      </c>
      <c r="P192">
        <v>6.0051350434172949E-3</v>
      </c>
      <c r="Q192" t="s">
        <v>31</v>
      </c>
      <c r="X192" t="s">
        <v>5</v>
      </c>
      <c r="Y192" t="s">
        <v>214</v>
      </c>
      <c r="Z192">
        <v>3.5476902354752288E-3</v>
      </c>
    </row>
    <row r="193" spans="9:26" x14ac:dyDescent="0.25">
      <c r="I193" t="s">
        <v>255</v>
      </c>
      <c r="J193" t="s">
        <v>215</v>
      </c>
      <c r="K193">
        <v>0</v>
      </c>
      <c r="L193" t="s">
        <v>31</v>
      </c>
      <c r="N193" t="s">
        <v>265</v>
      </c>
      <c r="O193" t="s">
        <v>215</v>
      </c>
      <c r="P193">
        <v>5.980710060184042E-3</v>
      </c>
      <c r="Q193" t="s">
        <v>31</v>
      </c>
      <c r="X193" t="s">
        <v>5</v>
      </c>
      <c r="Y193" t="s">
        <v>215</v>
      </c>
      <c r="Z193">
        <v>3.5329448500094913E-3</v>
      </c>
    </row>
    <row r="194" spans="9:26" x14ac:dyDescent="0.25">
      <c r="I194" t="s">
        <v>255</v>
      </c>
      <c r="J194" t="s">
        <v>216</v>
      </c>
      <c r="K194">
        <v>0</v>
      </c>
      <c r="L194" t="s">
        <v>31</v>
      </c>
      <c r="N194" t="s">
        <v>265</v>
      </c>
      <c r="O194" t="s">
        <v>216</v>
      </c>
      <c r="P194">
        <v>1.7593816799919105E-2</v>
      </c>
      <c r="Q194" t="s">
        <v>31</v>
      </c>
      <c r="X194" t="s">
        <v>5</v>
      </c>
      <c r="Y194" t="s">
        <v>216</v>
      </c>
      <c r="Z194">
        <v>1.0541969381398029E-2</v>
      </c>
    </row>
    <row r="195" spans="9:26" x14ac:dyDescent="0.25">
      <c r="I195" t="s">
        <v>256</v>
      </c>
      <c r="J195" t="s">
        <v>121</v>
      </c>
      <c r="K195">
        <v>0</v>
      </c>
      <c r="L195" t="s">
        <v>31</v>
      </c>
      <c r="N195" t="s">
        <v>266</v>
      </c>
      <c r="O195" t="s">
        <v>121</v>
      </c>
      <c r="P195">
        <v>1.9486301938568304E-2</v>
      </c>
      <c r="Q195" t="s">
        <v>31</v>
      </c>
      <c r="X195" t="s">
        <v>35</v>
      </c>
      <c r="Y195" t="s">
        <v>121</v>
      </c>
      <c r="Z195">
        <v>1.8478957293394084E-2</v>
      </c>
    </row>
    <row r="196" spans="9:26" x14ac:dyDescent="0.25">
      <c r="I196" t="s">
        <v>256</v>
      </c>
      <c r="J196" t="s">
        <v>122</v>
      </c>
      <c r="K196">
        <v>0</v>
      </c>
      <c r="L196" t="s">
        <v>31</v>
      </c>
      <c r="N196" t="s">
        <v>266</v>
      </c>
      <c r="O196" t="s">
        <v>122</v>
      </c>
      <c r="P196">
        <v>3.9381276045911155E-3</v>
      </c>
      <c r="Q196" t="s">
        <v>31</v>
      </c>
      <c r="X196" t="s">
        <v>35</v>
      </c>
      <c r="Y196" t="s">
        <v>122</v>
      </c>
      <c r="Z196">
        <v>4.1712445978343074E-3</v>
      </c>
    </row>
    <row r="197" spans="9:26" x14ac:dyDescent="0.25">
      <c r="I197" t="s">
        <v>256</v>
      </c>
      <c r="J197" t="s">
        <v>123</v>
      </c>
      <c r="K197">
        <v>8.244810902901795E-3</v>
      </c>
      <c r="L197" t="s">
        <v>31</v>
      </c>
      <c r="N197" t="s">
        <v>266</v>
      </c>
      <c r="O197" t="s">
        <v>123</v>
      </c>
      <c r="P197">
        <v>3.8022678670011856E-2</v>
      </c>
      <c r="Q197" t="s">
        <v>31</v>
      </c>
      <c r="X197" t="s">
        <v>35</v>
      </c>
      <c r="Y197" t="s">
        <v>123</v>
      </c>
      <c r="Z197">
        <v>3.8466887803889016E-2</v>
      </c>
    </row>
    <row r="198" spans="9:26" x14ac:dyDescent="0.25">
      <c r="I198" t="s">
        <v>256</v>
      </c>
      <c r="J198" t="s">
        <v>124</v>
      </c>
      <c r="K198">
        <v>1.4127396844557706E-3</v>
      </c>
      <c r="L198" t="s">
        <v>31</v>
      </c>
      <c r="N198" t="s">
        <v>266</v>
      </c>
      <c r="O198" t="s">
        <v>124</v>
      </c>
      <c r="P198">
        <v>4.3550582977948471E-3</v>
      </c>
      <c r="Q198" t="s">
        <v>31</v>
      </c>
      <c r="X198" t="s">
        <v>35</v>
      </c>
      <c r="Y198" t="s">
        <v>124</v>
      </c>
      <c r="Z198">
        <v>4.3174704668137642E-3</v>
      </c>
    </row>
    <row r="199" spans="9:26" x14ac:dyDescent="0.25">
      <c r="I199" t="s">
        <v>256</v>
      </c>
      <c r="J199" t="s">
        <v>125</v>
      </c>
      <c r="K199">
        <v>6.1816345125984083E-4</v>
      </c>
      <c r="L199" t="s">
        <v>31</v>
      </c>
      <c r="N199" t="s">
        <v>266</v>
      </c>
      <c r="O199" t="s">
        <v>125</v>
      </c>
      <c r="P199">
        <v>1.2544253680139162E-2</v>
      </c>
      <c r="Q199" t="s">
        <v>31</v>
      </c>
      <c r="X199" t="s">
        <v>35</v>
      </c>
      <c r="Y199" t="s">
        <v>125</v>
      </c>
      <c r="Z199">
        <v>1.2948167016603873E-2</v>
      </c>
    </row>
    <row r="200" spans="9:26" x14ac:dyDescent="0.25">
      <c r="I200" t="s">
        <v>256</v>
      </c>
      <c r="J200" t="s">
        <v>126</v>
      </c>
      <c r="K200">
        <v>0</v>
      </c>
      <c r="L200" t="s">
        <v>31</v>
      </c>
      <c r="N200" t="s">
        <v>266</v>
      </c>
      <c r="O200" t="s">
        <v>126</v>
      </c>
      <c r="P200">
        <v>4.0373607721423234E-3</v>
      </c>
      <c r="Q200" t="s">
        <v>31</v>
      </c>
      <c r="X200" t="s">
        <v>35</v>
      </c>
      <c r="Y200" t="s">
        <v>126</v>
      </c>
      <c r="Z200">
        <v>4.2717406538557694E-3</v>
      </c>
    </row>
    <row r="201" spans="9:26" x14ac:dyDescent="0.25">
      <c r="I201" t="s">
        <v>256</v>
      </c>
      <c r="J201" t="s">
        <v>127</v>
      </c>
      <c r="K201">
        <v>0</v>
      </c>
      <c r="L201" t="s">
        <v>31</v>
      </c>
      <c r="N201" t="s">
        <v>266</v>
      </c>
      <c r="O201" t="s">
        <v>127</v>
      </c>
      <c r="P201">
        <v>3.989705726542914E-3</v>
      </c>
      <c r="Q201" t="s">
        <v>31</v>
      </c>
      <c r="X201" t="s">
        <v>35</v>
      </c>
      <c r="Y201" t="s">
        <v>127</v>
      </c>
      <c r="Z201">
        <v>4.1027867940049735E-3</v>
      </c>
    </row>
    <row r="202" spans="9:26" x14ac:dyDescent="0.25">
      <c r="I202" t="s">
        <v>256</v>
      </c>
      <c r="J202" t="s">
        <v>128</v>
      </c>
      <c r="K202">
        <v>0</v>
      </c>
      <c r="L202" t="s">
        <v>31</v>
      </c>
      <c r="N202" t="s">
        <v>266</v>
      </c>
      <c r="O202" t="s">
        <v>128</v>
      </c>
      <c r="P202">
        <v>1.1854357155323816E-2</v>
      </c>
      <c r="Q202" t="s">
        <v>31</v>
      </c>
      <c r="X202" t="s">
        <v>35</v>
      </c>
      <c r="Y202" t="s">
        <v>128</v>
      </c>
      <c r="Z202">
        <v>1.1227685490765055E-2</v>
      </c>
    </row>
    <row r="203" spans="9:26" x14ac:dyDescent="0.25">
      <c r="I203" t="s">
        <v>256</v>
      </c>
      <c r="J203" t="s">
        <v>129</v>
      </c>
      <c r="K203">
        <v>0</v>
      </c>
      <c r="L203" t="s">
        <v>31</v>
      </c>
      <c r="N203" t="s">
        <v>266</v>
      </c>
      <c r="O203" t="s">
        <v>129</v>
      </c>
      <c r="P203">
        <v>1.1734981519040476E-2</v>
      </c>
      <c r="Q203" t="s">
        <v>31</v>
      </c>
      <c r="X203" t="s">
        <v>35</v>
      </c>
      <c r="Y203" t="s">
        <v>129</v>
      </c>
      <c r="Z203">
        <v>1.6569501564808842E-2</v>
      </c>
    </row>
    <row r="204" spans="9:26" x14ac:dyDescent="0.25">
      <c r="I204" t="s">
        <v>256</v>
      </c>
      <c r="J204" t="s">
        <v>130</v>
      </c>
      <c r="K204">
        <v>0</v>
      </c>
      <c r="L204" t="s">
        <v>31</v>
      </c>
      <c r="N204" t="s">
        <v>266</v>
      </c>
      <c r="O204" t="s">
        <v>130</v>
      </c>
      <c r="P204">
        <v>2.5275840666760139E-3</v>
      </c>
      <c r="Q204" t="s">
        <v>31</v>
      </c>
      <c r="X204" t="s">
        <v>35</v>
      </c>
      <c r="Y204" t="s">
        <v>130</v>
      </c>
      <c r="Z204">
        <v>3.6635006255574106E-3</v>
      </c>
    </row>
    <row r="205" spans="9:26" x14ac:dyDescent="0.25">
      <c r="I205" t="s">
        <v>256</v>
      </c>
      <c r="J205" t="s">
        <v>131</v>
      </c>
      <c r="K205">
        <v>2.0491651333539897E-2</v>
      </c>
      <c r="L205" t="s">
        <v>31</v>
      </c>
      <c r="N205" t="s">
        <v>266</v>
      </c>
      <c r="O205" t="s">
        <v>131</v>
      </c>
      <c r="P205">
        <v>2.3578225813490328E-2</v>
      </c>
      <c r="Q205" t="s">
        <v>31</v>
      </c>
      <c r="X205" t="s">
        <v>35</v>
      </c>
      <c r="Y205" t="s">
        <v>131</v>
      </c>
      <c r="Z205">
        <v>3.2669743630736992E-2</v>
      </c>
    </row>
    <row r="206" spans="9:26" x14ac:dyDescent="0.25">
      <c r="I206" t="s">
        <v>256</v>
      </c>
      <c r="J206" t="s">
        <v>132</v>
      </c>
      <c r="K206">
        <v>3.4699017702487403E-3</v>
      </c>
      <c r="L206" t="s">
        <v>31</v>
      </c>
      <c r="N206" t="s">
        <v>266</v>
      </c>
      <c r="O206" t="s">
        <v>132</v>
      </c>
      <c r="P206">
        <v>2.5927391848114757E-3</v>
      </c>
      <c r="Q206" t="s">
        <v>31</v>
      </c>
      <c r="X206" t="s">
        <v>35</v>
      </c>
      <c r="Y206" t="s">
        <v>132</v>
      </c>
      <c r="Z206">
        <v>3.6733585493088348E-3</v>
      </c>
    </row>
    <row r="207" spans="9:26" x14ac:dyDescent="0.25">
      <c r="I207" t="s">
        <v>256</v>
      </c>
      <c r="J207" t="s">
        <v>133</v>
      </c>
      <c r="K207">
        <v>3.6213769630866659E-3</v>
      </c>
      <c r="L207" t="s">
        <v>31</v>
      </c>
      <c r="N207" t="s">
        <v>266</v>
      </c>
      <c r="O207" t="s">
        <v>133</v>
      </c>
      <c r="P207">
        <v>7.7781360949354464E-3</v>
      </c>
      <c r="Q207" t="s">
        <v>31</v>
      </c>
      <c r="X207" t="s">
        <v>35</v>
      </c>
      <c r="Y207" t="s">
        <v>133</v>
      </c>
      <c r="Z207">
        <v>1.10207602259648E-2</v>
      </c>
    </row>
    <row r="208" spans="9:26" x14ac:dyDescent="0.25">
      <c r="I208" t="s">
        <v>256</v>
      </c>
      <c r="J208" t="s">
        <v>134</v>
      </c>
      <c r="K208">
        <v>0</v>
      </c>
      <c r="L208" t="s">
        <v>31</v>
      </c>
      <c r="N208" t="s">
        <v>266</v>
      </c>
      <c r="O208" t="s">
        <v>134</v>
      </c>
      <c r="P208">
        <v>2.6011653609513755E-3</v>
      </c>
      <c r="Q208" t="s">
        <v>31</v>
      </c>
      <c r="X208" t="s">
        <v>35</v>
      </c>
      <c r="Y208" t="s">
        <v>134</v>
      </c>
      <c r="Z208">
        <v>3.6725370556628832E-3</v>
      </c>
    </row>
    <row r="209" spans="9:26" x14ac:dyDescent="0.25">
      <c r="I209" t="s">
        <v>256</v>
      </c>
      <c r="J209" t="s">
        <v>135</v>
      </c>
      <c r="K209">
        <v>0</v>
      </c>
      <c r="L209" t="s">
        <v>31</v>
      </c>
      <c r="N209" t="s">
        <v>266</v>
      </c>
      <c r="O209" t="s">
        <v>135</v>
      </c>
      <c r="P209">
        <v>2.5392959019223233E-3</v>
      </c>
      <c r="Q209" t="s">
        <v>31</v>
      </c>
      <c r="X209" t="s">
        <v>35</v>
      </c>
      <c r="Y209" t="s">
        <v>135</v>
      </c>
      <c r="Z209">
        <v>3.4805813737254308E-3</v>
      </c>
    </row>
    <row r="210" spans="9:26" x14ac:dyDescent="0.25">
      <c r="I210" t="s">
        <v>256</v>
      </c>
      <c r="J210" t="s">
        <v>136</v>
      </c>
      <c r="K210">
        <v>0</v>
      </c>
      <c r="L210" t="s">
        <v>31</v>
      </c>
      <c r="N210" t="s">
        <v>266</v>
      </c>
      <c r="O210" t="s">
        <v>136</v>
      </c>
      <c r="P210">
        <v>6.89082281083871E-3</v>
      </c>
      <c r="Q210" t="s">
        <v>31</v>
      </c>
      <c r="X210" t="s">
        <v>35</v>
      </c>
      <c r="Y210" t="s">
        <v>136</v>
      </c>
      <c r="Z210">
        <v>9.9024335426087986E-3</v>
      </c>
    </row>
    <row r="211" spans="9:26" x14ac:dyDescent="0.25">
      <c r="I211" t="s">
        <v>256</v>
      </c>
      <c r="J211" t="s">
        <v>137</v>
      </c>
      <c r="K211">
        <v>0</v>
      </c>
      <c r="L211" t="s">
        <v>31</v>
      </c>
      <c r="N211" t="s">
        <v>266</v>
      </c>
      <c r="O211" t="s">
        <v>137</v>
      </c>
      <c r="P211">
        <v>1.5186608789952233E-2</v>
      </c>
      <c r="Q211" t="s">
        <v>31</v>
      </c>
      <c r="X211" t="s">
        <v>35</v>
      </c>
      <c r="Y211" t="s">
        <v>137</v>
      </c>
      <c r="Z211">
        <v>1.989855025272743E-2</v>
      </c>
    </row>
    <row r="212" spans="9:26" x14ac:dyDescent="0.25">
      <c r="I212" t="s">
        <v>256</v>
      </c>
      <c r="J212" t="s">
        <v>138</v>
      </c>
      <c r="K212">
        <v>0</v>
      </c>
      <c r="L212" t="s">
        <v>31</v>
      </c>
      <c r="N212" t="s">
        <v>266</v>
      </c>
      <c r="O212" t="s">
        <v>138</v>
      </c>
      <c r="P212">
        <v>2.9376540208549437E-3</v>
      </c>
      <c r="Q212" t="s">
        <v>31</v>
      </c>
      <c r="X212" t="s">
        <v>35</v>
      </c>
      <c r="Y212" t="s">
        <v>138</v>
      </c>
      <c r="Z212">
        <v>4.4755362321205862E-3</v>
      </c>
    </row>
    <row r="213" spans="9:26" x14ac:dyDescent="0.25">
      <c r="I213" t="s">
        <v>256</v>
      </c>
      <c r="J213" t="s">
        <v>139</v>
      </c>
      <c r="K213">
        <v>7.8267129520329284E-2</v>
      </c>
      <c r="L213" t="s">
        <v>31</v>
      </c>
      <c r="N213" t="s">
        <v>266</v>
      </c>
      <c r="O213" t="s">
        <v>139</v>
      </c>
      <c r="P213">
        <v>2.8118785075248776E-2</v>
      </c>
      <c r="Q213" t="s">
        <v>31</v>
      </c>
      <c r="X213" t="s">
        <v>35</v>
      </c>
      <c r="Y213" t="s">
        <v>139</v>
      </c>
      <c r="Z213">
        <v>4.0617049230748568E-2</v>
      </c>
    </row>
    <row r="214" spans="9:26" x14ac:dyDescent="0.25">
      <c r="I214" t="s">
        <v>256</v>
      </c>
      <c r="J214" t="s">
        <v>140</v>
      </c>
      <c r="K214">
        <v>1.2311100614487243E-2</v>
      </c>
      <c r="L214" t="s">
        <v>31</v>
      </c>
      <c r="N214" t="s">
        <v>266</v>
      </c>
      <c r="O214" t="s">
        <v>140</v>
      </c>
      <c r="P214">
        <v>3.5565485870374929E-3</v>
      </c>
      <c r="Q214" t="s">
        <v>31</v>
      </c>
      <c r="X214" t="s">
        <v>35</v>
      </c>
      <c r="Y214" t="s">
        <v>140</v>
      </c>
      <c r="Z214">
        <v>4.7067866934560757E-3</v>
      </c>
    </row>
    <row r="215" spans="9:26" x14ac:dyDescent="0.25">
      <c r="I215" t="s">
        <v>256</v>
      </c>
      <c r="J215" t="s">
        <v>141</v>
      </c>
      <c r="K215">
        <v>2.3495211201224182E-2</v>
      </c>
      <c r="L215" t="s">
        <v>31</v>
      </c>
      <c r="N215" t="s">
        <v>266</v>
      </c>
      <c r="O215" t="s">
        <v>141</v>
      </c>
      <c r="P215">
        <v>1.1349097589523342E-2</v>
      </c>
      <c r="Q215" t="s">
        <v>31</v>
      </c>
      <c r="X215" t="s">
        <v>35</v>
      </c>
      <c r="Y215" t="s">
        <v>141</v>
      </c>
      <c r="Z215">
        <v>1.4151576838914404E-2</v>
      </c>
    </row>
    <row r="216" spans="9:26" x14ac:dyDescent="0.25">
      <c r="I216" t="s">
        <v>256</v>
      </c>
      <c r="J216" t="s">
        <v>142</v>
      </c>
      <c r="K216">
        <v>3.2923404097034135E-4</v>
      </c>
      <c r="L216" t="s">
        <v>31</v>
      </c>
      <c r="N216" t="s">
        <v>266</v>
      </c>
      <c r="O216" t="s">
        <v>142</v>
      </c>
      <c r="P216">
        <v>3.9255777378949756E-3</v>
      </c>
      <c r="Q216" t="s">
        <v>31</v>
      </c>
      <c r="X216" t="s">
        <v>35</v>
      </c>
      <c r="Y216" t="s">
        <v>142</v>
      </c>
      <c r="Z216">
        <v>4.4701965234218979E-3</v>
      </c>
    </row>
    <row r="217" spans="9:26" x14ac:dyDescent="0.25">
      <c r="I217" t="s">
        <v>256</v>
      </c>
      <c r="J217" t="s">
        <v>143</v>
      </c>
      <c r="K217">
        <v>0</v>
      </c>
      <c r="L217" t="s">
        <v>31</v>
      </c>
      <c r="N217" t="s">
        <v>266</v>
      </c>
      <c r="O217" t="s">
        <v>143</v>
      </c>
      <c r="P217">
        <v>3.771067765970981E-3</v>
      </c>
      <c r="Q217" t="s">
        <v>31</v>
      </c>
      <c r="X217" t="s">
        <v>35</v>
      </c>
      <c r="Y217" t="s">
        <v>143</v>
      </c>
      <c r="Z217">
        <v>4.2570189222973518E-3</v>
      </c>
    </row>
    <row r="218" spans="9:26" x14ac:dyDescent="0.25">
      <c r="I218" t="s">
        <v>256</v>
      </c>
      <c r="J218" t="s">
        <v>144</v>
      </c>
      <c r="K218">
        <v>0</v>
      </c>
      <c r="L218" t="s">
        <v>31</v>
      </c>
      <c r="N218" t="s">
        <v>266</v>
      </c>
      <c r="O218" t="s">
        <v>144</v>
      </c>
      <c r="P218">
        <v>1.0087584810998201E-2</v>
      </c>
      <c r="Q218" t="s">
        <v>31</v>
      </c>
      <c r="X218" t="s">
        <v>35</v>
      </c>
      <c r="Y218" t="s">
        <v>144</v>
      </c>
      <c r="Z218">
        <v>1.1790330269233018E-2</v>
      </c>
    </row>
    <row r="219" spans="9:26" x14ac:dyDescent="0.25">
      <c r="I219" t="s">
        <v>256</v>
      </c>
      <c r="J219" t="s">
        <v>145</v>
      </c>
      <c r="K219">
        <v>0</v>
      </c>
      <c r="L219" t="s">
        <v>31</v>
      </c>
      <c r="N219" t="s">
        <v>266</v>
      </c>
      <c r="O219" t="s">
        <v>145</v>
      </c>
      <c r="P219">
        <v>1.9017423251175138E-2</v>
      </c>
      <c r="Q219" t="s">
        <v>31</v>
      </c>
      <c r="X219" t="s">
        <v>35</v>
      </c>
      <c r="Y219" t="s">
        <v>145</v>
      </c>
      <c r="Z219">
        <v>1.7030278920719268E-2</v>
      </c>
    </row>
    <row r="220" spans="9:26" x14ac:dyDescent="0.25">
      <c r="I220" t="s">
        <v>256</v>
      </c>
      <c r="J220" t="s">
        <v>146</v>
      </c>
      <c r="K220">
        <v>1.5979949420121474E-6</v>
      </c>
      <c r="L220" t="s">
        <v>31</v>
      </c>
      <c r="N220" t="s">
        <v>266</v>
      </c>
      <c r="O220" t="s">
        <v>146</v>
      </c>
      <c r="P220">
        <v>4.0551282629395016E-3</v>
      </c>
      <c r="Q220" t="s">
        <v>31</v>
      </c>
      <c r="X220" t="s">
        <v>35</v>
      </c>
      <c r="Y220" t="s">
        <v>146</v>
      </c>
      <c r="Z220">
        <v>3.8023169358295701E-3</v>
      </c>
    </row>
    <row r="221" spans="9:26" x14ac:dyDescent="0.25">
      <c r="I221" t="s">
        <v>256</v>
      </c>
      <c r="J221" t="s">
        <v>147</v>
      </c>
      <c r="K221">
        <v>8.4198439208002893E-2</v>
      </c>
      <c r="L221" t="s">
        <v>31</v>
      </c>
      <c r="N221" t="s">
        <v>266</v>
      </c>
      <c r="O221" t="s">
        <v>147</v>
      </c>
      <c r="P221">
        <v>3.6486310903012048E-2</v>
      </c>
      <c r="Q221" t="s">
        <v>31</v>
      </c>
      <c r="X221" t="s">
        <v>35</v>
      </c>
      <c r="Y221" t="s">
        <v>147</v>
      </c>
      <c r="Z221">
        <v>3.4216881869844028E-2</v>
      </c>
    </row>
    <row r="222" spans="9:26" x14ac:dyDescent="0.25">
      <c r="I222" t="s">
        <v>256</v>
      </c>
      <c r="J222" t="s">
        <v>148</v>
      </c>
      <c r="K222">
        <v>1.1033520293542749E-2</v>
      </c>
      <c r="L222" t="s">
        <v>31</v>
      </c>
      <c r="N222" t="s">
        <v>266</v>
      </c>
      <c r="O222" t="s">
        <v>148</v>
      </c>
      <c r="P222">
        <v>4.0505176078140586E-3</v>
      </c>
      <c r="Q222" t="s">
        <v>31</v>
      </c>
      <c r="X222" t="s">
        <v>35</v>
      </c>
      <c r="Y222" t="s">
        <v>148</v>
      </c>
      <c r="Z222">
        <v>3.8227173613707113E-3</v>
      </c>
    </row>
    <row r="223" spans="9:26" x14ac:dyDescent="0.25">
      <c r="I223" t="s">
        <v>256</v>
      </c>
      <c r="J223" t="s">
        <v>149</v>
      </c>
      <c r="K223">
        <v>2.4762053859012197E-2</v>
      </c>
      <c r="L223" t="s">
        <v>31</v>
      </c>
      <c r="N223" t="s">
        <v>266</v>
      </c>
      <c r="O223" t="s">
        <v>149</v>
      </c>
      <c r="P223">
        <v>1.1951526431610201E-2</v>
      </c>
      <c r="Q223" t="s">
        <v>31</v>
      </c>
      <c r="X223" t="s">
        <v>35</v>
      </c>
      <c r="Y223" t="s">
        <v>149</v>
      </c>
      <c r="Z223">
        <v>1.128249452012698E-2</v>
      </c>
    </row>
    <row r="224" spans="9:26" x14ac:dyDescent="0.25">
      <c r="I224" t="s">
        <v>256</v>
      </c>
      <c r="J224" t="s">
        <v>150</v>
      </c>
      <c r="K224">
        <v>3.6423978779708032E-3</v>
      </c>
      <c r="L224" t="s">
        <v>31</v>
      </c>
      <c r="N224" t="s">
        <v>266</v>
      </c>
      <c r="O224" t="s">
        <v>150</v>
      </c>
      <c r="P224">
        <v>3.8852258311426737E-3</v>
      </c>
      <c r="Q224" t="s">
        <v>31</v>
      </c>
      <c r="X224" t="s">
        <v>35</v>
      </c>
      <c r="Y224" t="s">
        <v>150</v>
      </c>
      <c r="Z224">
        <v>3.4785115237168209E-3</v>
      </c>
    </row>
    <row r="225" spans="9:26" x14ac:dyDescent="0.25">
      <c r="I225" t="s">
        <v>256</v>
      </c>
      <c r="J225" t="s">
        <v>151</v>
      </c>
      <c r="K225">
        <v>6.1765608745711453E-4</v>
      </c>
      <c r="L225" t="s">
        <v>31</v>
      </c>
      <c r="N225" t="s">
        <v>266</v>
      </c>
      <c r="O225" t="s">
        <v>151</v>
      </c>
      <c r="P225">
        <v>3.8955779067274317E-3</v>
      </c>
      <c r="Q225" t="s">
        <v>31</v>
      </c>
      <c r="X225" t="s">
        <v>35</v>
      </c>
      <c r="Y225" t="s">
        <v>151</v>
      </c>
      <c r="Z225">
        <v>3.3232492246318916E-3</v>
      </c>
    </row>
    <row r="226" spans="9:26" x14ac:dyDescent="0.25">
      <c r="I226" t="s">
        <v>256</v>
      </c>
      <c r="J226" t="s">
        <v>152</v>
      </c>
      <c r="K226">
        <v>0</v>
      </c>
      <c r="L226" t="s">
        <v>31</v>
      </c>
      <c r="N226" t="s">
        <v>266</v>
      </c>
      <c r="O226" t="s">
        <v>152</v>
      </c>
      <c r="P226">
        <v>1.191675698690531E-2</v>
      </c>
      <c r="Q226" t="s">
        <v>31</v>
      </c>
      <c r="X226" t="s">
        <v>35</v>
      </c>
      <c r="Y226" t="s">
        <v>152</v>
      </c>
      <c r="Z226">
        <v>9.5205275651675855E-3</v>
      </c>
    </row>
    <row r="227" spans="9:26" x14ac:dyDescent="0.25">
      <c r="I227" t="s">
        <v>256</v>
      </c>
      <c r="J227" t="s">
        <v>153</v>
      </c>
      <c r="K227">
        <v>3.3510082290818144E-5</v>
      </c>
      <c r="L227" t="s">
        <v>31</v>
      </c>
      <c r="N227" t="s">
        <v>266</v>
      </c>
      <c r="O227" t="s">
        <v>153</v>
      </c>
      <c r="P227">
        <v>1.6277363237341885E-2</v>
      </c>
      <c r="Q227" t="s">
        <v>31</v>
      </c>
      <c r="X227" t="s">
        <v>35</v>
      </c>
      <c r="Y227" t="s">
        <v>153</v>
      </c>
      <c r="Z227">
        <v>1.3014575346651859E-2</v>
      </c>
    </row>
    <row r="228" spans="9:26" x14ac:dyDescent="0.25">
      <c r="I228" t="s">
        <v>256</v>
      </c>
      <c r="J228" t="s">
        <v>154</v>
      </c>
      <c r="K228">
        <v>2.2948374389607788E-3</v>
      </c>
      <c r="L228" t="s">
        <v>31</v>
      </c>
      <c r="N228" t="s">
        <v>266</v>
      </c>
      <c r="O228" t="s">
        <v>154</v>
      </c>
      <c r="P228">
        <v>3.0273059237558423E-3</v>
      </c>
      <c r="Q228" t="s">
        <v>31</v>
      </c>
      <c r="X228" t="s">
        <v>35</v>
      </c>
      <c r="Y228" t="s">
        <v>154</v>
      </c>
      <c r="Z228">
        <v>3.3452441109341371E-3</v>
      </c>
    </row>
    <row r="229" spans="9:26" x14ac:dyDescent="0.25">
      <c r="I229" t="s">
        <v>256</v>
      </c>
      <c r="J229" t="s">
        <v>155</v>
      </c>
      <c r="K229">
        <v>9.475183371211636E-2</v>
      </c>
      <c r="L229" t="s">
        <v>31</v>
      </c>
      <c r="N229" t="s">
        <v>266</v>
      </c>
      <c r="O229" t="s">
        <v>155</v>
      </c>
      <c r="P229">
        <v>2.6328030811913098E-2</v>
      </c>
      <c r="Q229" t="s">
        <v>31</v>
      </c>
      <c r="X229" t="s">
        <v>35</v>
      </c>
      <c r="Y229" t="s">
        <v>155</v>
      </c>
      <c r="Z229">
        <v>3.2126428380157265E-2</v>
      </c>
    </row>
    <row r="230" spans="9:26" x14ac:dyDescent="0.25">
      <c r="I230" t="s">
        <v>256</v>
      </c>
      <c r="J230" t="s">
        <v>156</v>
      </c>
      <c r="K230">
        <v>1.2703254570961062E-2</v>
      </c>
      <c r="L230" t="s">
        <v>31</v>
      </c>
      <c r="N230" t="s">
        <v>266</v>
      </c>
      <c r="O230" t="s">
        <v>156</v>
      </c>
      <c r="P230">
        <v>2.9861743956497585E-3</v>
      </c>
      <c r="Q230" t="s">
        <v>31</v>
      </c>
      <c r="X230" t="s">
        <v>35</v>
      </c>
      <c r="Y230" t="s">
        <v>156</v>
      </c>
      <c r="Z230">
        <v>3.5255619662206026E-3</v>
      </c>
    </row>
    <row r="231" spans="9:26" x14ac:dyDescent="0.25">
      <c r="I231" t="s">
        <v>256</v>
      </c>
      <c r="J231" t="s">
        <v>157</v>
      </c>
      <c r="K231">
        <v>2.9488665335698244E-2</v>
      </c>
      <c r="L231" t="s">
        <v>31</v>
      </c>
      <c r="N231" t="s">
        <v>266</v>
      </c>
      <c r="O231" t="s">
        <v>157</v>
      </c>
      <c r="P231">
        <v>9.193153566819455E-3</v>
      </c>
      <c r="Q231" t="s">
        <v>31</v>
      </c>
      <c r="X231" t="s">
        <v>35</v>
      </c>
      <c r="Y231" t="s">
        <v>157</v>
      </c>
      <c r="Z231">
        <v>1.0434293666696794E-2</v>
      </c>
    </row>
    <row r="232" spans="9:26" x14ac:dyDescent="0.25">
      <c r="I232" t="s">
        <v>256</v>
      </c>
      <c r="J232" t="s">
        <v>158</v>
      </c>
      <c r="K232">
        <v>5.850739322805408E-3</v>
      </c>
      <c r="L232" t="s">
        <v>31</v>
      </c>
      <c r="N232" t="s">
        <v>266</v>
      </c>
      <c r="O232" t="s">
        <v>158</v>
      </c>
      <c r="P232">
        <v>3.0969055259854497E-3</v>
      </c>
      <c r="Q232" t="s">
        <v>31</v>
      </c>
      <c r="X232" t="s">
        <v>35</v>
      </c>
      <c r="Y232" t="s">
        <v>158</v>
      </c>
      <c r="Z232">
        <v>3.2923946863778913E-3</v>
      </c>
    </row>
    <row r="233" spans="9:26" x14ac:dyDescent="0.25">
      <c r="I233" t="s">
        <v>256</v>
      </c>
      <c r="J233" t="s">
        <v>159</v>
      </c>
      <c r="K233">
        <v>2.9766667103186804E-3</v>
      </c>
      <c r="L233" t="s">
        <v>31</v>
      </c>
      <c r="N233" t="s">
        <v>266</v>
      </c>
      <c r="O233" t="s">
        <v>159</v>
      </c>
      <c r="P233">
        <v>3.0856967987458257E-3</v>
      </c>
      <c r="Q233" t="s">
        <v>31</v>
      </c>
      <c r="X233" t="s">
        <v>35</v>
      </c>
      <c r="Y233" t="s">
        <v>159</v>
      </c>
      <c r="Z233">
        <v>3.1417875179533565E-3</v>
      </c>
    </row>
    <row r="234" spans="9:26" x14ac:dyDescent="0.25">
      <c r="I234" t="s">
        <v>256</v>
      </c>
      <c r="J234" t="s">
        <v>160</v>
      </c>
      <c r="K234">
        <v>2.9388975058872575E-4</v>
      </c>
      <c r="L234" t="s">
        <v>31</v>
      </c>
      <c r="N234" t="s">
        <v>266</v>
      </c>
      <c r="O234" t="s">
        <v>160</v>
      </c>
      <c r="P234">
        <v>9.1450616470443325E-3</v>
      </c>
      <c r="Q234" t="s">
        <v>31</v>
      </c>
      <c r="X234" t="s">
        <v>35</v>
      </c>
      <c r="Y234" t="s">
        <v>160</v>
      </c>
      <c r="Z234">
        <v>7.7096730742893041E-3</v>
      </c>
    </row>
    <row r="235" spans="9:26" x14ac:dyDescent="0.25">
      <c r="I235" t="s">
        <v>256</v>
      </c>
      <c r="J235" t="s">
        <v>161</v>
      </c>
      <c r="K235">
        <v>1.0864889659409332E-3</v>
      </c>
      <c r="L235" t="s">
        <v>31</v>
      </c>
      <c r="N235" t="s">
        <v>266</v>
      </c>
      <c r="O235" t="s">
        <v>161</v>
      </c>
      <c r="P235">
        <v>1.23591112600148E-2</v>
      </c>
      <c r="Q235" t="s">
        <v>31</v>
      </c>
      <c r="X235" t="s">
        <v>35</v>
      </c>
      <c r="Y235" t="s">
        <v>161</v>
      </c>
      <c r="Z235">
        <v>1.1331637101402961E-2</v>
      </c>
    </row>
    <row r="236" spans="9:26" x14ac:dyDescent="0.25">
      <c r="I236" t="s">
        <v>256</v>
      </c>
      <c r="J236" t="s">
        <v>162</v>
      </c>
      <c r="K236">
        <v>3.3552638840407155E-3</v>
      </c>
      <c r="L236" t="s">
        <v>31</v>
      </c>
      <c r="N236" t="s">
        <v>266</v>
      </c>
      <c r="O236" t="s">
        <v>162</v>
      </c>
      <c r="P236">
        <v>2.2735411966646199E-3</v>
      </c>
      <c r="Q236" t="s">
        <v>31</v>
      </c>
      <c r="X236" t="s">
        <v>35</v>
      </c>
      <c r="Y236" t="s">
        <v>162</v>
      </c>
      <c r="Z236">
        <v>3.1008006658386411E-3</v>
      </c>
    </row>
    <row r="237" spans="9:26" x14ac:dyDescent="0.25">
      <c r="I237" t="s">
        <v>256</v>
      </c>
      <c r="J237" t="s">
        <v>163</v>
      </c>
      <c r="K237">
        <v>9.5678950670496102E-2</v>
      </c>
      <c r="L237" t="s">
        <v>31</v>
      </c>
      <c r="N237" t="s">
        <v>266</v>
      </c>
      <c r="O237" t="s">
        <v>163</v>
      </c>
      <c r="P237">
        <v>2.0386474607052885E-2</v>
      </c>
      <c r="Q237" t="s">
        <v>31</v>
      </c>
      <c r="X237" t="s">
        <v>35</v>
      </c>
      <c r="Y237" t="s">
        <v>163</v>
      </c>
      <c r="Z237">
        <v>3.1151832062842878E-2</v>
      </c>
    </row>
    <row r="238" spans="9:26" x14ac:dyDescent="0.25">
      <c r="I238" t="s">
        <v>256</v>
      </c>
      <c r="J238" t="s">
        <v>164</v>
      </c>
      <c r="K238">
        <v>1.1360730963371654E-2</v>
      </c>
      <c r="L238" t="s">
        <v>31</v>
      </c>
      <c r="N238" t="s">
        <v>266</v>
      </c>
      <c r="O238" t="s">
        <v>164</v>
      </c>
      <c r="P238">
        <v>2.5554224202553001E-3</v>
      </c>
      <c r="Q238" t="s">
        <v>31</v>
      </c>
      <c r="X238" t="s">
        <v>35</v>
      </c>
      <c r="Y238" t="s">
        <v>164</v>
      </c>
      <c r="Z238">
        <v>3.4567812457511771E-3</v>
      </c>
    </row>
    <row r="239" spans="9:26" x14ac:dyDescent="0.25">
      <c r="I239" t="s">
        <v>256</v>
      </c>
      <c r="J239" t="s">
        <v>165</v>
      </c>
      <c r="K239">
        <v>2.8522958059822207E-2</v>
      </c>
      <c r="L239" t="s">
        <v>31</v>
      </c>
      <c r="N239" t="s">
        <v>266</v>
      </c>
      <c r="O239" t="s">
        <v>165</v>
      </c>
      <c r="P239">
        <v>7.6053588456984353E-3</v>
      </c>
      <c r="Q239" t="s">
        <v>31</v>
      </c>
      <c r="X239" t="s">
        <v>35</v>
      </c>
      <c r="Y239" t="s">
        <v>165</v>
      </c>
      <c r="Z239">
        <v>1.0112531648032261E-2</v>
      </c>
    </row>
    <row r="240" spans="9:26" x14ac:dyDescent="0.25">
      <c r="I240" t="s">
        <v>256</v>
      </c>
      <c r="J240" t="s">
        <v>166</v>
      </c>
      <c r="K240">
        <v>5.7052123452518656E-3</v>
      </c>
      <c r="L240" t="s">
        <v>31</v>
      </c>
      <c r="N240" t="s">
        <v>266</v>
      </c>
      <c r="O240" t="s">
        <v>166</v>
      </c>
      <c r="P240">
        <v>2.4633071944662444E-3</v>
      </c>
      <c r="Q240" t="s">
        <v>31</v>
      </c>
      <c r="X240" t="s">
        <v>35</v>
      </c>
      <c r="Y240" t="s">
        <v>166</v>
      </c>
      <c r="Z240">
        <v>3.226489193669298E-3</v>
      </c>
    </row>
    <row r="241" spans="9:26" x14ac:dyDescent="0.25">
      <c r="I241" t="s">
        <v>256</v>
      </c>
      <c r="J241" t="s">
        <v>167</v>
      </c>
      <c r="K241">
        <v>3.759875169577953E-3</v>
      </c>
      <c r="L241" t="s">
        <v>31</v>
      </c>
      <c r="N241" t="s">
        <v>266</v>
      </c>
      <c r="O241" t="s">
        <v>167</v>
      </c>
      <c r="P241">
        <v>2.443800892782848E-3</v>
      </c>
      <c r="Q241" t="s">
        <v>31</v>
      </c>
      <c r="X241" t="s">
        <v>35</v>
      </c>
      <c r="Y241" t="s">
        <v>167</v>
      </c>
      <c r="Z241">
        <v>2.9747013911850077E-3</v>
      </c>
    </row>
    <row r="242" spans="9:26" x14ac:dyDescent="0.25">
      <c r="I242" t="s">
        <v>256</v>
      </c>
      <c r="J242" t="s">
        <v>168</v>
      </c>
      <c r="K242">
        <v>1.7106752169796914E-3</v>
      </c>
      <c r="L242" t="s">
        <v>31</v>
      </c>
      <c r="N242" t="s">
        <v>266</v>
      </c>
      <c r="O242" t="s">
        <v>168</v>
      </c>
      <c r="P242">
        <v>7.5280422409611187E-3</v>
      </c>
      <c r="Q242" t="s">
        <v>31</v>
      </c>
      <c r="X242" t="s">
        <v>35</v>
      </c>
      <c r="Y242" t="s">
        <v>168</v>
      </c>
      <c r="Z242">
        <v>6.927600782676329E-3</v>
      </c>
    </row>
    <row r="243" spans="9:26" x14ac:dyDescent="0.25">
      <c r="I243" t="s">
        <v>256</v>
      </c>
      <c r="J243" t="s">
        <v>169</v>
      </c>
      <c r="K243">
        <v>2.4623721627657072E-4</v>
      </c>
      <c r="L243" t="s">
        <v>31</v>
      </c>
      <c r="N243" t="s">
        <v>266</v>
      </c>
      <c r="O243" t="s">
        <v>169</v>
      </c>
      <c r="P243">
        <v>1.3249017917957694E-2</v>
      </c>
      <c r="Q243" t="s">
        <v>31</v>
      </c>
      <c r="X243" t="s">
        <v>35</v>
      </c>
      <c r="Y243" t="s">
        <v>169</v>
      </c>
      <c r="Z243">
        <v>1.1777936364459845E-2</v>
      </c>
    </row>
    <row r="244" spans="9:26" x14ac:dyDescent="0.25">
      <c r="I244" t="s">
        <v>256</v>
      </c>
      <c r="J244" t="s">
        <v>170</v>
      </c>
      <c r="K244">
        <v>3.0257525251269927E-3</v>
      </c>
      <c r="L244" t="s">
        <v>31</v>
      </c>
      <c r="N244" t="s">
        <v>266</v>
      </c>
      <c r="O244" t="s">
        <v>170</v>
      </c>
      <c r="P244">
        <v>2.4338088998401364E-3</v>
      </c>
      <c r="Q244" t="s">
        <v>31</v>
      </c>
      <c r="X244" t="s">
        <v>35</v>
      </c>
      <c r="Y244" t="s">
        <v>170</v>
      </c>
      <c r="Z244">
        <v>3.2430194754923905E-3</v>
      </c>
    </row>
    <row r="245" spans="9:26" x14ac:dyDescent="0.25">
      <c r="I245" t="s">
        <v>256</v>
      </c>
      <c r="J245" t="s">
        <v>171</v>
      </c>
      <c r="K245">
        <v>9.4752975594781436E-2</v>
      </c>
      <c r="L245" t="s">
        <v>31</v>
      </c>
      <c r="N245" t="s">
        <v>266</v>
      </c>
      <c r="O245" t="s">
        <v>171</v>
      </c>
      <c r="P245">
        <v>2.4387482350406133E-2</v>
      </c>
      <c r="Q245" t="s">
        <v>31</v>
      </c>
      <c r="X245" t="s">
        <v>35</v>
      </c>
      <c r="Y245" t="s">
        <v>171</v>
      </c>
      <c r="Z245">
        <v>3.2781620727294521E-2</v>
      </c>
    </row>
    <row r="246" spans="9:26" x14ac:dyDescent="0.25">
      <c r="I246" t="s">
        <v>256</v>
      </c>
      <c r="J246" t="s">
        <v>172</v>
      </c>
      <c r="K246">
        <v>1.2010369571695226E-2</v>
      </c>
      <c r="L246" t="s">
        <v>31</v>
      </c>
      <c r="N246" t="s">
        <v>266</v>
      </c>
      <c r="O246" t="s">
        <v>172</v>
      </c>
      <c r="P246">
        <v>3.3042812663052245E-3</v>
      </c>
      <c r="Q246" t="s">
        <v>31</v>
      </c>
      <c r="X246" t="s">
        <v>35</v>
      </c>
      <c r="Y246" t="s">
        <v>172</v>
      </c>
      <c r="Z246">
        <v>3.6493849990233166E-3</v>
      </c>
    </row>
    <row r="247" spans="9:26" x14ac:dyDescent="0.25">
      <c r="I247" t="s">
        <v>256</v>
      </c>
      <c r="J247" t="s">
        <v>173</v>
      </c>
      <c r="K247">
        <v>2.9631842076279963E-2</v>
      </c>
      <c r="L247" t="s">
        <v>31</v>
      </c>
      <c r="N247" t="s">
        <v>266</v>
      </c>
      <c r="O247" t="s">
        <v>173</v>
      </c>
      <c r="P247">
        <v>9.7074843646925493E-3</v>
      </c>
      <c r="Q247" t="s">
        <v>31</v>
      </c>
      <c r="X247" t="s">
        <v>35</v>
      </c>
      <c r="Y247" t="s">
        <v>173</v>
      </c>
      <c r="Z247">
        <v>1.0650226634804688E-2</v>
      </c>
    </row>
    <row r="248" spans="9:26" x14ac:dyDescent="0.25">
      <c r="I248" t="s">
        <v>256</v>
      </c>
      <c r="J248" t="s">
        <v>174</v>
      </c>
      <c r="K248">
        <v>6.6642702424942442E-3</v>
      </c>
      <c r="L248" t="s">
        <v>31</v>
      </c>
      <c r="N248" t="s">
        <v>266</v>
      </c>
      <c r="O248" t="s">
        <v>174</v>
      </c>
      <c r="P248">
        <v>3.0851479847877512E-3</v>
      </c>
      <c r="Q248" t="s">
        <v>31</v>
      </c>
      <c r="X248" t="s">
        <v>35</v>
      </c>
      <c r="Y248" t="s">
        <v>174</v>
      </c>
      <c r="Z248">
        <v>3.3951327156011707E-3</v>
      </c>
    </row>
    <row r="249" spans="9:26" x14ac:dyDescent="0.25">
      <c r="I249" t="s">
        <v>256</v>
      </c>
      <c r="J249" t="s">
        <v>175</v>
      </c>
      <c r="K249">
        <v>4.0788910774191287E-3</v>
      </c>
      <c r="L249" t="s">
        <v>31</v>
      </c>
      <c r="N249" t="s">
        <v>266</v>
      </c>
      <c r="O249" t="s">
        <v>175</v>
      </c>
      <c r="P249">
        <v>3.0993055334387711E-3</v>
      </c>
      <c r="Q249" t="s">
        <v>31</v>
      </c>
      <c r="X249" t="s">
        <v>35</v>
      </c>
      <c r="Y249" t="s">
        <v>175</v>
      </c>
      <c r="Z249">
        <v>3.1040501337188425E-3</v>
      </c>
    </row>
    <row r="250" spans="9:26" x14ac:dyDescent="0.25">
      <c r="I250" t="s">
        <v>256</v>
      </c>
      <c r="J250" t="s">
        <v>176</v>
      </c>
      <c r="K250">
        <v>1.8033283723330696E-3</v>
      </c>
      <c r="L250" t="s">
        <v>31</v>
      </c>
      <c r="N250" t="s">
        <v>266</v>
      </c>
      <c r="O250" t="s">
        <v>176</v>
      </c>
      <c r="P250">
        <v>8.9611251838574105E-3</v>
      </c>
      <c r="Q250" t="s">
        <v>31</v>
      </c>
      <c r="X250" t="s">
        <v>35</v>
      </c>
      <c r="Y250" t="s">
        <v>176</v>
      </c>
      <c r="Z250">
        <v>7.1828388708489264E-3</v>
      </c>
    </row>
    <row r="251" spans="9:26" x14ac:dyDescent="0.25">
      <c r="I251" t="s">
        <v>256</v>
      </c>
      <c r="J251" t="s">
        <v>177</v>
      </c>
      <c r="K251">
        <v>0</v>
      </c>
      <c r="L251" t="s">
        <v>31</v>
      </c>
      <c r="N251" t="s">
        <v>266</v>
      </c>
      <c r="O251" t="s">
        <v>177</v>
      </c>
      <c r="P251">
        <v>1.0828131920841673E-2</v>
      </c>
      <c r="Q251" t="s">
        <v>31</v>
      </c>
      <c r="X251" t="s">
        <v>35</v>
      </c>
      <c r="Y251" t="s">
        <v>177</v>
      </c>
      <c r="Z251">
        <v>1.1769034568936449E-2</v>
      </c>
    </row>
    <row r="252" spans="9:26" x14ac:dyDescent="0.25">
      <c r="I252" t="s">
        <v>256</v>
      </c>
      <c r="J252" t="s">
        <v>178</v>
      </c>
      <c r="K252">
        <v>6.0886653577635742E-4</v>
      </c>
      <c r="L252" t="s">
        <v>31</v>
      </c>
      <c r="N252" t="s">
        <v>266</v>
      </c>
      <c r="O252" t="s">
        <v>178</v>
      </c>
      <c r="P252">
        <v>2.1798138102531498E-3</v>
      </c>
      <c r="Q252" t="s">
        <v>31</v>
      </c>
      <c r="X252" t="s">
        <v>35</v>
      </c>
      <c r="Y252" t="s">
        <v>178</v>
      </c>
      <c r="Z252">
        <v>3.1968510763847715E-3</v>
      </c>
    </row>
    <row r="253" spans="9:26" x14ac:dyDescent="0.25">
      <c r="I253" t="s">
        <v>256</v>
      </c>
      <c r="J253" t="s">
        <v>179</v>
      </c>
      <c r="K253">
        <v>7.9353716330898133E-2</v>
      </c>
      <c r="L253" t="s">
        <v>31</v>
      </c>
      <c r="N253" t="s">
        <v>266</v>
      </c>
      <c r="O253" t="s">
        <v>179</v>
      </c>
      <c r="P253">
        <v>1.8940340001646461E-2</v>
      </c>
      <c r="Q253" t="s">
        <v>31</v>
      </c>
      <c r="X253" t="s">
        <v>35</v>
      </c>
      <c r="Y253" t="s">
        <v>179</v>
      </c>
      <c r="Z253">
        <v>3.2223575987753272E-2</v>
      </c>
    </row>
    <row r="254" spans="9:26" x14ac:dyDescent="0.25">
      <c r="I254" t="s">
        <v>256</v>
      </c>
      <c r="J254" t="s">
        <v>180</v>
      </c>
      <c r="K254">
        <v>1.051366716307979E-2</v>
      </c>
      <c r="L254" t="s">
        <v>31</v>
      </c>
      <c r="N254" t="s">
        <v>266</v>
      </c>
      <c r="O254" t="s">
        <v>180</v>
      </c>
      <c r="P254">
        <v>2.0888380494942529E-3</v>
      </c>
      <c r="Q254" t="s">
        <v>31</v>
      </c>
      <c r="X254" t="s">
        <v>35</v>
      </c>
      <c r="Y254" t="s">
        <v>180</v>
      </c>
      <c r="Z254">
        <v>3.5826792587668973E-3</v>
      </c>
    </row>
    <row r="255" spans="9:26" x14ac:dyDescent="0.25">
      <c r="I255" t="s">
        <v>256</v>
      </c>
      <c r="J255" t="s">
        <v>181</v>
      </c>
      <c r="K255">
        <v>2.5529289669338068E-2</v>
      </c>
      <c r="L255" t="s">
        <v>31</v>
      </c>
      <c r="N255" t="s">
        <v>266</v>
      </c>
      <c r="O255" t="s">
        <v>181</v>
      </c>
      <c r="P255">
        <v>6.384001207595154E-3</v>
      </c>
      <c r="Q255" t="s">
        <v>31</v>
      </c>
      <c r="X255" t="s">
        <v>35</v>
      </c>
      <c r="Y255" t="s">
        <v>181</v>
      </c>
      <c r="Z255">
        <v>1.0443674380475474E-2</v>
      </c>
    </row>
    <row r="256" spans="9:26" x14ac:dyDescent="0.25">
      <c r="I256" t="s">
        <v>256</v>
      </c>
      <c r="J256" t="s">
        <v>182</v>
      </c>
      <c r="K256">
        <v>4.6391059379533011E-3</v>
      </c>
      <c r="L256" t="s">
        <v>31</v>
      </c>
      <c r="N256" t="s">
        <v>266</v>
      </c>
      <c r="O256" t="s">
        <v>182</v>
      </c>
      <c r="P256">
        <v>2.1959310017349138E-3</v>
      </c>
      <c r="Q256" t="s">
        <v>31</v>
      </c>
      <c r="X256" t="s">
        <v>35</v>
      </c>
      <c r="Y256" t="s">
        <v>182</v>
      </c>
      <c r="Z256">
        <v>3.3046036596121428E-3</v>
      </c>
    </row>
    <row r="257" spans="9:26" x14ac:dyDescent="0.25">
      <c r="I257" t="s">
        <v>256</v>
      </c>
      <c r="J257" t="s">
        <v>183</v>
      </c>
      <c r="K257">
        <v>1.8105606074451286E-3</v>
      </c>
      <c r="L257" t="s">
        <v>31</v>
      </c>
      <c r="N257" t="s">
        <v>266</v>
      </c>
      <c r="O257" t="s">
        <v>183</v>
      </c>
      <c r="P257">
        <v>2.2178104383695925E-3</v>
      </c>
      <c r="Q257" t="s">
        <v>31</v>
      </c>
      <c r="X257" t="s">
        <v>35</v>
      </c>
      <c r="Y257" t="s">
        <v>183</v>
      </c>
      <c r="Z257">
        <v>3.0860863497889088E-3</v>
      </c>
    </row>
    <row r="258" spans="9:26" x14ac:dyDescent="0.25">
      <c r="I258" t="s">
        <v>256</v>
      </c>
      <c r="J258" t="s">
        <v>184</v>
      </c>
      <c r="K258">
        <v>0</v>
      </c>
      <c r="L258" t="s">
        <v>31</v>
      </c>
      <c r="N258" t="s">
        <v>266</v>
      </c>
      <c r="O258" t="s">
        <v>184</v>
      </c>
      <c r="P258">
        <v>6.4915635787050601E-3</v>
      </c>
      <c r="Q258" t="s">
        <v>31</v>
      </c>
      <c r="X258" t="s">
        <v>35</v>
      </c>
      <c r="Y258" t="s">
        <v>184</v>
      </c>
      <c r="Z258">
        <v>7.1800170407158078E-3</v>
      </c>
    </row>
    <row r="259" spans="9:26" x14ac:dyDescent="0.25">
      <c r="I259" t="s">
        <v>256</v>
      </c>
      <c r="J259" t="s">
        <v>185</v>
      </c>
      <c r="K259">
        <v>0</v>
      </c>
      <c r="L259" t="s">
        <v>31</v>
      </c>
      <c r="N259" t="s">
        <v>266</v>
      </c>
      <c r="O259" t="s">
        <v>185</v>
      </c>
      <c r="P259">
        <v>1.3414713041431431E-2</v>
      </c>
      <c r="Q259" t="s">
        <v>31</v>
      </c>
      <c r="X259" t="s">
        <v>35</v>
      </c>
      <c r="Y259" t="s">
        <v>185</v>
      </c>
      <c r="Z259">
        <v>1.2479406550232053E-2</v>
      </c>
    </row>
    <row r="260" spans="9:26" x14ac:dyDescent="0.25">
      <c r="I260" t="s">
        <v>256</v>
      </c>
      <c r="J260" t="s">
        <v>186</v>
      </c>
      <c r="K260">
        <v>0</v>
      </c>
      <c r="L260" t="s">
        <v>31</v>
      </c>
      <c r="N260" t="s">
        <v>266</v>
      </c>
      <c r="O260" t="s">
        <v>186</v>
      </c>
      <c r="P260">
        <v>2.7423572054086093E-3</v>
      </c>
      <c r="Q260" t="s">
        <v>31</v>
      </c>
      <c r="X260" t="s">
        <v>35</v>
      </c>
      <c r="Y260" t="s">
        <v>186</v>
      </c>
      <c r="Z260">
        <v>3.2085270479097765E-3</v>
      </c>
    </row>
    <row r="261" spans="9:26" x14ac:dyDescent="0.25">
      <c r="I261" t="s">
        <v>256</v>
      </c>
      <c r="J261" t="s">
        <v>187</v>
      </c>
      <c r="K261">
        <v>6.4345262171371237E-2</v>
      </c>
      <c r="L261" t="s">
        <v>31</v>
      </c>
      <c r="N261" t="s">
        <v>266</v>
      </c>
      <c r="O261" t="s">
        <v>187</v>
      </c>
      <c r="P261">
        <v>2.4147570222827121E-2</v>
      </c>
      <c r="Q261" t="s">
        <v>31</v>
      </c>
      <c r="X261" t="s">
        <v>35</v>
      </c>
      <c r="Y261" t="s">
        <v>187</v>
      </c>
      <c r="Z261">
        <v>3.083751184846777E-2</v>
      </c>
    </row>
    <row r="262" spans="9:26" x14ac:dyDescent="0.25">
      <c r="I262" t="s">
        <v>256</v>
      </c>
      <c r="J262" t="s">
        <v>188</v>
      </c>
      <c r="K262">
        <v>8.9574470643704138E-3</v>
      </c>
      <c r="L262" t="s">
        <v>31</v>
      </c>
      <c r="N262" t="s">
        <v>266</v>
      </c>
      <c r="O262" t="s">
        <v>188</v>
      </c>
      <c r="P262">
        <v>2.5723416999614622E-3</v>
      </c>
      <c r="Q262" t="s">
        <v>31</v>
      </c>
      <c r="X262" t="s">
        <v>35</v>
      </c>
      <c r="Y262" t="s">
        <v>188</v>
      </c>
      <c r="Z262">
        <v>3.3954168523638584E-3</v>
      </c>
    </row>
    <row r="263" spans="9:26" x14ac:dyDescent="0.25">
      <c r="I263" t="s">
        <v>256</v>
      </c>
      <c r="J263" t="s">
        <v>189</v>
      </c>
      <c r="K263">
        <v>1.7932625613388081E-2</v>
      </c>
      <c r="L263" t="s">
        <v>31</v>
      </c>
      <c r="N263" t="s">
        <v>266</v>
      </c>
      <c r="O263" t="s">
        <v>189</v>
      </c>
      <c r="P263">
        <v>8.5989387221216494E-3</v>
      </c>
      <c r="Q263" t="s">
        <v>31</v>
      </c>
      <c r="X263" t="s">
        <v>35</v>
      </c>
      <c r="Y263" t="s">
        <v>189</v>
      </c>
      <c r="Z263">
        <v>1.0075759661711028E-2</v>
      </c>
    </row>
    <row r="264" spans="9:26" x14ac:dyDescent="0.25">
      <c r="I264" t="s">
        <v>256</v>
      </c>
      <c r="J264" t="s">
        <v>190</v>
      </c>
      <c r="K264">
        <v>1.1273184373715762E-3</v>
      </c>
      <c r="L264" t="s">
        <v>31</v>
      </c>
      <c r="N264" t="s">
        <v>266</v>
      </c>
      <c r="O264" t="s">
        <v>190</v>
      </c>
      <c r="P264">
        <v>3.0455539504721314E-3</v>
      </c>
      <c r="Q264" t="s">
        <v>31</v>
      </c>
      <c r="X264" t="s">
        <v>35</v>
      </c>
      <c r="Y264" t="s">
        <v>190</v>
      </c>
      <c r="Z264">
        <v>3.168821521688763E-3</v>
      </c>
    </row>
    <row r="265" spans="9:26" x14ac:dyDescent="0.25">
      <c r="I265" t="s">
        <v>256</v>
      </c>
      <c r="J265" t="s">
        <v>191</v>
      </c>
      <c r="K265">
        <v>0</v>
      </c>
      <c r="L265" t="s">
        <v>31</v>
      </c>
      <c r="N265" t="s">
        <v>266</v>
      </c>
      <c r="O265" t="s">
        <v>191</v>
      </c>
      <c r="P265">
        <v>3.0500856393189386E-3</v>
      </c>
      <c r="Q265" t="s">
        <v>31</v>
      </c>
      <c r="X265" t="s">
        <v>35</v>
      </c>
      <c r="Y265" t="s">
        <v>191</v>
      </c>
      <c r="Z265">
        <v>3.0313582515994601E-3</v>
      </c>
    </row>
    <row r="266" spans="9:26" x14ac:dyDescent="0.25">
      <c r="I266" t="s">
        <v>256</v>
      </c>
      <c r="J266" t="s">
        <v>192</v>
      </c>
      <c r="K266">
        <v>0</v>
      </c>
      <c r="L266" t="s">
        <v>31</v>
      </c>
      <c r="N266" t="s">
        <v>266</v>
      </c>
      <c r="O266" t="s">
        <v>192</v>
      </c>
      <c r="P266">
        <v>8.8989408350922498E-3</v>
      </c>
      <c r="Q266" t="s">
        <v>31</v>
      </c>
      <c r="X266" t="s">
        <v>35</v>
      </c>
      <c r="Y266" t="s">
        <v>192</v>
      </c>
      <c r="Z266">
        <v>7.52173591644624E-3</v>
      </c>
    </row>
    <row r="267" spans="9:26" x14ac:dyDescent="0.25">
      <c r="I267" t="s">
        <v>256</v>
      </c>
      <c r="J267" t="s">
        <v>193</v>
      </c>
      <c r="K267">
        <v>0</v>
      </c>
      <c r="L267" t="s">
        <v>31</v>
      </c>
      <c r="N267" t="s">
        <v>266</v>
      </c>
      <c r="O267" t="s">
        <v>193</v>
      </c>
      <c r="P267">
        <v>2.0943324799647056E-2</v>
      </c>
      <c r="Q267" t="s">
        <v>31</v>
      </c>
      <c r="X267" t="s">
        <v>35</v>
      </c>
      <c r="Y267" t="s">
        <v>193</v>
      </c>
      <c r="Z267">
        <v>1.4531792155247624E-2</v>
      </c>
    </row>
    <row r="268" spans="9:26" x14ac:dyDescent="0.25">
      <c r="I268" t="s">
        <v>256</v>
      </c>
      <c r="J268" t="s">
        <v>194</v>
      </c>
      <c r="K268">
        <v>0</v>
      </c>
      <c r="L268" t="s">
        <v>31</v>
      </c>
      <c r="N268" t="s">
        <v>266</v>
      </c>
      <c r="O268" t="s">
        <v>194</v>
      </c>
      <c r="P268">
        <v>4.1796499292267144E-3</v>
      </c>
      <c r="Q268" t="s">
        <v>31</v>
      </c>
      <c r="X268" t="s">
        <v>35</v>
      </c>
      <c r="Y268" t="s">
        <v>194</v>
      </c>
      <c r="Z268">
        <v>3.4369611769699262E-3</v>
      </c>
    </row>
    <row r="269" spans="9:26" x14ac:dyDescent="0.25">
      <c r="I269" t="s">
        <v>256</v>
      </c>
      <c r="J269" t="s">
        <v>195</v>
      </c>
      <c r="K269">
        <v>2.8660929714589219E-2</v>
      </c>
      <c r="L269" t="s">
        <v>31</v>
      </c>
      <c r="N269" t="s">
        <v>266</v>
      </c>
      <c r="O269" t="s">
        <v>195</v>
      </c>
      <c r="P269">
        <v>3.8594145638266464E-2</v>
      </c>
      <c r="Q269" t="s">
        <v>31</v>
      </c>
      <c r="X269" t="s">
        <v>35</v>
      </c>
      <c r="Y269" t="s">
        <v>195</v>
      </c>
      <c r="Z269">
        <v>3.3008975782873033E-2</v>
      </c>
    </row>
    <row r="270" spans="9:26" x14ac:dyDescent="0.25">
      <c r="I270" t="s">
        <v>256</v>
      </c>
      <c r="J270" t="s">
        <v>196</v>
      </c>
      <c r="K270">
        <v>4.2748600280489643E-3</v>
      </c>
      <c r="L270" t="s">
        <v>31</v>
      </c>
      <c r="N270" t="s">
        <v>266</v>
      </c>
      <c r="O270" t="s">
        <v>196</v>
      </c>
      <c r="P270">
        <v>4.1977833399114931E-3</v>
      </c>
      <c r="Q270" t="s">
        <v>31</v>
      </c>
      <c r="X270" t="s">
        <v>35</v>
      </c>
      <c r="Y270" t="s">
        <v>196</v>
      </c>
      <c r="Z270">
        <v>3.6936779413299283E-3</v>
      </c>
    </row>
    <row r="271" spans="9:26" x14ac:dyDescent="0.25">
      <c r="I271" t="s">
        <v>256</v>
      </c>
      <c r="J271" t="s">
        <v>197</v>
      </c>
      <c r="K271">
        <v>4.8297163299620303E-3</v>
      </c>
      <c r="L271" t="s">
        <v>31</v>
      </c>
      <c r="N271" t="s">
        <v>266</v>
      </c>
      <c r="O271" t="s">
        <v>197</v>
      </c>
      <c r="P271">
        <v>1.2688605625850254E-2</v>
      </c>
      <c r="Q271" t="s">
        <v>31</v>
      </c>
      <c r="X271" t="s">
        <v>35</v>
      </c>
      <c r="Y271" t="s">
        <v>197</v>
      </c>
      <c r="Z271">
        <v>1.1021201703442948E-2</v>
      </c>
    </row>
    <row r="272" spans="9:26" x14ac:dyDescent="0.25">
      <c r="I272" t="s">
        <v>256</v>
      </c>
      <c r="J272" t="s">
        <v>198</v>
      </c>
      <c r="K272">
        <v>0</v>
      </c>
      <c r="L272" t="s">
        <v>31</v>
      </c>
      <c r="N272" t="s">
        <v>266</v>
      </c>
      <c r="O272" t="s">
        <v>198</v>
      </c>
      <c r="P272">
        <v>4.186646365032653E-3</v>
      </c>
      <c r="Q272" t="s">
        <v>31</v>
      </c>
      <c r="X272" t="s">
        <v>35</v>
      </c>
      <c r="Y272" t="s">
        <v>198</v>
      </c>
      <c r="Z272">
        <v>3.5152769045506843E-3</v>
      </c>
    </row>
    <row r="273" spans="9:26" x14ac:dyDescent="0.25">
      <c r="I273" t="s">
        <v>256</v>
      </c>
      <c r="J273" t="s">
        <v>199</v>
      </c>
      <c r="K273">
        <v>0</v>
      </c>
      <c r="L273" t="s">
        <v>31</v>
      </c>
      <c r="N273" t="s">
        <v>266</v>
      </c>
      <c r="O273" t="s">
        <v>199</v>
      </c>
      <c r="P273">
        <v>4.1856555676755497E-3</v>
      </c>
      <c r="Q273" t="s">
        <v>31</v>
      </c>
      <c r="X273" t="s">
        <v>35</v>
      </c>
      <c r="Y273" t="s">
        <v>199</v>
      </c>
      <c r="Z273">
        <v>3.2851217680764633E-3</v>
      </c>
    </row>
    <row r="274" spans="9:26" x14ac:dyDescent="0.25">
      <c r="I274" t="s">
        <v>256</v>
      </c>
      <c r="J274" t="s">
        <v>200</v>
      </c>
      <c r="K274">
        <v>0</v>
      </c>
      <c r="L274" t="s">
        <v>31</v>
      </c>
      <c r="N274" t="s">
        <v>266</v>
      </c>
      <c r="O274" t="s">
        <v>200</v>
      </c>
      <c r="P274">
        <v>1.302626194222594E-2</v>
      </c>
      <c r="Q274" t="s">
        <v>31</v>
      </c>
      <c r="X274" t="s">
        <v>35</v>
      </c>
      <c r="Y274" t="s">
        <v>200</v>
      </c>
      <c r="Z274">
        <v>8.5823239842190962E-3</v>
      </c>
    </row>
    <row r="275" spans="9:26" x14ac:dyDescent="0.25">
      <c r="I275" t="s">
        <v>256</v>
      </c>
      <c r="J275" t="s">
        <v>201</v>
      </c>
      <c r="K275">
        <v>0</v>
      </c>
      <c r="L275" t="s">
        <v>31</v>
      </c>
      <c r="N275" t="s">
        <v>266</v>
      </c>
      <c r="O275" t="s">
        <v>201</v>
      </c>
      <c r="P275">
        <v>2.3025577895510151E-2</v>
      </c>
      <c r="Q275" t="s">
        <v>31</v>
      </c>
      <c r="X275" t="s">
        <v>35</v>
      </c>
      <c r="Y275" t="s">
        <v>201</v>
      </c>
      <c r="Z275">
        <v>1.5033124372636795E-2</v>
      </c>
    </row>
    <row r="276" spans="9:26" x14ac:dyDescent="0.25">
      <c r="I276" t="s">
        <v>256</v>
      </c>
      <c r="J276" t="s">
        <v>202</v>
      </c>
      <c r="K276">
        <v>0</v>
      </c>
      <c r="L276" t="s">
        <v>31</v>
      </c>
      <c r="N276" t="s">
        <v>266</v>
      </c>
      <c r="O276" t="s">
        <v>202</v>
      </c>
      <c r="P276">
        <v>4.3629421465161983E-3</v>
      </c>
      <c r="Q276" t="s">
        <v>31</v>
      </c>
      <c r="X276" t="s">
        <v>35</v>
      </c>
      <c r="Y276" t="s">
        <v>202</v>
      </c>
      <c r="Z276">
        <v>3.4906763138438132E-3</v>
      </c>
    </row>
    <row r="277" spans="9:26" x14ac:dyDescent="0.25">
      <c r="I277" t="s">
        <v>256</v>
      </c>
      <c r="J277" t="s">
        <v>203</v>
      </c>
      <c r="K277">
        <v>1.2092888687475101E-2</v>
      </c>
      <c r="L277" t="s">
        <v>31</v>
      </c>
      <c r="N277" t="s">
        <v>266</v>
      </c>
      <c r="O277" t="s">
        <v>203</v>
      </c>
      <c r="P277">
        <v>3.9423359964118589E-2</v>
      </c>
      <c r="Q277" t="s">
        <v>31</v>
      </c>
      <c r="X277" t="s">
        <v>35</v>
      </c>
      <c r="Y277" t="s">
        <v>203</v>
      </c>
      <c r="Z277">
        <v>3.2780313939305285E-2</v>
      </c>
    </row>
    <row r="278" spans="9:26" x14ac:dyDescent="0.25">
      <c r="I278" t="s">
        <v>256</v>
      </c>
      <c r="J278" t="s">
        <v>204</v>
      </c>
      <c r="K278">
        <v>1.5947187723850151E-3</v>
      </c>
      <c r="L278" t="s">
        <v>31</v>
      </c>
      <c r="N278" t="s">
        <v>266</v>
      </c>
      <c r="O278" t="s">
        <v>204</v>
      </c>
      <c r="P278">
        <v>4.546909942324315E-3</v>
      </c>
      <c r="Q278" t="s">
        <v>31</v>
      </c>
      <c r="X278" t="s">
        <v>35</v>
      </c>
      <c r="Y278" t="s">
        <v>204</v>
      </c>
      <c r="Z278">
        <v>3.7080982988057778E-3</v>
      </c>
    </row>
    <row r="279" spans="9:26" x14ac:dyDescent="0.25">
      <c r="I279" t="s">
        <v>256</v>
      </c>
      <c r="J279" t="s">
        <v>205</v>
      </c>
      <c r="K279">
        <v>2.5946071685456224E-4</v>
      </c>
      <c r="L279" t="s">
        <v>31</v>
      </c>
      <c r="N279" t="s">
        <v>266</v>
      </c>
      <c r="O279" t="s">
        <v>205</v>
      </c>
      <c r="P279">
        <v>1.4181559015853468E-2</v>
      </c>
      <c r="Q279" t="s">
        <v>31</v>
      </c>
      <c r="X279" t="s">
        <v>35</v>
      </c>
      <c r="Y279" t="s">
        <v>205</v>
      </c>
      <c r="Z279">
        <v>1.1064052029047521E-2</v>
      </c>
    </row>
    <row r="280" spans="9:26" x14ac:dyDescent="0.25">
      <c r="I280" t="s">
        <v>256</v>
      </c>
      <c r="J280" t="s">
        <v>206</v>
      </c>
      <c r="K280">
        <v>0</v>
      </c>
      <c r="L280" t="s">
        <v>31</v>
      </c>
      <c r="N280" t="s">
        <v>266</v>
      </c>
      <c r="O280" t="s">
        <v>206</v>
      </c>
      <c r="P280">
        <v>4.8982633655495697E-3</v>
      </c>
      <c r="Q280" t="s">
        <v>31</v>
      </c>
      <c r="X280" t="s">
        <v>35</v>
      </c>
      <c r="Y280" t="s">
        <v>206</v>
      </c>
      <c r="Z280">
        <v>3.6366283516079531E-3</v>
      </c>
    </row>
    <row r="281" spans="9:26" x14ac:dyDescent="0.25">
      <c r="I281" t="s">
        <v>256</v>
      </c>
      <c r="J281" t="s">
        <v>207</v>
      </c>
      <c r="K281">
        <v>0</v>
      </c>
      <c r="L281" t="s">
        <v>31</v>
      </c>
      <c r="N281" t="s">
        <v>266</v>
      </c>
      <c r="O281" t="s">
        <v>207</v>
      </c>
      <c r="P281">
        <v>4.8974972987533187E-3</v>
      </c>
      <c r="Q281" t="s">
        <v>31</v>
      </c>
      <c r="X281" t="s">
        <v>35</v>
      </c>
      <c r="Y281" t="s">
        <v>207</v>
      </c>
      <c r="Z281">
        <v>3.4442619228475251E-3</v>
      </c>
    </row>
    <row r="282" spans="9:26" x14ac:dyDescent="0.25">
      <c r="I282" t="s">
        <v>256</v>
      </c>
      <c r="J282" t="s">
        <v>208</v>
      </c>
      <c r="K282">
        <v>0</v>
      </c>
      <c r="L282" t="s">
        <v>31</v>
      </c>
      <c r="N282" t="s">
        <v>266</v>
      </c>
      <c r="O282" t="s">
        <v>208</v>
      </c>
      <c r="P282">
        <v>1.4381622889702992E-2</v>
      </c>
      <c r="Q282" t="s">
        <v>31</v>
      </c>
      <c r="X282" t="s">
        <v>35</v>
      </c>
      <c r="Y282" t="s">
        <v>208</v>
      </c>
      <c r="Z282">
        <v>9.2879827664992809E-3</v>
      </c>
    </row>
    <row r="283" spans="9:26" x14ac:dyDescent="0.25">
      <c r="I283" t="s">
        <v>256</v>
      </c>
      <c r="J283" t="s">
        <v>209</v>
      </c>
      <c r="K283">
        <v>0</v>
      </c>
      <c r="L283" t="s">
        <v>31</v>
      </c>
      <c r="N283" t="s">
        <v>266</v>
      </c>
      <c r="O283" t="s">
        <v>209</v>
      </c>
      <c r="P283">
        <v>2.8072250885638337E-2</v>
      </c>
      <c r="Q283" t="s">
        <v>31</v>
      </c>
      <c r="X283" t="s">
        <v>35</v>
      </c>
      <c r="Y283" t="s">
        <v>209</v>
      </c>
      <c r="Z283">
        <v>1.6818171731056177E-2</v>
      </c>
    </row>
    <row r="284" spans="9:26" x14ac:dyDescent="0.25">
      <c r="I284" t="s">
        <v>256</v>
      </c>
      <c r="J284" t="s">
        <v>210</v>
      </c>
      <c r="K284">
        <v>0</v>
      </c>
      <c r="L284" t="s">
        <v>31</v>
      </c>
      <c r="N284" t="s">
        <v>266</v>
      </c>
      <c r="O284" t="s">
        <v>210</v>
      </c>
      <c r="P284">
        <v>5.5896667703824411E-3</v>
      </c>
      <c r="Q284" t="s">
        <v>31</v>
      </c>
      <c r="X284" t="s">
        <v>35</v>
      </c>
      <c r="Y284" t="s">
        <v>210</v>
      </c>
      <c r="Z284">
        <v>3.9065868799424489E-3</v>
      </c>
    </row>
    <row r="285" spans="9:26" x14ac:dyDescent="0.25">
      <c r="I285" t="s">
        <v>256</v>
      </c>
      <c r="J285" t="s">
        <v>211</v>
      </c>
      <c r="K285">
        <v>4.5263023002266442E-3</v>
      </c>
      <c r="L285" t="s">
        <v>31</v>
      </c>
      <c r="N285" t="s">
        <v>266</v>
      </c>
      <c r="O285" t="s">
        <v>211</v>
      </c>
      <c r="P285">
        <v>5.2160498067877814E-2</v>
      </c>
      <c r="Q285" t="s">
        <v>31</v>
      </c>
      <c r="X285" t="s">
        <v>35</v>
      </c>
      <c r="Y285" t="s">
        <v>211</v>
      </c>
      <c r="Z285">
        <v>3.5563456793290427E-2</v>
      </c>
    </row>
    <row r="286" spans="9:26" x14ac:dyDescent="0.25">
      <c r="I286" t="s">
        <v>256</v>
      </c>
      <c r="J286" t="s">
        <v>212</v>
      </c>
      <c r="K286">
        <v>6.3906024040864611E-4</v>
      </c>
      <c r="L286" t="s">
        <v>31</v>
      </c>
      <c r="N286" t="s">
        <v>266</v>
      </c>
      <c r="O286" t="s">
        <v>212</v>
      </c>
      <c r="P286">
        <v>5.7232433259009723E-3</v>
      </c>
      <c r="Q286" t="s">
        <v>31</v>
      </c>
      <c r="X286" t="s">
        <v>35</v>
      </c>
      <c r="Y286" t="s">
        <v>212</v>
      </c>
      <c r="Z286">
        <v>3.9965404341741938E-3</v>
      </c>
    </row>
    <row r="287" spans="9:26" x14ac:dyDescent="0.25">
      <c r="I287" t="s">
        <v>256</v>
      </c>
      <c r="J287" t="s">
        <v>213</v>
      </c>
      <c r="K287">
        <v>0</v>
      </c>
      <c r="L287" t="s">
        <v>31</v>
      </c>
      <c r="N287" t="s">
        <v>266</v>
      </c>
      <c r="O287" t="s">
        <v>213</v>
      </c>
      <c r="P287">
        <v>1.7713351772220418E-2</v>
      </c>
      <c r="Q287" t="s">
        <v>31</v>
      </c>
      <c r="X287" t="s">
        <v>35</v>
      </c>
      <c r="Y287" t="s">
        <v>213</v>
      </c>
      <c r="Z287">
        <v>1.1924586388884714E-2</v>
      </c>
    </row>
    <row r="288" spans="9:26" x14ac:dyDescent="0.25">
      <c r="I288" t="s">
        <v>256</v>
      </c>
      <c r="J288" t="s">
        <v>214</v>
      </c>
      <c r="K288">
        <v>0</v>
      </c>
      <c r="L288" t="s">
        <v>31</v>
      </c>
      <c r="N288" t="s">
        <v>266</v>
      </c>
      <c r="O288" t="s">
        <v>214</v>
      </c>
      <c r="P288">
        <v>6.0051350434172949E-3</v>
      </c>
      <c r="Q288" t="s">
        <v>31</v>
      </c>
      <c r="X288" t="s">
        <v>35</v>
      </c>
      <c r="Y288" t="s">
        <v>214</v>
      </c>
      <c r="Z288">
        <v>3.8462070969649763E-3</v>
      </c>
    </row>
    <row r="289" spans="9:26" x14ac:dyDescent="0.25">
      <c r="I289" t="s">
        <v>256</v>
      </c>
      <c r="J289" t="s">
        <v>215</v>
      </c>
      <c r="K289">
        <v>0</v>
      </c>
      <c r="L289" t="s">
        <v>31</v>
      </c>
      <c r="N289" t="s">
        <v>266</v>
      </c>
      <c r="O289" t="s">
        <v>215</v>
      </c>
      <c r="P289">
        <v>5.980710060184042E-3</v>
      </c>
      <c r="Q289" t="s">
        <v>31</v>
      </c>
      <c r="X289" t="s">
        <v>35</v>
      </c>
      <c r="Y289" t="s">
        <v>215</v>
      </c>
      <c r="Z289">
        <v>3.6420659259459023E-3</v>
      </c>
    </row>
    <row r="290" spans="9:26" x14ac:dyDescent="0.25">
      <c r="I290" t="s">
        <v>256</v>
      </c>
      <c r="J290" t="s">
        <v>216</v>
      </c>
      <c r="K290">
        <v>0</v>
      </c>
      <c r="L290" t="s">
        <v>31</v>
      </c>
      <c r="N290" t="s">
        <v>266</v>
      </c>
      <c r="O290" t="s">
        <v>216</v>
      </c>
      <c r="P290">
        <v>1.7593816799919105E-2</v>
      </c>
      <c r="Q290" t="s">
        <v>31</v>
      </c>
      <c r="X290" t="s">
        <v>35</v>
      </c>
      <c r="Y290" t="s">
        <v>216</v>
      </c>
      <c r="Z290">
        <v>1.0138933033800368E-2</v>
      </c>
    </row>
    <row r="291" spans="9:26" x14ac:dyDescent="0.25">
      <c r="I291" t="s">
        <v>257</v>
      </c>
      <c r="J291" t="s">
        <v>121</v>
      </c>
      <c r="K291">
        <v>0</v>
      </c>
      <c r="L291" t="s">
        <v>31</v>
      </c>
      <c r="N291" t="s">
        <v>267</v>
      </c>
      <c r="O291" t="s">
        <v>121</v>
      </c>
      <c r="P291">
        <v>1.9486301938568304E-2</v>
      </c>
      <c r="Q291" t="s">
        <v>31</v>
      </c>
    </row>
    <row r="292" spans="9:26" x14ac:dyDescent="0.25">
      <c r="I292" t="s">
        <v>257</v>
      </c>
      <c r="J292" t="s">
        <v>122</v>
      </c>
      <c r="K292">
        <v>0</v>
      </c>
      <c r="L292" t="s">
        <v>31</v>
      </c>
      <c r="N292" t="s">
        <v>267</v>
      </c>
      <c r="O292" t="s">
        <v>122</v>
      </c>
      <c r="P292">
        <v>3.9381276045911155E-3</v>
      </c>
      <c r="Q292" t="s">
        <v>31</v>
      </c>
    </row>
    <row r="293" spans="9:26" x14ac:dyDescent="0.25">
      <c r="I293" t="s">
        <v>257</v>
      </c>
      <c r="J293" t="s">
        <v>123</v>
      </c>
      <c r="K293">
        <v>8.244810902901795E-3</v>
      </c>
      <c r="L293" t="s">
        <v>31</v>
      </c>
      <c r="N293" t="s">
        <v>267</v>
      </c>
      <c r="O293" t="s">
        <v>123</v>
      </c>
      <c r="P293">
        <v>3.8022678670011856E-2</v>
      </c>
      <c r="Q293" t="s">
        <v>31</v>
      </c>
    </row>
    <row r="294" spans="9:26" x14ac:dyDescent="0.25">
      <c r="I294" t="s">
        <v>257</v>
      </c>
      <c r="J294" t="s">
        <v>124</v>
      </c>
      <c r="K294">
        <v>1.4127396844557706E-3</v>
      </c>
      <c r="L294" t="s">
        <v>31</v>
      </c>
      <c r="N294" t="s">
        <v>267</v>
      </c>
      <c r="O294" t="s">
        <v>124</v>
      </c>
      <c r="P294">
        <v>4.3550582977948471E-3</v>
      </c>
      <c r="Q294" t="s">
        <v>31</v>
      </c>
    </row>
    <row r="295" spans="9:26" x14ac:dyDescent="0.25">
      <c r="I295" t="s">
        <v>257</v>
      </c>
      <c r="J295" t="s">
        <v>125</v>
      </c>
      <c r="K295">
        <v>6.1816345125984083E-4</v>
      </c>
      <c r="L295" t="s">
        <v>31</v>
      </c>
      <c r="N295" t="s">
        <v>267</v>
      </c>
      <c r="O295" t="s">
        <v>125</v>
      </c>
      <c r="P295">
        <v>1.2544253680139162E-2</v>
      </c>
      <c r="Q295" t="s">
        <v>31</v>
      </c>
    </row>
    <row r="296" spans="9:26" x14ac:dyDescent="0.25">
      <c r="I296" t="s">
        <v>257</v>
      </c>
      <c r="J296" t="s">
        <v>126</v>
      </c>
      <c r="K296">
        <v>0</v>
      </c>
      <c r="L296" t="s">
        <v>31</v>
      </c>
      <c r="N296" t="s">
        <v>267</v>
      </c>
      <c r="O296" t="s">
        <v>126</v>
      </c>
      <c r="P296">
        <v>4.0373607721423234E-3</v>
      </c>
      <c r="Q296" t="s">
        <v>31</v>
      </c>
    </row>
    <row r="297" spans="9:26" x14ac:dyDescent="0.25">
      <c r="I297" t="s">
        <v>257</v>
      </c>
      <c r="J297" t="s">
        <v>127</v>
      </c>
      <c r="K297">
        <v>0</v>
      </c>
      <c r="L297" t="s">
        <v>31</v>
      </c>
      <c r="N297" t="s">
        <v>267</v>
      </c>
      <c r="O297" t="s">
        <v>127</v>
      </c>
      <c r="P297">
        <v>3.989705726542914E-3</v>
      </c>
      <c r="Q297" t="s">
        <v>31</v>
      </c>
    </row>
    <row r="298" spans="9:26" x14ac:dyDescent="0.25">
      <c r="I298" t="s">
        <v>257</v>
      </c>
      <c r="J298" t="s">
        <v>128</v>
      </c>
      <c r="K298">
        <v>0</v>
      </c>
      <c r="L298" t="s">
        <v>31</v>
      </c>
      <c r="N298" t="s">
        <v>267</v>
      </c>
      <c r="O298" t="s">
        <v>128</v>
      </c>
      <c r="P298">
        <v>1.1854357155323816E-2</v>
      </c>
      <c r="Q298" t="s">
        <v>31</v>
      </c>
    </row>
    <row r="299" spans="9:26" x14ac:dyDescent="0.25">
      <c r="I299" t="s">
        <v>257</v>
      </c>
      <c r="J299" t="s">
        <v>129</v>
      </c>
      <c r="K299">
        <v>0</v>
      </c>
      <c r="L299" t="s">
        <v>31</v>
      </c>
      <c r="N299" t="s">
        <v>267</v>
      </c>
      <c r="O299" t="s">
        <v>129</v>
      </c>
      <c r="P299">
        <v>1.1734981519040476E-2</v>
      </c>
      <c r="Q299" t="s">
        <v>31</v>
      </c>
    </row>
    <row r="300" spans="9:26" x14ac:dyDescent="0.25">
      <c r="I300" t="s">
        <v>257</v>
      </c>
      <c r="J300" t="s">
        <v>130</v>
      </c>
      <c r="K300">
        <v>0</v>
      </c>
      <c r="L300" t="s">
        <v>31</v>
      </c>
      <c r="N300" t="s">
        <v>267</v>
      </c>
      <c r="O300" t="s">
        <v>130</v>
      </c>
      <c r="P300">
        <v>2.5275840666760139E-3</v>
      </c>
      <c r="Q300" t="s">
        <v>31</v>
      </c>
    </row>
    <row r="301" spans="9:26" x14ac:dyDescent="0.25">
      <c r="I301" t="s">
        <v>257</v>
      </c>
      <c r="J301" t="s">
        <v>131</v>
      </c>
      <c r="K301">
        <v>2.0491651333539897E-2</v>
      </c>
      <c r="L301" t="s">
        <v>31</v>
      </c>
      <c r="N301" t="s">
        <v>267</v>
      </c>
      <c r="O301" t="s">
        <v>131</v>
      </c>
      <c r="P301">
        <v>2.3578225813490328E-2</v>
      </c>
      <c r="Q301" t="s">
        <v>31</v>
      </c>
    </row>
    <row r="302" spans="9:26" x14ac:dyDescent="0.25">
      <c r="I302" t="s">
        <v>257</v>
      </c>
      <c r="J302" t="s">
        <v>132</v>
      </c>
      <c r="K302">
        <v>3.4699017702487403E-3</v>
      </c>
      <c r="L302" t="s">
        <v>31</v>
      </c>
      <c r="N302" t="s">
        <v>267</v>
      </c>
      <c r="O302" t="s">
        <v>132</v>
      </c>
      <c r="P302">
        <v>2.5927391848114757E-3</v>
      </c>
      <c r="Q302" t="s">
        <v>31</v>
      </c>
    </row>
    <row r="303" spans="9:26" x14ac:dyDescent="0.25">
      <c r="I303" t="s">
        <v>257</v>
      </c>
      <c r="J303" t="s">
        <v>133</v>
      </c>
      <c r="K303">
        <v>3.6213769630866659E-3</v>
      </c>
      <c r="L303" t="s">
        <v>31</v>
      </c>
      <c r="N303" t="s">
        <v>267</v>
      </c>
      <c r="O303" t="s">
        <v>133</v>
      </c>
      <c r="P303">
        <v>7.7781360949354464E-3</v>
      </c>
      <c r="Q303" t="s">
        <v>31</v>
      </c>
    </row>
    <row r="304" spans="9:26" x14ac:dyDescent="0.25">
      <c r="I304" t="s">
        <v>257</v>
      </c>
      <c r="J304" t="s">
        <v>134</v>
      </c>
      <c r="K304">
        <v>0</v>
      </c>
      <c r="L304" t="s">
        <v>31</v>
      </c>
      <c r="N304" t="s">
        <v>267</v>
      </c>
      <c r="O304" t="s">
        <v>134</v>
      </c>
      <c r="P304">
        <v>2.6011653609513755E-3</v>
      </c>
      <c r="Q304" t="s">
        <v>31</v>
      </c>
    </row>
    <row r="305" spans="9:17" x14ac:dyDescent="0.25">
      <c r="I305" t="s">
        <v>257</v>
      </c>
      <c r="J305" t="s">
        <v>135</v>
      </c>
      <c r="K305">
        <v>0</v>
      </c>
      <c r="L305" t="s">
        <v>31</v>
      </c>
      <c r="N305" t="s">
        <v>267</v>
      </c>
      <c r="O305" t="s">
        <v>135</v>
      </c>
      <c r="P305">
        <v>2.5392959019223233E-3</v>
      </c>
      <c r="Q305" t="s">
        <v>31</v>
      </c>
    </row>
    <row r="306" spans="9:17" x14ac:dyDescent="0.25">
      <c r="I306" t="s">
        <v>257</v>
      </c>
      <c r="J306" t="s">
        <v>136</v>
      </c>
      <c r="K306">
        <v>0</v>
      </c>
      <c r="L306" t="s">
        <v>31</v>
      </c>
      <c r="N306" t="s">
        <v>267</v>
      </c>
      <c r="O306" t="s">
        <v>136</v>
      </c>
      <c r="P306">
        <v>6.89082281083871E-3</v>
      </c>
      <c r="Q306" t="s">
        <v>31</v>
      </c>
    </row>
    <row r="307" spans="9:17" x14ac:dyDescent="0.25">
      <c r="I307" t="s">
        <v>257</v>
      </c>
      <c r="J307" t="s">
        <v>137</v>
      </c>
      <c r="K307">
        <v>0</v>
      </c>
      <c r="L307" t="s">
        <v>31</v>
      </c>
      <c r="N307" t="s">
        <v>267</v>
      </c>
      <c r="O307" t="s">
        <v>137</v>
      </c>
      <c r="P307">
        <v>1.5186608789952233E-2</v>
      </c>
      <c r="Q307" t="s">
        <v>31</v>
      </c>
    </row>
    <row r="308" spans="9:17" x14ac:dyDescent="0.25">
      <c r="I308" t="s">
        <v>257</v>
      </c>
      <c r="J308" t="s">
        <v>138</v>
      </c>
      <c r="K308">
        <v>0</v>
      </c>
      <c r="L308" t="s">
        <v>31</v>
      </c>
      <c r="N308" t="s">
        <v>267</v>
      </c>
      <c r="O308" t="s">
        <v>138</v>
      </c>
      <c r="P308">
        <v>2.9376540208549437E-3</v>
      </c>
      <c r="Q308" t="s">
        <v>31</v>
      </c>
    </row>
    <row r="309" spans="9:17" x14ac:dyDescent="0.25">
      <c r="I309" t="s">
        <v>257</v>
      </c>
      <c r="J309" t="s">
        <v>139</v>
      </c>
      <c r="K309">
        <v>7.8267129520329284E-2</v>
      </c>
      <c r="L309" t="s">
        <v>31</v>
      </c>
      <c r="N309" t="s">
        <v>267</v>
      </c>
      <c r="O309" t="s">
        <v>139</v>
      </c>
      <c r="P309">
        <v>2.8118785075248776E-2</v>
      </c>
      <c r="Q309" t="s">
        <v>31</v>
      </c>
    </row>
    <row r="310" spans="9:17" x14ac:dyDescent="0.25">
      <c r="I310" t="s">
        <v>257</v>
      </c>
      <c r="J310" t="s">
        <v>140</v>
      </c>
      <c r="K310">
        <v>1.2311100614487243E-2</v>
      </c>
      <c r="L310" t="s">
        <v>31</v>
      </c>
      <c r="N310" t="s">
        <v>267</v>
      </c>
      <c r="O310" t="s">
        <v>140</v>
      </c>
      <c r="P310">
        <v>3.5565485870374929E-3</v>
      </c>
      <c r="Q310" t="s">
        <v>31</v>
      </c>
    </row>
    <row r="311" spans="9:17" x14ac:dyDescent="0.25">
      <c r="I311" t="s">
        <v>257</v>
      </c>
      <c r="J311" t="s">
        <v>141</v>
      </c>
      <c r="K311">
        <v>2.3495211201224182E-2</v>
      </c>
      <c r="L311" t="s">
        <v>31</v>
      </c>
      <c r="N311" t="s">
        <v>267</v>
      </c>
      <c r="O311" t="s">
        <v>141</v>
      </c>
      <c r="P311">
        <v>1.1349097589523342E-2</v>
      </c>
      <c r="Q311" t="s">
        <v>31</v>
      </c>
    </row>
    <row r="312" spans="9:17" x14ac:dyDescent="0.25">
      <c r="I312" t="s">
        <v>257</v>
      </c>
      <c r="J312" t="s">
        <v>142</v>
      </c>
      <c r="K312">
        <v>3.2923404097034135E-4</v>
      </c>
      <c r="L312" t="s">
        <v>31</v>
      </c>
      <c r="N312" t="s">
        <v>267</v>
      </c>
      <c r="O312" t="s">
        <v>142</v>
      </c>
      <c r="P312">
        <v>3.9255777378949756E-3</v>
      </c>
      <c r="Q312" t="s">
        <v>31</v>
      </c>
    </row>
    <row r="313" spans="9:17" x14ac:dyDescent="0.25">
      <c r="I313" t="s">
        <v>257</v>
      </c>
      <c r="J313" t="s">
        <v>143</v>
      </c>
      <c r="K313">
        <v>0</v>
      </c>
      <c r="L313" t="s">
        <v>31</v>
      </c>
      <c r="N313" t="s">
        <v>267</v>
      </c>
      <c r="O313" t="s">
        <v>143</v>
      </c>
      <c r="P313">
        <v>3.771067765970981E-3</v>
      </c>
      <c r="Q313" t="s">
        <v>31</v>
      </c>
    </row>
    <row r="314" spans="9:17" x14ac:dyDescent="0.25">
      <c r="I314" t="s">
        <v>257</v>
      </c>
      <c r="J314" t="s">
        <v>144</v>
      </c>
      <c r="K314">
        <v>0</v>
      </c>
      <c r="L314" t="s">
        <v>31</v>
      </c>
      <c r="N314" t="s">
        <v>267</v>
      </c>
      <c r="O314" t="s">
        <v>144</v>
      </c>
      <c r="P314">
        <v>1.0087584810998201E-2</v>
      </c>
      <c r="Q314" t="s">
        <v>31</v>
      </c>
    </row>
    <row r="315" spans="9:17" x14ac:dyDescent="0.25">
      <c r="I315" t="s">
        <v>257</v>
      </c>
      <c r="J315" t="s">
        <v>145</v>
      </c>
      <c r="K315">
        <v>0</v>
      </c>
      <c r="L315" t="s">
        <v>31</v>
      </c>
      <c r="N315" t="s">
        <v>267</v>
      </c>
      <c r="O315" t="s">
        <v>145</v>
      </c>
      <c r="P315">
        <v>1.9017423251175138E-2</v>
      </c>
      <c r="Q315" t="s">
        <v>31</v>
      </c>
    </row>
    <row r="316" spans="9:17" x14ac:dyDescent="0.25">
      <c r="I316" t="s">
        <v>257</v>
      </c>
      <c r="J316" t="s">
        <v>146</v>
      </c>
      <c r="K316">
        <v>1.5979949420121474E-6</v>
      </c>
      <c r="L316" t="s">
        <v>31</v>
      </c>
      <c r="N316" t="s">
        <v>267</v>
      </c>
      <c r="O316" t="s">
        <v>146</v>
      </c>
      <c r="P316">
        <v>4.0551282629395016E-3</v>
      </c>
      <c r="Q316" t="s">
        <v>31</v>
      </c>
    </row>
    <row r="317" spans="9:17" x14ac:dyDescent="0.25">
      <c r="I317" t="s">
        <v>257</v>
      </c>
      <c r="J317" t="s">
        <v>147</v>
      </c>
      <c r="K317">
        <v>8.4198439208002893E-2</v>
      </c>
      <c r="L317" t="s">
        <v>31</v>
      </c>
      <c r="N317" t="s">
        <v>267</v>
      </c>
      <c r="O317" t="s">
        <v>147</v>
      </c>
      <c r="P317">
        <v>3.6486310903012048E-2</v>
      </c>
      <c r="Q317" t="s">
        <v>31</v>
      </c>
    </row>
    <row r="318" spans="9:17" x14ac:dyDescent="0.25">
      <c r="I318" t="s">
        <v>257</v>
      </c>
      <c r="J318" t="s">
        <v>148</v>
      </c>
      <c r="K318">
        <v>1.1033520293542749E-2</v>
      </c>
      <c r="L318" t="s">
        <v>31</v>
      </c>
      <c r="N318" t="s">
        <v>267</v>
      </c>
      <c r="O318" t="s">
        <v>148</v>
      </c>
      <c r="P318">
        <v>4.0505176078140586E-3</v>
      </c>
      <c r="Q318" t="s">
        <v>31</v>
      </c>
    </row>
    <row r="319" spans="9:17" x14ac:dyDescent="0.25">
      <c r="I319" t="s">
        <v>257</v>
      </c>
      <c r="J319" t="s">
        <v>149</v>
      </c>
      <c r="K319">
        <v>2.4762053859012197E-2</v>
      </c>
      <c r="L319" t="s">
        <v>31</v>
      </c>
      <c r="N319" t="s">
        <v>267</v>
      </c>
      <c r="O319" t="s">
        <v>149</v>
      </c>
      <c r="P319">
        <v>1.1951526431610201E-2</v>
      </c>
      <c r="Q319" t="s">
        <v>31</v>
      </c>
    </row>
    <row r="320" spans="9:17" x14ac:dyDescent="0.25">
      <c r="I320" t="s">
        <v>257</v>
      </c>
      <c r="J320" t="s">
        <v>150</v>
      </c>
      <c r="K320">
        <v>3.6423978779708032E-3</v>
      </c>
      <c r="L320" t="s">
        <v>31</v>
      </c>
      <c r="N320" t="s">
        <v>267</v>
      </c>
      <c r="O320" t="s">
        <v>150</v>
      </c>
      <c r="P320">
        <v>3.8852258311426737E-3</v>
      </c>
      <c r="Q320" t="s">
        <v>31</v>
      </c>
    </row>
    <row r="321" spans="9:17" x14ac:dyDescent="0.25">
      <c r="I321" t="s">
        <v>257</v>
      </c>
      <c r="J321" t="s">
        <v>151</v>
      </c>
      <c r="K321">
        <v>6.1765608745711453E-4</v>
      </c>
      <c r="L321" t="s">
        <v>31</v>
      </c>
      <c r="N321" t="s">
        <v>267</v>
      </c>
      <c r="O321" t="s">
        <v>151</v>
      </c>
      <c r="P321">
        <v>3.8955779067274317E-3</v>
      </c>
      <c r="Q321" t="s">
        <v>31</v>
      </c>
    </row>
    <row r="322" spans="9:17" x14ac:dyDescent="0.25">
      <c r="I322" t="s">
        <v>257</v>
      </c>
      <c r="J322" t="s">
        <v>152</v>
      </c>
      <c r="K322">
        <v>0</v>
      </c>
      <c r="L322" t="s">
        <v>31</v>
      </c>
      <c r="N322" t="s">
        <v>267</v>
      </c>
      <c r="O322" t="s">
        <v>152</v>
      </c>
      <c r="P322">
        <v>1.191675698690531E-2</v>
      </c>
      <c r="Q322" t="s">
        <v>31</v>
      </c>
    </row>
    <row r="323" spans="9:17" x14ac:dyDescent="0.25">
      <c r="I323" t="s">
        <v>257</v>
      </c>
      <c r="J323" t="s">
        <v>153</v>
      </c>
      <c r="K323">
        <v>3.3510082290818144E-5</v>
      </c>
      <c r="L323" t="s">
        <v>31</v>
      </c>
      <c r="N323" t="s">
        <v>267</v>
      </c>
      <c r="O323" t="s">
        <v>153</v>
      </c>
      <c r="P323">
        <v>1.6277363237341885E-2</v>
      </c>
      <c r="Q323" t="s">
        <v>31</v>
      </c>
    </row>
    <row r="324" spans="9:17" x14ac:dyDescent="0.25">
      <c r="I324" t="s">
        <v>257</v>
      </c>
      <c r="J324" t="s">
        <v>154</v>
      </c>
      <c r="K324">
        <v>2.2948374389607788E-3</v>
      </c>
      <c r="L324" t="s">
        <v>31</v>
      </c>
      <c r="N324" t="s">
        <v>267</v>
      </c>
      <c r="O324" t="s">
        <v>154</v>
      </c>
      <c r="P324">
        <v>3.0273059237558423E-3</v>
      </c>
      <c r="Q324" t="s">
        <v>31</v>
      </c>
    </row>
    <row r="325" spans="9:17" x14ac:dyDescent="0.25">
      <c r="I325" t="s">
        <v>257</v>
      </c>
      <c r="J325" t="s">
        <v>155</v>
      </c>
      <c r="K325">
        <v>9.475183371211636E-2</v>
      </c>
      <c r="L325" t="s">
        <v>31</v>
      </c>
      <c r="N325" t="s">
        <v>267</v>
      </c>
      <c r="O325" t="s">
        <v>155</v>
      </c>
      <c r="P325">
        <v>2.6328030811913098E-2</v>
      </c>
      <c r="Q325" t="s">
        <v>31</v>
      </c>
    </row>
    <row r="326" spans="9:17" x14ac:dyDescent="0.25">
      <c r="I326" t="s">
        <v>257</v>
      </c>
      <c r="J326" t="s">
        <v>156</v>
      </c>
      <c r="K326">
        <v>1.2703254570961062E-2</v>
      </c>
      <c r="L326" t="s">
        <v>31</v>
      </c>
      <c r="N326" t="s">
        <v>267</v>
      </c>
      <c r="O326" t="s">
        <v>156</v>
      </c>
      <c r="P326">
        <v>2.9861743956497585E-3</v>
      </c>
      <c r="Q326" t="s">
        <v>31</v>
      </c>
    </row>
    <row r="327" spans="9:17" x14ac:dyDescent="0.25">
      <c r="I327" t="s">
        <v>257</v>
      </c>
      <c r="J327" t="s">
        <v>157</v>
      </c>
      <c r="K327">
        <v>2.9488665335698244E-2</v>
      </c>
      <c r="L327" t="s">
        <v>31</v>
      </c>
      <c r="N327" t="s">
        <v>267</v>
      </c>
      <c r="O327" t="s">
        <v>157</v>
      </c>
      <c r="P327">
        <v>9.193153566819455E-3</v>
      </c>
      <c r="Q327" t="s">
        <v>31</v>
      </c>
    </row>
    <row r="328" spans="9:17" x14ac:dyDescent="0.25">
      <c r="I328" t="s">
        <v>257</v>
      </c>
      <c r="J328" t="s">
        <v>158</v>
      </c>
      <c r="K328">
        <v>5.850739322805408E-3</v>
      </c>
      <c r="L328" t="s">
        <v>31</v>
      </c>
      <c r="N328" t="s">
        <v>267</v>
      </c>
      <c r="O328" t="s">
        <v>158</v>
      </c>
      <c r="P328">
        <v>3.0969055259854497E-3</v>
      </c>
      <c r="Q328" t="s">
        <v>31</v>
      </c>
    </row>
    <row r="329" spans="9:17" x14ac:dyDescent="0.25">
      <c r="I329" t="s">
        <v>257</v>
      </c>
      <c r="J329" t="s">
        <v>159</v>
      </c>
      <c r="K329">
        <v>2.9766667103186804E-3</v>
      </c>
      <c r="L329" t="s">
        <v>31</v>
      </c>
      <c r="N329" t="s">
        <v>267</v>
      </c>
      <c r="O329" t="s">
        <v>159</v>
      </c>
      <c r="P329">
        <v>3.0856967987458257E-3</v>
      </c>
      <c r="Q329" t="s">
        <v>31</v>
      </c>
    </row>
    <row r="330" spans="9:17" x14ac:dyDescent="0.25">
      <c r="I330" t="s">
        <v>257</v>
      </c>
      <c r="J330" t="s">
        <v>160</v>
      </c>
      <c r="K330">
        <v>2.9388975058872575E-4</v>
      </c>
      <c r="L330" t="s">
        <v>31</v>
      </c>
      <c r="N330" t="s">
        <v>267</v>
      </c>
      <c r="O330" t="s">
        <v>160</v>
      </c>
      <c r="P330">
        <v>9.1450616470443325E-3</v>
      </c>
      <c r="Q330" t="s">
        <v>31</v>
      </c>
    </row>
    <row r="331" spans="9:17" x14ac:dyDescent="0.25">
      <c r="I331" t="s">
        <v>257</v>
      </c>
      <c r="J331" t="s">
        <v>161</v>
      </c>
      <c r="K331">
        <v>1.0864889659409332E-3</v>
      </c>
      <c r="L331" t="s">
        <v>31</v>
      </c>
      <c r="N331" t="s">
        <v>267</v>
      </c>
      <c r="O331" t="s">
        <v>161</v>
      </c>
      <c r="P331">
        <v>1.23591112600148E-2</v>
      </c>
      <c r="Q331" t="s">
        <v>31</v>
      </c>
    </row>
    <row r="332" spans="9:17" x14ac:dyDescent="0.25">
      <c r="I332" t="s">
        <v>257</v>
      </c>
      <c r="J332" t="s">
        <v>162</v>
      </c>
      <c r="K332">
        <v>3.3552638840407155E-3</v>
      </c>
      <c r="L332" t="s">
        <v>31</v>
      </c>
      <c r="N332" t="s">
        <v>267</v>
      </c>
      <c r="O332" t="s">
        <v>162</v>
      </c>
      <c r="P332">
        <v>2.2735411966646199E-3</v>
      </c>
      <c r="Q332" t="s">
        <v>31</v>
      </c>
    </row>
    <row r="333" spans="9:17" x14ac:dyDescent="0.25">
      <c r="I333" t="s">
        <v>257</v>
      </c>
      <c r="J333" t="s">
        <v>163</v>
      </c>
      <c r="K333">
        <v>9.5678950670496102E-2</v>
      </c>
      <c r="L333" t="s">
        <v>31</v>
      </c>
      <c r="N333" t="s">
        <v>267</v>
      </c>
      <c r="O333" t="s">
        <v>163</v>
      </c>
      <c r="P333">
        <v>2.0386474607052885E-2</v>
      </c>
      <c r="Q333" t="s">
        <v>31</v>
      </c>
    </row>
    <row r="334" spans="9:17" x14ac:dyDescent="0.25">
      <c r="I334" t="s">
        <v>257</v>
      </c>
      <c r="J334" t="s">
        <v>164</v>
      </c>
      <c r="K334">
        <v>1.1360730963371654E-2</v>
      </c>
      <c r="L334" t="s">
        <v>31</v>
      </c>
      <c r="N334" t="s">
        <v>267</v>
      </c>
      <c r="O334" t="s">
        <v>164</v>
      </c>
      <c r="P334">
        <v>2.5554224202553001E-3</v>
      </c>
      <c r="Q334" t="s">
        <v>31</v>
      </c>
    </row>
    <row r="335" spans="9:17" x14ac:dyDescent="0.25">
      <c r="I335" t="s">
        <v>257</v>
      </c>
      <c r="J335" t="s">
        <v>165</v>
      </c>
      <c r="K335">
        <v>2.8522958059822207E-2</v>
      </c>
      <c r="L335" t="s">
        <v>31</v>
      </c>
      <c r="N335" t="s">
        <v>267</v>
      </c>
      <c r="O335" t="s">
        <v>165</v>
      </c>
      <c r="P335">
        <v>7.6053588456984353E-3</v>
      </c>
      <c r="Q335" t="s">
        <v>31</v>
      </c>
    </row>
    <row r="336" spans="9:17" x14ac:dyDescent="0.25">
      <c r="I336" t="s">
        <v>257</v>
      </c>
      <c r="J336" t="s">
        <v>166</v>
      </c>
      <c r="K336">
        <v>5.7052123452518656E-3</v>
      </c>
      <c r="L336" t="s">
        <v>31</v>
      </c>
      <c r="N336" t="s">
        <v>267</v>
      </c>
      <c r="O336" t="s">
        <v>166</v>
      </c>
      <c r="P336">
        <v>2.4633071944662444E-3</v>
      </c>
      <c r="Q336" t="s">
        <v>31</v>
      </c>
    </row>
    <row r="337" spans="9:17" x14ac:dyDescent="0.25">
      <c r="I337" t="s">
        <v>257</v>
      </c>
      <c r="J337" t="s">
        <v>167</v>
      </c>
      <c r="K337">
        <v>3.759875169577953E-3</v>
      </c>
      <c r="L337" t="s">
        <v>31</v>
      </c>
      <c r="N337" t="s">
        <v>267</v>
      </c>
      <c r="O337" t="s">
        <v>167</v>
      </c>
      <c r="P337">
        <v>2.443800892782848E-3</v>
      </c>
      <c r="Q337" t="s">
        <v>31</v>
      </c>
    </row>
    <row r="338" spans="9:17" x14ac:dyDescent="0.25">
      <c r="I338" t="s">
        <v>257</v>
      </c>
      <c r="J338" t="s">
        <v>168</v>
      </c>
      <c r="K338">
        <v>1.7106752169796914E-3</v>
      </c>
      <c r="L338" t="s">
        <v>31</v>
      </c>
      <c r="N338" t="s">
        <v>267</v>
      </c>
      <c r="O338" t="s">
        <v>168</v>
      </c>
      <c r="P338">
        <v>7.5280422409611187E-3</v>
      </c>
      <c r="Q338" t="s">
        <v>31</v>
      </c>
    </row>
    <row r="339" spans="9:17" x14ac:dyDescent="0.25">
      <c r="I339" t="s">
        <v>257</v>
      </c>
      <c r="J339" t="s">
        <v>169</v>
      </c>
      <c r="K339">
        <v>2.4623721627657072E-4</v>
      </c>
      <c r="L339" t="s">
        <v>31</v>
      </c>
      <c r="N339" t="s">
        <v>267</v>
      </c>
      <c r="O339" t="s">
        <v>169</v>
      </c>
      <c r="P339">
        <v>1.3249017917957694E-2</v>
      </c>
      <c r="Q339" t="s">
        <v>31</v>
      </c>
    </row>
    <row r="340" spans="9:17" x14ac:dyDescent="0.25">
      <c r="I340" t="s">
        <v>257</v>
      </c>
      <c r="J340" t="s">
        <v>170</v>
      </c>
      <c r="K340">
        <v>3.0257525251269927E-3</v>
      </c>
      <c r="L340" t="s">
        <v>31</v>
      </c>
      <c r="N340" t="s">
        <v>267</v>
      </c>
      <c r="O340" t="s">
        <v>170</v>
      </c>
      <c r="P340">
        <v>2.4338088998401364E-3</v>
      </c>
      <c r="Q340" t="s">
        <v>31</v>
      </c>
    </row>
    <row r="341" spans="9:17" x14ac:dyDescent="0.25">
      <c r="I341" t="s">
        <v>257</v>
      </c>
      <c r="J341" t="s">
        <v>171</v>
      </c>
      <c r="K341">
        <v>9.4752975594781436E-2</v>
      </c>
      <c r="L341" t="s">
        <v>31</v>
      </c>
      <c r="N341" t="s">
        <v>267</v>
      </c>
      <c r="O341" t="s">
        <v>171</v>
      </c>
      <c r="P341">
        <v>2.4387482350406133E-2</v>
      </c>
      <c r="Q341" t="s">
        <v>31</v>
      </c>
    </row>
    <row r="342" spans="9:17" x14ac:dyDescent="0.25">
      <c r="I342" t="s">
        <v>257</v>
      </c>
      <c r="J342" t="s">
        <v>172</v>
      </c>
      <c r="K342">
        <v>1.2010369571695226E-2</v>
      </c>
      <c r="L342" t="s">
        <v>31</v>
      </c>
      <c r="N342" t="s">
        <v>267</v>
      </c>
      <c r="O342" t="s">
        <v>172</v>
      </c>
      <c r="P342">
        <v>3.3042812663052245E-3</v>
      </c>
      <c r="Q342" t="s">
        <v>31</v>
      </c>
    </row>
    <row r="343" spans="9:17" x14ac:dyDescent="0.25">
      <c r="I343" t="s">
        <v>257</v>
      </c>
      <c r="J343" t="s">
        <v>173</v>
      </c>
      <c r="K343">
        <v>2.9631842076279963E-2</v>
      </c>
      <c r="L343" t="s">
        <v>31</v>
      </c>
      <c r="N343" t="s">
        <v>267</v>
      </c>
      <c r="O343" t="s">
        <v>173</v>
      </c>
      <c r="P343">
        <v>9.7074843646925493E-3</v>
      </c>
      <c r="Q343" t="s">
        <v>31</v>
      </c>
    </row>
    <row r="344" spans="9:17" x14ac:dyDescent="0.25">
      <c r="I344" t="s">
        <v>257</v>
      </c>
      <c r="J344" t="s">
        <v>174</v>
      </c>
      <c r="K344">
        <v>6.6642702424942442E-3</v>
      </c>
      <c r="L344" t="s">
        <v>31</v>
      </c>
      <c r="N344" t="s">
        <v>267</v>
      </c>
      <c r="O344" t="s">
        <v>174</v>
      </c>
      <c r="P344">
        <v>3.0851479847877512E-3</v>
      </c>
      <c r="Q344" t="s">
        <v>31</v>
      </c>
    </row>
    <row r="345" spans="9:17" x14ac:dyDescent="0.25">
      <c r="I345" t="s">
        <v>257</v>
      </c>
      <c r="J345" t="s">
        <v>175</v>
      </c>
      <c r="K345">
        <v>4.0788910774191287E-3</v>
      </c>
      <c r="L345" t="s">
        <v>31</v>
      </c>
      <c r="N345" t="s">
        <v>267</v>
      </c>
      <c r="O345" t="s">
        <v>175</v>
      </c>
      <c r="P345">
        <v>3.0993055334387711E-3</v>
      </c>
      <c r="Q345" t="s">
        <v>31</v>
      </c>
    </row>
    <row r="346" spans="9:17" x14ac:dyDescent="0.25">
      <c r="I346" t="s">
        <v>257</v>
      </c>
      <c r="J346" t="s">
        <v>176</v>
      </c>
      <c r="K346">
        <v>1.8033283723330696E-3</v>
      </c>
      <c r="L346" t="s">
        <v>31</v>
      </c>
      <c r="N346" t="s">
        <v>267</v>
      </c>
      <c r="O346" t="s">
        <v>176</v>
      </c>
      <c r="P346">
        <v>8.9611251838574105E-3</v>
      </c>
      <c r="Q346" t="s">
        <v>31</v>
      </c>
    </row>
    <row r="347" spans="9:17" x14ac:dyDescent="0.25">
      <c r="I347" t="s">
        <v>257</v>
      </c>
      <c r="J347" t="s">
        <v>177</v>
      </c>
      <c r="K347">
        <v>0</v>
      </c>
      <c r="L347" t="s">
        <v>31</v>
      </c>
      <c r="N347" t="s">
        <v>267</v>
      </c>
      <c r="O347" t="s">
        <v>177</v>
      </c>
      <c r="P347">
        <v>1.0828131920841673E-2</v>
      </c>
      <c r="Q347" t="s">
        <v>31</v>
      </c>
    </row>
    <row r="348" spans="9:17" x14ac:dyDescent="0.25">
      <c r="I348" t="s">
        <v>257</v>
      </c>
      <c r="J348" t="s">
        <v>178</v>
      </c>
      <c r="K348">
        <v>6.0886653577635742E-4</v>
      </c>
      <c r="L348" t="s">
        <v>31</v>
      </c>
      <c r="N348" t="s">
        <v>267</v>
      </c>
      <c r="O348" t="s">
        <v>178</v>
      </c>
      <c r="P348">
        <v>2.1798138102531498E-3</v>
      </c>
      <c r="Q348" t="s">
        <v>31</v>
      </c>
    </row>
    <row r="349" spans="9:17" x14ac:dyDescent="0.25">
      <c r="I349" t="s">
        <v>257</v>
      </c>
      <c r="J349" t="s">
        <v>179</v>
      </c>
      <c r="K349">
        <v>7.9353716330898133E-2</v>
      </c>
      <c r="L349" t="s">
        <v>31</v>
      </c>
      <c r="N349" t="s">
        <v>267</v>
      </c>
      <c r="O349" t="s">
        <v>179</v>
      </c>
      <c r="P349">
        <v>1.8940340001646461E-2</v>
      </c>
      <c r="Q349" t="s">
        <v>31</v>
      </c>
    </row>
    <row r="350" spans="9:17" x14ac:dyDescent="0.25">
      <c r="I350" t="s">
        <v>257</v>
      </c>
      <c r="J350" t="s">
        <v>180</v>
      </c>
      <c r="K350">
        <v>1.051366716307979E-2</v>
      </c>
      <c r="L350" t="s">
        <v>31</v>
      </c>
      <c r="N350" t="s">
        <v>267</v>
      </c>
      <c r="O350" t="s">
        <v>180</v>
      </c>
      <c r="P350">
        <v>2.0888380494942529E-3</v>
      </c>
      <c r="Q350" t="s">
        <v>31</v>
      </c>
    </row>
    <row r="351" spans="9:17" x14ac:dyDescent="0.25">
      <c r="I351" t="s">
        <v>257</v>
      </c>
      <c r="J351" t="s">
        <v>181</v>
      </c>
      <c r="K351">
        <v>2.5529289669338068E-2</v>
      </c>
      <c r="L351" t="s">
        <v>31</v>
      </c>
      <c r="N351" t="s">
        <v>267</v>
      </c>
      <c r="O351" t="s">
        <v>181</v>
      </c>
      <c r="P351">
        <v>6.384001207595154E-3</v>
      </c>
      <c r="Q351" t="s">
        <v>31</v>
      </c>
    </row>
    <row r="352" spans="9:17" x14ac:dyDescent="0.25">
      <c r="I352" t="s">
        <v>257</v>
      </c>
      <c r="J352" t="s">
        <v>182</v>
      </c>
      <c r="K352">
        <v>4.6391059379533011E-3</v>
      </c>
      <c r="L352" t="s">
        <v>31</v>
      </c>
      <c r="N352" t="s">
        <v>267</v>
      </c>
      <c r="O352" t="s">
        <v>182</v>
      </c>
      <c r="P352">
        <v>2.1959310017349138E-3</v>
      </c>
      <c r="Q352" t="s">
        <v>31</v>
      </c>
    </row>
    <row r="353" spans="9:17" x14ac:dyDescent="0.25">
      <c r="I353" t="s">
        <v>257</v>
      </c>
      <c r="J353" t="s">
        <v>183</v>
      </c>
      <c r="K353">
        <v>1.8105606074451286E-3</v>
      </c>
      <c r="L353" t="s">
        <v>31</v>
      </c>
      <c r="N353" t="s">
        <v>267</v>
      </c>
      <c r="O353" t="s">
        <v>183</v>
      </c>
      <c r="P353">
        <v>2.2178104383695925E-3</v>
      </c>
      <c r="Q353" t="s">
        <v>31</v>
      </c>
    </row>
    <row r="354" spans="9:17" x14ac:dyDescent="0.25">
      <c r="I354" t="s">
        <v>257</v>
      </c>
      <c r="J354" t="s">
        <v>184</v>
      </c>
      <c r="K354">
        <v>0</v>
      </c>
      <c r="L354" t="s">
        <v>31</v>
      </c>
      <c r="N354" t="s">
        <v>267</v>
      </c>
      <c r="O354" t="s">
        <v>184</v>
      </c>
      <c r="P354">
        <v>6.4915635787050601E-3</v>
      </c>
      <c r="Q354" t="s">
        <v>31</v>
      </c>
    </row>
    <row r="355" spans="9:17" x14ac:dyDescent="0.25">
      <c r="I355" t="s">
        <v>257</v>
      </c>
      <c r="J355" t="s">
        <v>185</v>
      </c>
      <c r="K355">
        <v>0</v>
      </c>
      <c r="L355" t="s">
        <v>31</v>
      </c>
      <c r="N355" t="s">
        <v>267</v>
      </c>
      <c r="O355" t="s">
        <v>185</v>
      </c>
      <c r="P355">
        <v>1.3414713041431431E-2</v>
      </c>
      <c r="Q355" t="s">
        <v>31</v>
      </c>
    </row>
    <row r="356" spans="9:17" x14ac:dyDescent="0.25">
      <c r="I356" t="s">
        <v>257</v>
      </c>
      <c r="J356" t="s">
        <v>186</v>
      </c>
      <c r="K356">
        <v>0</v>
      </c>
      <c r="L356" t="s">
        <v>31</v>
      </c>
      <c r="N356" t="s">
        <v>267</v>
      </c>
      <c r="O356" t="s">
        <v>186</v>
      </c>
      <c r="P356">
        <v>2.7423572054086093E-3</v>
      </c>
      <c r="Q356" t="s">
        <v>31</v>
      </c>
    </row>
    <row r="357" spans="9:17" x14ac:dyDescent="0.25">
      <c r="I357" t="s">
        <v>257</v>
      </c>
      <c r="J357" t="s">
        <v>187</v>
      </c>
      <c r="K357">
        <v>6.4345262171371237E-2</v>
      </c>
      <c r="L357" t="s">
        <v>31</v>
      </c>
      <c r="N357" t="s">
        <v>267</v>
      </c>
      <c r="O357" t="s">
        <v>187</v>
      </c>
      <c r="P357">
        <v>2.4147570222827121E-2</v>
      </c>
      <c r="Q357" t="s">
        <v>31</v>
      </c>
    </row>
    <row r="358" spans="9:17" x14ac:dyDescent="0.25">
      <c r="I358" t="s">
        <v>257</v>
      </c>
      <c r="J358" t="s">
        <v>188</v>
      </c>
      <c r="K358">
        <v>8.9574470643704138E-3</v>
      </c>
      <c r="L358" t="s">
        <v>31</v>
      </c>
      <c r="N358" t="s">
        <v>267</v>
      </c>
      <c r="O358" t="s">
        <v>188</v>
      </c>
      <c r="P358">
        <v>2.5723416999614622E-3</v>
      </c>
      <c r="Q358" t="s">
        <v>31</v>
      </c>
    </row>
    <row r="359" spans="9:17" x14ac:dyDescent="0.25">
      <c r="I359" t="s">
        <v>257</v>
      </c>
      <c r="J359" t="s">
        <v>189</v>
      </c>
      <c r="K359">
        <v>1.7932625613388081E-2</v>
      </c>
      <c r="L359" t="s">
        <v>31</v>
      </c>
      <c r="N359" t="s">
        <v>267</v>
      </c>
      <c r="O359" t="s">
        <v>189</v>
      </c>
      <c r="P359">
        <v>8.5989387221216494E-3</v>
      </c>
      <c r="Q359" t="s">
        <v>31</v>
      </c>
    </row>
    <row r="360" spans="9:17" x14ac:dyDescent="0.25">
      <c r="I360" t="s">
        <v>257</v>
      </c>
      <c r="J360" t="s">
        <v>190</v>
      </c>
      <c r="K360">
        <v>1.1273184373715762E-3</v>
      </c>
      <c r="L360" t="s">
        <v>31</v>
      </c>
      <c r="N360" t="s">
        <v>267</v>
      </c>
      <c r="O360" t="s">
        <v>190</v>
      </c>
      <c r="P360">
        <v>3.0455539504721314E-3</v>
      </c>
      <c r="Q360" t="s">
        <v>31</v>
      </c>
    </row>
    <row r="361" spans="9:17" x14ac:dyDescent="0.25">
      <c r="I361" t="s">
        <v>257</v>
      </c>
      <c r="J361" t="s">
        <v>191</v>
      </c>
      <c r="K361">
        <v>0</v>
      </c>
      <c r="L361" t="s">
        <v>31</v>
      </c>
      <c r="N361" t="s">
        <v>267</v>
      </c>
      <c r="O361" t="s">
        <v>191</v>
      </c>
      <c r="P361">
        <v>3.0500856393189386E-3</v>
      </c>
      <c r="Q361" t="s">
        <v>31</v>
      </c>
    </row>
    <row r="362" spans="9:17" x14ac:dyDescent="0.25">
      <c r="I362" t="s">
        <v>257</v>
      </c>
      <c r="J362" t="s">
        <v>192</v>
      </c>
      <c r="K362">
        <v>0</v>
      </c>
      <c r="L362" t="s">
        <v>31</v>
      </c>
      <c r="N362" t="s">
        <v>267</v>
      </c>
      <c r="O362" t="s">
        <v>192</v>
      </c>
      <c r="P362">
        <v>8.8989408350922498E-3</v>
      </c>
      <c r="Q362" t="s">
        <v>31</v>
      </c>
    </row>
    <row r="363" spans="9:17" x14ac:dyDescent="0.25">
      <c r="I363" t="s">
        <v>257</v>
      </c>
      <c r="J363" t="s">
        <v>193</v>
      </c>
      <c r="K363">
        <v>0</v>
      </c>
      <c r="L363" t="s">
        <v>31</v>
      </c>
      <c r="N363" t="s">
        <v>267</v>
      </c>
      <c r="O363" t="s">
        <v>193</v>
      </c>
      <c r="P363">
        <v>2.0943324799647056E-2</v>
      </c>
      <c r="Q363" t="s">
        <v>31</v>
      </c>
    </row>
    <row r="364" spans="9:17" x14ac:dyDescent="0.25">
      <c r="I364" t="s">
        <v>257</v>
      </c>
      <c r="J364" t="s">
        <v>194</v>
      </c>
      <c r="K364">
        <v>0</v>
      </c>
      <c r="L364" t="s">
        <v>31</v>
      </c>
      <c r="N364" t="s">
        <v>267</v>
      </c>
      <c r="O364" t="s">
        <v>194</v>
      </c>
      <c r="P364">
        <v>4.1796499292267144E-3</v>
      </c>
      <c r="Q364" t="s">
        <v>31</v>
      </c>
    </row>
    <row r="365" spans="9:17" x14ac:dyDescent="0.25">
      <c r="I365" t="s">
        <v>257</v>
      </c>
      <c r="J365" t="s">
        <v>195</v>
      </c>
      <c r="K365">
        <v>2.8660929714589219E-2</v>
      </c>
      <c r="L365" t="s">
        <v>31</v>
      </c>
      <c r="N365" t="s">
        <v>267</v>
      </c>
      <c r="O365" t="s">
        <v>195</v>
      </c>
      <c r="P365">
        <v>3.8594145638266464E-2</v>
      </c>
      <c r="Q365" t="s">
        <v>31</v>
      </c>
    </row>
    <row r="366" spans="9:17" x14ac:dyDescent="0.25">
      <c r="I366" t="s">
        <v>257</v>
      </c>
      <c r="J366" t="s">
        <v>196</v>
      </c>
      <c r="K366">
        <v>4.2748600280489643E-3</v>
      </c>
      <c r="L366" t="s">
        <v>31</v>
      </c>
      <c r="N366" t="s">
        <v>267</v>
      </c>
      <c r="O366" t="s">
        <v>196</v>
      </c>
      <c r="P366">
        <v>4.1977833399114931E-3</v>
      </c>
      <c r="Q366" t="s">
        <v>31</v>
      </c>
    </row>
    <row r="367" spans="9:17" x14ac:dyDescent="0.25">
      <c r="I367" t="s">
        <v>257</v>
      </c>
      <c r="J367" t="s">
        <v>197</v>
      </c>
      <c r="K367">
        <v>4.8297163299620303E-3</v>
      </c>
      <c r="L367" t="s">
        <v>31</v>
      </c>
      <c r="N367" t="s">
        <v>267</v>
      </c>
      <c r="O367" t="s">
        <v>197</v>
      </c>
      <c r="P367">
        <v>1.2688605625850254E-2</v>
      </c>
      <c r="Q367" t="s">
        <v>31</v>
      </c>
    </row>
    <row r="368" spans="9:17" x14ac:dyDescent="0.25">
      <c r="I368" t="s">
        <v>257</v>
      </c>
      <c r="J368" t="s">
        <v>198</v>
      </c>
      <c r="K368">
        <v>0</v>
      </c>
      <c r="L368" t="s">
        <v>31</v>
      </c>
      <c r="N368" t="s">
        <v>267</v>
      </c>
      <c r="O368" t="s">
        <v>198</v>
      </c>
      <c r="P368">
        <v>4.186646365032653E-3</v>
      </c>
      <c r="Q368" t="s">
        <v>31</v>
      </c>
    </row>
    <row r="369" spans="9:17" x14ac:dyDescent="0.25">
      <c r="I369" t="s">
        <v>257</v>
      </c>
      <c r="J369" t="s">
        <v>199</v>
      </c>
      <c r="K369">
        <v>0</v>
      </c>
      <c r="L369" t="s">
        <v>31</v>
      </c>
      <c r="N369" t="s">
        <v>267</v>
      </c>
      <c r="O369" t="s">
        <v>199</v>
      </c>
      <c r="P369">
        <v>4.1856555676755497E-3</v>
      </c>
      <c r="Q369" t="s">
        <v>31</v>
      </c>
    </row>
    <row r="370" spans="9:17" x14ac:dyDescent="0.25">
      <c r="I370" t="s">
        <v>257</v>
      </c>
      <c r="J370" t="s">
        <v>200</v>
      </c>
      <c r="K370">
        <v>0</v>
      </c>
      <c r="L370" t="s">
        <v>31</v>
      </c>
      <c r="N370" t="s">
        <v>267</v>
      </c>
      <c r="O370" t="s">
        <v>200</v>
      </c>
      <c r="P370">
        <v>1.302626194222594E-2</v>
      </c>
      <c r="Q370" t="s">
        <v>31</v>
      </c>
    </row>
    <row r="371" spans="9:17" x14ac:dyDescent="0.25">
      <c r="I371" t="s">
        <v>257</v>
      </c>
      <c r="J371" t="s">
        <v>201</v>
      </c>
      <c r="K371">
        <v>0</v>
      </c>
      <c r="L371" t="s">
        <v>31</v>
      </c>
      <c r="N371" t="s">
        <v>267</v>
      </c>
      <c r="O371" t="s">
        <v>201</v>
      </c>
      <c r="P371">
        <v>2.3025577895510151E-2</v>
      </c>
      <c r="Q371" t="s">
        <v>31</v>
      </c>
    </row>
    <row r="372" spans="9:17" x14ac:dyDescent="0.25">
      <c r="I372" t="s">
        <v>257</v>
      </c>
      <c r="J372" t="s">
        <v>202</v>
      </c>
      <c r="K372">
        <v>0</v>
      </c>
      <c r="L372" t="s">
        <v>31</v>
      </c>
      <c r="N372" t="s">
        <v>267</v>
      </c>
      <c r="O372" t="s">
        <v>202</v>
      </c>
      <c r="P372">
        <v>4.3629421465161983E-3</v>
      </c>
      <c r="Q372" t="s">
        <v>31</v>
      </c>
    </row>
    <row r="373" spans="9:17" x14ac:dyDescent="0.25">
      <c r="I373" t="s">
        <v>257</v>
      </c>
      <c r="J373" t="s">
        <v>203</v>
      </c>
      <c r="K373">
        <v>1.2092888687475101E-2</v>
      </c>
      <c r="L373" t="s">
        <v>31</v>
      </c>
      <c r="N373" t="s">
        <v>267</v>
      </c>
      <c r="O373" t="s">
        <v>203</v>
      </c>
      <c r="P373">
        <v>3.9423359964118589E-2</v>
      </c>
      <c r="Q373" t="s">
        <v>31</v>
      </c>
    </row>
    <row r="374" spans="9:17" x14ac:dyDescent="0.25">
      <c r="I374" t="s">
        <v>257</v>
      </c>
      <c r="J374" t="s">
        <v>204</v>
      </c>
      <c r="K374">
        <v>1.5947187723850151E-3</v>
      </c>
      <c r="L374" t="s">
        <v>31</v>
      </c>
      <c r="N374" t="s">
        <v>267</v>
      </c>
      <c r="O374" t="s">
        <v>204</v>
      </c>
      <c r="P374">
        <v>4.546909942324315E-3</v>
      </c>
      <c r="Q374" t="s">
        <v>31</v>
      </c>
    </row>
    <row r="375" spans="9:17" x14ac:dyDescent="0.25">
      <c r="I375" t="s">
        <v>257</v>
      </c>
      <c r="J375" t="s">
        <v>205</v>
      </c>
      <c r="K375">
        <v>2.5946071685456224E-4</v>
      </c>
      <c r="L375" t="s">
        <v>31</v>
      </c>
      <c r="N375" t="s">
        <v>267</v>
      </c>
      <c r="O375" t="s">
        <v>205</v>
      </c>
      <c r="P375">
        <v>1.4181559015853468E-2</v>
      </c>
      <c r="Q375" t="s">
        <v>31</v>
      </c>
    </row>
    <row r="376" spans="9:17" x14ac:dyDescent="0.25">
      <c r="I376" t="s">
        <v>257</v>
      </c>
      <c r="J376" t="s">
        <v>206</v>
      </c>
      <c r="K376">
        <v>0</v>
      </c>
      <c r="L376" t="s">
        <v>31</v>
      </c>
      <c r="N376" t="s">
        <v>267</v>
      </c>
      <c r="O376" t="s">
        <v>206</v>
      </c>
      <c r="P376">
        <v>4.8982633655495697E-3</v>
      </c>
      <c r="Q376" t="s">
        <v>31</v>
      </c>
    </row>
    <row r="377" spans="9:17" x14ac:dyDescent="0.25">
      <c r="I377" t="s">
        <v>257</v>
      </c>
      <c r="J377" t="s">
        <v>207</v>
      </c>
      <c r="K377">
        <v>0</v>
      </c>
      <c r="L377" t="s">
        <v>31</v>
      </c>
      <c r="N377" t="s">
        <v>267</v>
      </c>
      <c r="O377" t="s">
        <v>207</v>
      </c>
      <c r="P377">
        <v>4.8974972987533187E-3</v>
      </c>
      <c r="Q377" t="s">
        <v>31</v>
      </c>
    </row>
    <row r="378" spans="9:17" x14ac:dyDescent="0.25">
      <c r="I378" t="s">
        <v>257</v>
      </c>
      <c r="J378" t="s">
        <v>208</v>
      </c>
      <c r="K378">
        <v>0</v>
      </c>
      <c r="L378" t="s">
        <v>31</v>
      </c>
      <c r="N378" t="s">
        <v>267</v>
      </c>
      <c r="O378" t="s">
        <v>208</v>
      </c>
      <c r="P378">
        <v>1.4381622889702992E-2</v>
      </c>
      <c r="Q378" t="s">
        <v>31</v>
      </c>
    </row>
    <row r="379" spans="9:17" x14ac:dyDescent="0.25">
      <c r="I379" t="s">
        <v>257</v>
      </c>
      <c r="J379" t="s">
        <v>209</v>
      </c>
      <c r="K379">
        <v>0</v>
      </c>
      <c r="L379" t="s">
        <v>31</v>
      </c>
      <c r="N379" t="s">
        <v>267</v>
      </c>
      <c r="O379" t="s">
        <v>209</v>
      </c>
      <c r="P379">
        <v>2.8072250885638337E-2</v>
      </c>
      <c r="Q379" t="s">
        <v>31</v>
      </c>
    </row>
    <row r="380" spans="9:17" x14ac:dyDescent="0.25">
      <c r="I380" t="s">
        <v>257</v>
      </c>
      <c r="J380" t="s">
        <v>210</v>
      </c>
      <c r="K380">
        <v>0</v>
      </c>
      <c r="L380" t="s">
        <v>31</v>
      </c>
      <c r="N380" t="s">
        <v>267</v>
      </c>
      <c r="O380" t="s">
        <v>210</v>
      </c>
      <c r="P380">
        <v>5.5896667703824411E-3</v>
      </c>
      <c r="Q380" t="s">
        <v>31</v>
      </c>
    </row>
    <row r="381" spans="9:17" x14ac:dyDescent="0.25">
      <c r="I381" t="s">
        <v>257</v>
      </c>
      <c r="J381" t="s">
        <v>211</v>
      </c>
      <c r="K381">
        <v>4.5263023002266442E-3</v>
      </c>
      <c r="L381" t="s">
        <v>31</v>
      </c>
      <c r="N381" t="s">
        <v>267</v>
      </c>
      <c r="O381" t="s">
        <v>211</v>
      </c>
      <c r="P381">
        <v>5.2160498067877814E-2</v>
      </c>
      <c r="Q381" t="s">
        <v>31</v>
      </c>
    </row>
    <row r="382" spans="9:17" x14ac:dyDescent="0.25">
      <c r="I382" t="s">
        <v>257</v>
      </c>
      <c r="J382" t="s">
        <v>212</v>
      </c>
      <c r="K382">
        <v>6.3906024040864611E-4</v>
      </c>
      <c r="L382" t="s">
        <v>31</v>
      </c>
      <c r="N382" t="s">
        <v>267</v>
      </c>
      <c r="O382" t="s">
        <v>212</v>
      </c>
      <c r="P382">
        <v>5.7232433259009723E-3</v>
      </c>
      <c r="Q382" t="s">
        <v>31</v>
      </c>
    </row>
    <row r="383" spans="9:17" x14ac:dyDescent="0.25">
      <c r="I383" t="s">
        <v>257</v>
      </c>
      <c r="J383" t="s">
        <v>213</v>
      </c>
      <c r="K383">
        <v>0</v>
      </c>
      <c r="L383" t="s">
        <v>31</v>
      </c>
      <c r="N383" t="s">
        <v>267</v>
      </c>
      <c r="O383" t="s">
        <v>213</v>
      </c>
      <c r="P383">
        <v>1.7713351772220418E-2</v>
      </c>
      <c r="Q383" t="s">
        <v>31</v>
      </c>
    </row>
    <row r="384" spans="9:17" x14ac:dyDescent="0.25">
      <c r="I384" t="s">
        <v>257</v>
      </c>
      <c r="J384" t="s">
        <v>214</v>
      </c>
      <c r="K384">
        <v>0</v>
      </c>
      <c r="L384" t="s">
        <v>31</v>
      </c>
      <c r="N384" t="s">
        <v>267</v>
      </c>
      <c r="O384" t="s">
        <v>214</v>
      </c>
      <c r="P384">
        <v>6.0051350434172949E-3</v>
      </c>
      <c r="Q384" t="s">
        <v>31</v>
      </c>
    </row>
    <row r="385" spans="9:17" x14ac:dyDescent="0.25">
      <c r="I385" t="s">
        <v>257</v>
      </c>
      <c r="J385" t="s">
        <v>215</v>
      </c>
      <c r="K385">
        <v>0</v>
      </c>
      <c r="L385" t="s">
        <v>31</v>
      </c>
      <c r="N385" t="s">
        <v>267</v>
      </c>
      <c r="O385" t="s">
        <v>215</v>
      </c>
      <c r="P385">
        <v>5.980710060184042E-3</v>
      </c>
      <c r="Q385" t="s">
        <v>31</v>
      </c>
    </row>
    <row r="386" spans="9:17" x14ac:dyDescent="0.25">
      <c r="I386" t="s">
        <v>257</v>
      </c>
      <c r="J386" t="s">
        <v>216</v>
      </c>
      <c r="K386">
        <v>0</v>
      </c>
      <c r="L386" t="s">
        <v>31</v>
      </c>
      <c r="N386" t="s">
        <v>267</v>
      </c>
      <c r="O386" t="s">
        <v>216</v>
      </c>
      <c r="P386">
        <v>1.7593816799919105E-2</v>
      </c>
      <c r="Q386" t="s">
        <v>31</v>
      </c>
    </row>
    <row r="387" spans="9:17" x14ac:dyDescent="0.25">
      <c r="I387" t="s">
        <v>258</v>
      </c>
      <c r="J387" t="s">
        <v>121</v>
      </c>
      <c r="K387">
        <v>0</v>
      </c>
      <c r="L387" t="s">
        <v>31</v>
      </c>
      <c r="N387" t="s">
        <v>268</v>
      </c>
      <c r="O387" t="s">
        <v>121</v>
      </c>
      <c r="P387">
        <v>1.9486301938568304E-2</v>
      </c>
      <c r="Q387" t="s">
        <v>31</v>
      </c>
    </row>
    <row r="388" spans="9:17" x14ac:dyDescent="0.25">
      <c r="I388" t="s">
        <v>258</v>
      </c>
      <c r="J388" t="s">
        <v>122</v>
      </c>
      <c r="K388">
        <v>0</v>
      </c>
      <c r="L388" t="s">
        <v>31</v>
      </c>
      <c r="N388" t="s">
        <v>268</v>
      </c>
      <c r="O388" t="s">
        <v>122</v>
      </c>
      <c r="P388">
        <v>3.9381276045911155E-3</v>
      </c>
      <c r="Q388" t="s">
        <v>31</v>
      </c>
    </row>
    <row r="389" spans="9:17" x14ac:dyDescent="0.25">
      <c r="I389" t="s">
        <v>258</v>
      </c>
      <c r="J389" t="s">
        <v>123</v>
      </c>
      <c r="K389">
        <v>8.244810902901795E-3</v>
      </c>
      <c r="L389" t="s">
        <v>31</v>
      </c>
      <c r="N389" t="s">
        <v>268</v>
      </c>
      <c r="O389" t="s">
        <v>123</v>
      </c>
      <c r="P389">
        <v>3.8022678670011856E-2</v>
      </c>
      <c r="Q389" t="s">
        <v>31</v>
      </c>
    </row>
    <row r="390" spans="9:17" x14ac:dyDescent="0.25">
      <c r="I390" t="s">
        <v>258</v>
      </c>
      <c r="J390" t="s">
        <v>124</v>
      </c>
      <c r="K390">
        <v>1.4127396844557706E-3</v>
      </c>
      <c r="L390" t="s">
        <v>31</v>
      </c>
      <c r="N390" t="s">
        <v>268</v>
      </c>
      <c r="O390" t="s">
        <v>124</v>
      </c>
      <c r="P390">
        <v>4.3550582977948471E-3</v>
      </c>
      <c r="Q390" t="s">
        <v>31</v>
      </c>
    </row>
    <row r="391" spans="9:17" x14ac:dyDescent="0.25">
      <c r="I391" t="s">
        <v>258</v>
      </c>
      <c r="J391" t="s">
        <v>125</v>
      </c>
      <c r="K391">
        <v>6.1816345125984083E-4</v>
      </c>
      <c r="L391" t="s">
        <v>31</v>
      </c>
      <c r="N391" t="s">
        <v>268</v>
      </c>
      <c r="O391" t="s">
        <v>125</v>
      </c>
      <c r="P391">
        <v>1.2544253680139162E-2</v>
      </c>
      <c r="Q391" t="s">
        <v>31</v>
      </c>
    </row>
    <row r="392" spans="9:17" x14ac:dyDescent="0.25">
      <c r="I392" t="s">
        <v>258</v>
      </c>
      <c r="J392" t="s">
        <v>126</v>
      </c>
      <c r="K392">
        <v>0</v>
      </c>
      <c r="L392" t="s">
        <v>31</v>
      </c>
      <c r="N392" t="s">
        <v>268</v>
      </c>
      <c r="O392" t="s">
        <v>126</v>
      </c>
      <c r="P392">
        <v>4.0373607721423234E-3</v>
      </c>
      <c r="Q392" t="s">
        <v>31</v>
      </c>
    </row>
    <row r="393" spans="9:17" x14ac:dyDescent="0.25">
      <c r="I393" t="s">
        <v>258</v>
      </c>
      <c r="J393" t="s">
        <v>127</v>
      </c>
      <c r="K393">
        <v>0</v>
      </c>
      <c r="L393" t="s">
        <v>31</v>
      </c>
      <c r="N393" t="s">
        <v>268</v>
      </c>
      <c r="O393" t="s">
        <v>127</v>
      </c>
      <c r="P393">
        <v>3.989705726542914E-3</v>
      </c>
      <c r="Q393" t="s">
        <v>31</v>
      </c>
    </row>
    <row r="394" spans="9:17" x14ac:dyDescent="0.25">
      <c r="I394" t="s">
        <v>258</v>
      </c>
      <c r="J394" t="s">
        <v>128</v>
      </c>
      <c r="K394">
        <v>0</v>
      </c>
      <c r="L394" t="s">
        <v>31</v>
      </c>
      <c r="N394" t="s">
        <v>268</v>
      </c>
      <c r="O394" t="s">
        <v>128</v>
      </c>
      <c r="P394">
        <v>1.1854357155323816E-2</v>
      </c>
      <c r="Q394" t="s">
        <v>31</v>
      </c>
    </row>
    <row r="395" spans="9:17" x14ac:dyDescent="0.25">
      <c r="I395" t="s">
        <v>258</v>
      </c>
      <c r="J395" t="s">
        <v>129</v>
      </c>
      <c r="K395">
        <v>0</v>
      </c>
      <c r="L395" t="s">
        <v>31</v>
      </c>
      <c r="N395" t="s">
        <v>268</v>
      </c>
      <c r="O395" t="s">
        <v>129</v>
      </c>
      <c r="P395">
        <v>1.1734981519040476E-2</v>
      </c>
      <c r="Q395" t="s">
        <v>31</v>
      </c>
    </row>
    <row r="396" spans="9:17" x14ac:dyDescent="0.25">
      <c r="I396" t="s">
        <v>258</v>
      </c>
      <c r="J396" t="s">
        <v>130</v>
      </c>
      <c r="K396">
        <v>0</v>
      </c>
      <c r="L396" t="s">
        <v>31</v>
      </c>
      <c r="N396" t="s">
        <v>268</v>
      </c>
      <c r="O396" t="s">
        <v>130</v>
      </c>
      <c r="P396">
        <v>2.5275840666760139E-3</v>
      </c>
      <c r="Q396" t="s">
        <v>31</v>
      </c>
    </row>
    <row r="397" spans="9:17" x14ac:dyDescent="0.25">
      <c r="I397" t="s">
        <v>258</v>
      </c>
      <c r="J397" t="s">
        <v>131</v>
      </c>
      <c r="K397">
        <v>2.0491651333539897E-2</v>
      </c>
      <c r="L397" t="s">
        <v>31</v>
      </c>
      <c r="N397" t="s">
        <v>268</v>
      </c>
      <c r="O397" t="s">
        <v>131</v>
      </c>
      <c r="P397">
        <v>2.3578225813490328E-2</v>
      </c>
      <c r="Q397" t="s">
        <v>31</v>
      </c>
    </row>
    <row r="398" spans="9:17" x14ac:dyDescent="0.25">
      <c r="I398" t="s">
        <v>258</v>
      </c>
      <c r="J398" t="s">
        <v>132</v>
      </c>
      <c r="K398">
        <v>3.4699017702487403E-3</v>
      </c>
      <c r="L398" t="s">
        <v>31</v>
      </c>
      <c r="N398" t="s">
        <v>268</v>
      </c>
      <c r="O398" t="s">
        <v>132</v>
      </c>
      <c r="P398">
        <v>2.5927391848114757E-3</v>
      </c>
      <c r="Q398" t="s">
        <v>31</v>
      </c>
    </row>
    <row r="399" spans="9:17" x14ac:dyDescent="0.25">
      <c r="I399" t="s">
        <v>258</v>
      </c>
      <c r="J399" t="s">
        <v>133</v>
      </c>
      <c r="K399">
        <v>3.6213769630866659E-3</v>
      </c>
      <c r="L399" t="s">
        <v>31</v>
      </c>
      <c r="N399" t="s">
        <v>268</v>
      </c>
      <c r="O399" t="s">
        <v>133</v>
      </c>
      <c r="P399">
        <v>7.7781360949354464E-3</v>
      </c>
      <c r="Q399" t="s">
        <v>31</v>
      </c>
    </row>
    <row r="400" spans="9:17" x14ac:dyDescent="0.25">
      <c r="I400" t="s">
        <v>258</v>
      </c>
      <c r="J400" t="s">
        <v>134</v>
      </c>
      <c r="K400">
        <v>0</v>
      </c>
      <c r="L400" t="s">
        <v>31</v>
      </c>
      <c r="N400" t="s">
        <v>268</v>
      </c>
      <c r="O400" t="s">
        <v>134</v>
      </c>
      <c r="P400">
        <v>2.6011653609513755E-3</v>
      </c>
      <c r="Q400" t="s">
        <v>31</v>
      </c>
    </row>
    <row r="401" spans="9:17" x14ac:dyDescent="0.25">
      <c r="I401" t="s">
        <v>258</v>
      </c>
      <c r="J401" t="s">
        <v>135</v>
      </c>
      <c r="K401">
        <v>0</v>
      </c>
      <c r="L401" t="s">
        <v>31</v>
      </c>
      <c r="N401" t="s">
        <v>268</v>
      </c>
      <c r="O401" t="s">
        <v>135</v>
      </c>
      <c r="P401">
        <v>2.5392959019223233E-3</v>
      </c>
      <c r="Q401" t="s">
        <v>31</v>
      </c>
    </row>
    <row r="402" spans="9:17" x14ac:dyDescent="0.25">
      <c r="I402" t="s">
        <v>258</v>
      </c>
      <c r="J402" t="s">
        <v>136</v>
      </c>
      <c r="K402">
        <v>0</v>
      </c>
      <c r="L402" t="s">
        <v>31</v>
      </c>
      <c r="N402" t="s">
        <v>268</v>
      </c>
      <c r="O402" t="s">
        <v>136</v>
      </c>
      <c r="P402">
        <v>6.89082281083871E-3</v>
      </c>
      <c r="Q402" t="s">
        <v>31</v>
      </c>
    </row>
    <row r="403" spans="9:17" x14ac:dyDescent="0.25">
      <c r="I403" t="s">
        <v>258</v>
      </c>
      <c r="J403" t="s">
        <v>137</v>
      </c>
      <c r="K403">
        <v>0</v>
      </c>
      <c r="L403" t="s">
        <v>31</v>
      </c>
      <c r="N403" t="s">
        <v>268</v>
      </c>
      <c r="O403" t="s">
        <v>137</v>
      </c>
      <c r="P403">
        <v>1.5186608789952233E-2</v>
      </c>
      <c r="Q403" t="s">
        <v>31</v>
      </c>
    </row>
    <row r="404" spans="9:17" x14ac:dyDescent="0.25">
      <c r="I404" t="s">
        <v>258</v>
      </c>
      <c r="J404" t="s">
        <v>138</v>
      </c>
      <c r="K404">
        <v>0</v>
      </c>
      <c r="L404" t="s">
        <v>31</v>
      </c>
      <c r="N404" t="s">
        <v>268</v>
      </c>
      <c r="O404" t="s">
        <v>138</v>
      </c>
      <c r="P404">
        <v>2.9376540208549437E-3</v>
      </c>
      <c r="Q404" t="s">
        <v>31</v>
      </c>
    </row>
    <row r="405" spans="9:17" x14ac:dyDescent="0.25">
      <c r="I405" t="s">
        <v>258</v>
      </c>
      <c r="J405" t="s">
        <v>139</v>
      </c>
      <c r="K405">
        <v>7.8267129520329284E-2</v>
      </c>
      <c r="L405" t="s">
        <v>31</v>
      </c>
      <c r="N405" t="s">
        <v>268</v>
      </c>
      <c r="O405" t="s">
        <v>139</v>
      </c>
      <c r="P405">
        <v>2.8118785075248776E-2</v>
      </c>
      <c r="Q405" t="s">
        <v>31</v>
      </c>
    </row>
    <row r="406" spans="9:17" x14ac:dyDescent="0.25">
      <c r="I406" t="s">
        <v>258</v>
      </c>
      <c r="J406" t="s">
        <v>140</v>
      </c>
      <c r="K406">
        <v>1.2311100614487243E-2</v>
      </c>
      <c r="L406" t="s">
        <v>31</v>
      </c>
      <c r="N406" t="s">
        <v>268</v>
      </c>
      <c r="O406" t="s">
        <v>140</v>
      </c>
      <c r="P406">
        <v>3.5565485870374929E-3</v>
      </c>
      <c r="Q406" t="s">
        <v>31</v>
      </c>
    </row>
    <row r="407" spans="9:17" x14ac:dyDescent="0.25">
      <c r="I407" t="s">
        <v>258</v>
      </c>
      <c r="J407" t="s">
        <v>141</v>
      </c>
      <c r="K407">
        <v>2.3495211201224182E-2</v>
      </c>
      <c r="L407" t="s">
        <v>31</v>
      </c>
      <c r="N407" t="s">
        <v>268</v>
      </c>
      <c r="O407" t="s">
        <v>141</v>
      </c>
      <c r="P407">
        <v>1.1349097589523342E-2</v>
      </c>
      <c r="Q407" t="s">
        <v>31</v>
      </c>
    </row>
    <row r="408" spans="9:17" x14ac:dyDescent="0.25">
      <c r="I408" t="s">
        <v>258</v>
      </c>
      <c r="J408" t="s">
        <v>142</v>
      </c>
      <c r="K408">
        <v>3.2923404097034135E-4</v>
      </c>
      <c r="L408" t="s">
        <v>31</v>
      </c>
      <c r="N408" t="s">
        <v>268</v>
      </c>
      <c r="O408" t="s">
        <v>142</v>
      </c>
      <c r="P408">
        <v>3.9255777378949756E-3</v>
      </c>
      <c r="Q408" t="s">
        <v>31</v>
      </c>
    </row>
    <row r="409" spans="9:17" x14ac:dyDescent="0.25">
      <c r="I409" t="s">
        <v>258</v>
      </c>
      <c r="J409" t="s">
        <v>143</v>
      </c>
      <c r="K409">
        <v>0</v>
      </c>
      <c r="L409" t="s">
        <v>31</v>
      </c>
      <c r="N409" t="s">
        <v>268</v>
      </c>
      <c r="O409" t="s">
        <v>143</v>
      </c>
      <c r="P409">
        <v>3.771067765970981E-3</v>
      </c>
      <c r="Q409" t="s">
        <v>31</v>
      </c>
    </row>
    <row r="410" spans="9:17" x14ac:dyDescent="0.25">
      <c r="I410" t="s">
        <v>258</v>
      </c>
      <c r="J410" t="s">
        <v>144</v>
      </c>
      <c r="K410">
        <v>0</v>
      </c>
      <c r="L410" t="s">
        <v>31</v>
      </c>
      <c r="N410" t="s">
        <v>268</v>
      </c>
      <c r="O410" t="s">
        <v>144</v>
      </c>
      <c r="P410">
        <v>1.0087584810998201E-2</v>
      </c>
      <c r="Q410" t="s">
        <v>31</v>
      </c>
    </row>
    <row r="411" spans="9:17" x14ac:dyDescent="0.25">
      <c r="I411" t="s">
        <v>258</v>
      </c>
      <c r="J411" t="s">
        <v>145</v>
      </c>
      <c r="K411">
        <v>0</v>
      </c>
      <c r="L411" t="s">
        <v>31</v>
      </c>
      <c r="N411" t="s">
        <v>268</v>
      </c>
      <c r="O411" t="s">
        <v>145</v>
      </c>
      <c r="P411">
        <v>1.9017423251175138E-2</v>
      </c>
      <c r="Q411" t="s">
        <v>31</v>
      </c>
    </row>
    <row r="412" spans="9:17" x14ac:dyDescent="0.25">
      <c r="I412" t="s">
        <v>258</v>
      </c>
      <c r="J412" t="s">
        <v>146</v>
      </c>
      <c r="K412">
        <v>1.5979949420121474E-6</v>
      </c>
      <c r="L412" t="s">
        <v>31</v>
      </c>
      <c r="N412" t="s">
        <v>268</v>
      </c>
      <c r="O412" t="s">
        <v>146</v>
      </c>
      <c r="P412">
        <v>4.0551282629395016E-3</v>
      </c>
      <c r="Q412" t="s">
        <v>31</v>
      </c>
    </row>
    <row r="413" spans="9:17" x14ac:dyDescent="0.25">
      <c r="I413" t="s">
        <v>258</v>
      </c>
      <c r="J413" t="s">
        <v>147</v>
      </c>
      <c r="K413">
        <v>8.4198439208002893E-2</v>
      </c>
      <c r="L413" t="s">
        <v>31</v>
      </c>
      <c r="N413" t="s">
        <v>268</v>
      </c>
      <c r="O413" t="s">
        <v>147</v>
      </c>
      <c r="P413">
        <v>3.6486310903012048E-2</v>
      </c>
      <c r="Q413" t="s">
        <v>31</v>
      </c>
    </row>
    <row r="414" spans="9:17" x14ac:dyDescent="0.25">
      <c r="I414" t="s">
        <v>258</v>
      </c>
      <c r="J414" t="s">
        <v>148</v>
      </c>
      <c r="K414">
        <v>1.1033520293542749E-2</v>
      </c>
      <c r="L414" t="s">
        <v>31</v>
      </c>
      <c r="N414" t="s">
        <v>268</v>
      </c>
      <c r="O414" t="s">
        <v>148</v>
      </c>
      <c r="P414">
        <v>4.0505176078140586E-3</v>
      </c>
      <c r="Q414" t="s">
        <v>31</v>
      </c>
    </row>
    <row r="415" spans="9:17" x14ac:dyDescent="0.25">
      <c r="I415" t="s">
        <v>258</v>
      </c>
      <c r="J415" t="s">
        <v>149</v>
      </c>
      <c r="K415">
        <v>2.4762053859012197E-2</v>
      </c>
      <c r="L415" t="s">
        <v>31</v>
      </c>
      <c r="N415" t="s">
        <v>268</v>
      </c>
      <c r="O415" t="s">
        <v>149</v>
      </c>
      <c r="P415">
        <v>1.1951526431610201E-2</v>
      </c>
      <c r="Q415" t="s">
        <v>31</v>
      </c>
    </row>
    <row r="416" spans="9:17" x14ac:dyDescent="0.25">
      <c r="I416" t="s">
        <v>258</v>
      </c>
      <c r="J416" t="s">
        <v>150</v>
      </c>
      <c r="K416">
        <v>3.6423978779708032E-3</v>
      </c>
      <c r="L416" t="s">
        <v>31</v>
      </c>
      <c r="N416" t="s">
        <v>268</v>
      </c>
      <c r="O416" t="s">
        <v>150</v>
      </c>
      <c r="P416">
        <v>3.8852258311426737E-3</v>
      </c>
      <c r="Q416" t="s">
        <v>31</v>
      </c>
    </row>
    <row r="417" spans="9:17" x14ac:dyDescent="0.25">
      <c r="I417" t="s">
        <v>258</v>
      </c>
      <c r="J417" t="s">
        <v>151</v>
      </c>
      <c r="K417">
        <v>6.1765608745711453E-4</v>
      </c>
      <c r="L417" t="s">
        <v>31</v>
      </c>
      <c r="N417" t="s">
        <v>268</v>
      </c>
      <c r="O417" t="s">
        <v>151</v>
      </c>
      <c r="P417">
        <v>3.8955779067274317E-3</v>
      </c>
      <c r="Q417" t="s">
        <v>31</v>
      </c>
    </row>
    <row r="418" spans="9:17" x14ac:dyDescent="0.25">
      <c r="I418" t="s">
        <v>258</v>
      </c>
      <c r="J418" t="s">
        <v>152</v>
      </c>
      <c r="K418">
        <v>0</v>
      </c>
      <c r="L418" t="s">
        <v>31</v>
      </c>
      <c r="N418" t="s">
        <v>268</v>
      </c>
      <c r="O418" t="s">
        <v>152</v>
      </c>
      <c r="P418">
        <v>1.191675698690531E-2</v>
      </c>
      <c r="Q418" t="s">
        <v>31</v>
      </c>
    </row>
    <row r="419" spans="9:17" x14ac:dyDescent="0.25">
      <c r="I419" t="s">
        <v>258</v>
      </c>
      <c r="J419" t="s">
        <v>153</v>
      </c>
      <c r="K419">
        <v>3.3510082290818144E-5</v>
      </c>
      <c r="L419" t="s">
        <v>31</v>
      </c>
      <c r="N419" t="s">
        <v>268</v>
      </c>
      <c r="O419" t="s">
        <v>153</v>
      </c>
      <c r="P419">
        <v>1.6277363237341885E-2</v>
      </c>
      <c r="Q419" t="s">
        <v>31</v>
      </c>
    </row>
    <row r="420" spans="9:17" x14ac:dyDescent="0.25">
      <c r="I420" t="s">
        <v>258</v>
      </c>
      <c r="J420" t="s">
        <v>154</v>
      </c>
      <c r="K420">
        <v>2.2948374389607788E-3</v>
      </c>
      <c r="L420" t="s">
        <v>31</v>
      </c>
      <c r="N420" t="s">
        <v>268</v>
      </c>
      <c r="O420" t="s">
        <v>154</v>
      </c>
      <c r="P420">
        <v>3.0273059237558423E-3</v>
      </c>
      <c r="Q420" t="s">
        <v>31</v>
      </c>
    </row>
    <row r="421" spans="9:17" x14ac:dyDescent="0.25">
      <c r="I421" t="s">
        <v>258</v>
      </c>
      <c r="J421" t="s">
        <v>155</v>
      </c>
      <c r="K421">
        <v>9.475183371211636E-2</v>
      </c>
      <c r="L421" t="s">
        <v>31</v>
      </c>
      <c r="N421" t="s">
        <v>268</v>
      </c>
      <c r="O421" t="s">
        <v>155</v>
      </c>
      <c r="P421">
        <v>2.6328030811913098E-2</v>
      </c>
      <c r="Q421" t="s">
        <v>31</v>
      </c>
    </row>
    <row r="422" spans="9:17" x14ac:dyDescent="0.25">
      <c r="I422" t="s">
        <v>258</v>
      </c>
      <c r="J422" t="s">
        <v>156</v>
      </c>
      <c r="K422">
        <v>1.2703254570961062E-2</v>
      </c>
      <c r="L422" t="s">
        <v>31</v>
      </c>
      <c r="N422" t="s">
        <v>268</v>
      </c>
      <c r="O422" t="s">
        <v>156</v>
      </c>
      <c r="P422">
        <v>2.9861743956497585E-3</v>
      </c>
      <c r="Q422" t="s">
        <v>31</v>
      </c>
    </row>
    <row r="423" spans="9:17" x14ac:dyDescent="0.25">
      <c r="I423" t="s">
        <v>258</v>
      </c>
      <c r="J423" t="s">
        <v>157</v>
      </c>
      <c r="K423">
        <v>2.9488665335698244E-2</v>
      </c>
      <c r="L423" t="s">
        <v>31</v>
      </c>
      <c r="N423" t="s">
        <v>268</v>
      </c>
      <c r="O423" t="s">
        <v>157</v>
      </c>
      <c r="P423">
        <v>9.193153566819455E-3</v>
      </c>
      <c r="Q423" t="s">
        <v>31</v>
      </c>
    </row>
    <row r="424" spans="9:17" x14ac:dyDescent="0.25">
      <c r="I424" t="s">
        <v>258</v>
      </c>
      <c r="J424" t="s">
        <v>158</v>
      </c>
      <c r="K424">
        <v>5.850739322805408E-3</v>
      </c>
      <c r="L424" t="s">
        <v>31</v>
      </c>
      <c r="N424" t="s">
        <v>268</v>
      </c>
      <c r="O424" t="s">
        <v>158</v>
      </c>
      <c r="P424">
        <v>3.0969055259854497E-3</v>
      </c>
      <c r="Q424" t="s">
        <v>31</v>
      </c>
    </row>
    <row r="425" spans="9:17" x14ac:dyDescent="0.25">
      <c r="I425" t="s">
        <v>258</v>
      </c>
      <c r="J425" t="s">
        <v>159</v>
      </c>
      <c r="K425">
        <v>2.9766667103186804E-3</v>
      </c>
      <c r="L425" t="s">
        <v>31</v>
      </c>
      <c r="N425" t="s">
        <v>268</v>
      </c>
      <c r="O425" t="s">
        <v>159</v>
      </c>
      <c r="P425">
        <v>3.0856967987458257E-3</v>
      </c>
      <c r="Q425" t="s">
        <v>31</v>
      </c>
    </row>
    <row r="426" spans="9:17" x14ac:dyDescent="0.25">
      <c r="I426" t="s">
        <v>258</v>
      </c>
      <c r="J426" t="s">
        <v>160</v>
      </c>
      <c r="K426">
        <v>2.9388975058872575E-4</v>
      </c>
      <c r="L426" t="s">
        <v>31</v>
      </c>
      <c r="N426" t="s">
        <v>268</v>
      </c>
      <c r="O426" t="s">
        <v>160</v>
      </c>
      <c r="P426">
        <v>9.1450616470443325E-3</v>
      </c>
      <c r="Q426" t="s">
        <v>31</v>
      </c>
    </row>
    <row r="427" spans="9:17" x14ac:dyDescent="0.25">
      <c r="I427" t="s">
        <v>258</v>
      </c>
      <c r="J427" t="s">
        <v>161</v>
      </c>
      <c r="K427">
        <v>1.0864889659409332E-3</v>
      </c>
      <c r="L427" t="s">
        <v>31</v>
      </c>
      <c r="N427" t="s">
        <v>268</v>
      </c>
      <c r="O427" t="s">
        <v>161</v>
      </c>
      <c r="P427">
        <v>1.23591112600148E-2</v>
      </c>
      <c r="Q427" t="s">
        <v>31</v>
      </c>
    </row>
    <row r="428" spans="9:17" x14ac:dyDescent="0.25">
      <c r="I428" t="s">
        <v>258</v>
      </c>
      <c r="J428" t="s">
        <v>162</v>
      </c>
      <c r="K428">
        <v>3.3552638840407155E-3</v>
      </c>
      <c r="L428" t="s">
        <v>31</v>
      </c>
      <c r="N428" t="s">
        <v>268</v>
      </c>
      <c r="O428" t="s">
        <v>162</v>
      </c>
      <c r="P428">
        <v>2.2735411966646199E-3</v>
      </c>
      <c r="Q428" t="s">
        <v>31</v>
      </c>
    </row>
    <row r="429" spans="9:17" x14ac:dyDescent="0.25">
      <c r="I429" t="s">
        <v>258</v>
      </c>
      <c r="J429" t="s">
        <v>163</v>
      </c>
      <c r="K429">
        <v>9.5678950670496102E-2</v>
      </c>
      <c r="L429" t="s">
        <v>31</v>
      </c>
      <c r="N429" t="s">
        <v>268</v>
      </c>
      <c r="O429" t="s">
        <v>163</v>
      </c>
      <c r="P429">
        <v>2.0386474607052885E-2</v>
      </c>
      <c r="Q429" t="s">
        <v>31</v>
      </c>
    </row>
    <row r="430" spans="9:17" x14ac:dyDescent="0.25">
      <c r="I430" t="s">
        <v>258</v>
      </c>
      <c r="J430" t="s">
        <v>164</v>
      </c>
      <c r="K430">
        <v>1.1360730963371654E-2</v>
      </c>
      <c r="L430" t="s">
        <v>31</v>
      </c>
      <c r="N430" t="s">
        <v>268</v>
      </c>
      <c r="O430" t="s">
        <v>164</v>
      </c>
      <c r="P430">
        <v>2.5554224202553001E-3</v>
      </c>
      <c r="Q430" t="s">
        <v>31</v>
      </c>
    </row>
    <row r="431" spans="9:17" x14ac:dyDescent="0.25">
      <c r="I431" t="s">
        <v>258</v>
      </c>
      <c r="J431" t="s">
        <v>165</v>
      </c>
      <c r="K431">
        <v>2.8522958059822207E-2</v>
      </c>
      <c r="L431" t="s">
        <v>31</v>
      </c>
      <c r="N431" t="s">
        <v>268</v>
      </c>
      <c r="O431" t="s">
        <v>165</v>
      </c>
      <c r="P431">
        <v>7.6053588456984353E-3</v>
      </c>
      <c r="Q431" t="s">
        <v>31</v>
      </c>
    </row>
    <row r="432" spans="9:17" x14ac:dyDescent="0.25">
      <c r="I432" t="s">
        <v>258</v>
      </c>
      <c r="J432" t="s">
        <v>166</v>
      </c>
      <c r="K432">
        <v>5.7052123452518656E-3</v>
      </c>
      <c r="L432" t="s">
        <v>31</v>
      </c>
      <c r="N432" t="s">
        <v>268</v>
      </c>
      <c r="O432" t="s">
        <v>166</v>
      </c>
      <c r="P432">
        <v>2.4633071944662444E-3</v>
      </c>
      <c r="Q432" t="s">
        <v>31</v>
      </c>
    </row>
    <row r="433" spans="9:17" x14ac:dyDescent="0.25">
      <c r="I433" t="s">
        <v>258</v>
      </c>
      <c r="J433" t="s">
        <v>167</v>
      </c>
      <c r="K433">
        <v>3.759875169577953E-3</v>
      </c>
      <c r="L433" t="s">
        <v>31</v>
      </c>
      <c r="N433" t="s">
        <v>268</v>
      </c>
      <c r="O433" t="s">
        <v>167</v>
      </c>
      <c r="P433">
        <v>2.443800892782848E-3</v>
      </c>
      <c r="Q433" t="s">
        <v>31</v>
      </c>
    </row>
    <row r="434" spans="9:17" x14ac:dyDescent="0.25">
      <c r="I434" t="s">
        <v>258</v>
      </c>
      <c r="J434" t="s">
        <v>168</v>
      </c>
      <c r="K434">
        <v>1.7106752169796914E-3</v>
      </c>
      <c r="L434" t="s">
        <v>31</v>
      </c>
      <c r="N434" t="s">
        <v>268</v>
      </c>
      <c r="O434" t="s">
        <v>168</v>
      </c>
      <c r="P434">
        <v>7.5280422409611187E-3</v>
      </c>
      <c r="Q434" t="s">
        <v>31</v>
      </c>
    </row>
    <row r="435" spans="9:17" x14ac:dyDescent="0.25">
      <c r="I435" t="s">
        <v>258</v>
      </c>
      <c r="J435" t="s">
        <v>169</v>
      </c>
      <c r="K435">
        <v>2.4623721627657072E-4</v>
      </c>
      <c r="L435" t="s">
        <v>31</v>
      </c>
      <c r="N435" t="s">
        <v>268</v>
      </c>
      <c r="O435" t="s">
        <v>169</v>
      </c>
      <c r="P435">
        <v>1.3249017917957694E-2</v>
      </c>
      <c r="Q435" t="s">
        <v>31</v>
      </c>
    </row>
    <row r="436" spans="9:17" x14ac:dyDescent="0.25">
      <c r="I436" t="s">
        <v>258</v>
      </c>
      <c r="J436" t="s">
        <v>170</v>
      </c>
      <c r="K436">
        <v>3.0257525251269927E-3</v>
      </c>
      <c r="L436" t="s">
        <v>31</v>
      </c>
      <c r="N436" t="s">
        <v>268</v>
      </c>
      <c r="O436" t="s">
        <v>170</v>
      </c>
      <c r="P436">
        <v>2.4338088998401364E-3</v>
      </c>
      <c r="Q436" t="s">
        <v>31</v>
      </c>
    </row>
    <row r="437" spans="9:17" x14ac:dyDescent="0.25">
      <c r="I437" t="s">
        <v>258</v>
      </c>
      <c r="J437" t="s">
        <v>171</v>
      </c>
      <c r="K437">
        <v>9.4752975594781436E-2</v>
      </c>
      <c r="L437" t="s">
        <v>31</v>
      </c>
      <c r="N437" t="s">
        <v>268</v>
      </c>
      <c r="O437" t="s">
        <v>171</v>
      </c>
      <c r="P437">
        <v>2.4387482350406133E-2</v>
      </c>
      <c r="Q437" t="s">
        <v>31</v>
      </c>
    </row>
    <row r="438" spans="9:17" x14ac:dyDescent="0.25">
      <c r="I438" t="s">
        <v>258</v>
      </c>
      <c r="J438" t="s">
        <v>172</v>
      </c>
      <c r="K438">
        <v>1.2010369571695226E-2</v>
      </c>
      <c r="L438" t="s">
        <v>31</v>
      </c>
      <c r="N438" t="s">
        <v>268</v>
      </c>
      <c r="O438" t="s">
        <v>172</v>
      </c>
      <c r="P438">
        <v>3.3042812663052245E-3</v>
      </c>
      <c r="Q438" t="s">
        <v>31</v>
      </c>
    </row>
    <row r="439" spans="9:17" x14ac:dyDescent="0.25">
      <c r="I439" t="s">
        <v>258</v>
      </c>
      <c r="J439" t="s">
        <v>173</v>
      </c>
      <c r="K439">
        <v>2.9631842076279963E-2</v>
      </c>
      <c r="L439" t="s">
        <v>31</v>
      </c>
      <c r="N439" t="s">
        <v>268</v>
      </c>
      <c r="O439" t="s">
        <v>173</v>
      </c>
      <c r="P439">
        <v>9.7074843646925493E-3</v>
      </c>
      <c r="Q439" t="s">
        <v>31</v>
      </c>
    </row>
    <row r="440" spans="9:17" x14ac:dyDescent="0.25">
      <c r="I440" t="s">
        <v>258</v>
      </c>
      <c r="J440" t="s">
        <v>174</v>
      </c>
      <c r="K440">
        <v>6.6642702424942442E-3</v>
      </c>
      <c r="L440" t="s">
        <v>31</v>
      </c>
      <c r="N440" t="s">
        <v>268</v>
      </c>
      <c r="O440" t="s">
        <v>174</v>
      </c>
      <c r="P440">
        <v>3.0851479847877512E-3</v>
      </c>
      <c r="Q440" t="s">
        <v>31</v>
      </c>
    </row>
    <row r="441" spans="9:17" x14ac:dyDescent="0.25">
      <c r="I441" t="s">
        <v>258</v>
      </c>
      <c r="J441" t="s">
        <v>175</v>
      </c>
      <c r="K441">
        <v>4.0788910774191287E-3</v>
      </c>
      <c r="L441" t="s">
        <v>31</v>
      </c>
      <c r="N441" t="s">
        <v>268</v>
      </c>
      <c r="O441" t="s">
        <v>175</v>
      </c>
      <c r="P441">
        <v>3.0993055334387711E-3</v>
      </c>
      <c r="Q441" t="s">
        <v>31</v>
      </c>
    </row>
    <row r="442" spans="9:17" x14ac:dyDescent="0.25">
      <c r="I442" t="s">
        <v>258</v>
      </c>
      <c r="J442" t="s">
        <v>176</v>
      </c>
      <c r="K442">
        <v>1.8033283723330696E-3</v>
      </c>
      <c r="L442" t="s">
        <v>31</v>
      </c>
      <c r="N442" t="s">
        <v>268</v>
      </c>
      <c r="O442" t="s">
        <v>176</v>
      </c>
      <c r="P442">
        <v>8.9611251838574105E-3</v>
      </c>
      <c r="Q442" t="s">
        <v>31</v>
      </c>
    </row>
    <row r="443" spans="9:17" x14ac:dyDescent="0.25">
      <c r="I443" t="s">
        <v>258</v>
      </c>
      <c r="J443" t="s">
        <v>177</v>
      </c>
      <c r="K443">
        <v>0</v>
      </c>
      <c r="L443" t="s">
        <v>31</v>
      </c>
      <c r="N443" t="s">
        <v>268</v>
      </c>
      <c r="O443" t="s">
        <v>177</v>
      </c>
      <c r="P443">
        <v>1.0828131920841673E-2</v>
      </c>
      <c r="Q443" t="s">
        <v>31</v>
      </c>
    </row>
    <row r="444" spans="9:17" x14ac:dyDescent="0.25">
      <c r="I444" t="s">
        <v>258</v>
      </c>
      <c r="J444" t="s">
        <v>178</v>
      </c>
      <c r="K444">
        <v>6.0886653577635742E-4</v>
      </c>
      <c r="L444" t="s">
        <v>31</v>
      </c>
      <c r="N444" t="s">
        <v>268</v>
      </c>
      <c r="O444" t="s">
        <v>178</v>
      </c>
      <c r="P444">
        <v>2.1798138102531498E-3</v>
      </c>
      <c r="Q444" t="s">
        <v>31</v>
      </c>
    </row>
    <row r="445" spans="9:17" x14ac:dyDescent="0.25">
      <c r="I445" t="s">
        <v>258</v>
      </c>
      <c r="J445" t="s">
        <v>179</v>
      </c>
      <c r="K445">
        <v>7.9353716330898133E-2</v>
      </c>
      <c r="L445" t="s">
        <v>31</v>
      </c>
      <c r="N445" t="s">
        <v>268</v>
      </c>
      <c r="O445" t="s">
        <v>179</v>
      </c>
      <c r="P445">
        <v>1.8940340001646461E-2</v>
      </c>
      <c r="Q445" t="s">
        <v>31</v>
      </c>
    </row>
    <row r="446" spans="9:17" x14ac:dyDescent="0.25">
      <c r="I446" t="s">
        <v>258</v>
      </c>
      <c r="J446" t="s">
        <v>180</v>
      </c>
      <c r="K446">
        <v>1.051366716307979E-2</v>
      </c>
      <c r="L446" t="s">
        <v>31</v>
      </c>
      <c r="N446" t="s">
        <v>268</v>
      </c>
      <c r="O446" t="s">
        <v>180</v>
      </c>
      <c r="P446">
        <v>2.0888380494942529E-3</v>
      </c>
      <c r="Q446" t="s">
        <v>31</v>
      </c>
    </row>
    <row r="447" spans="9:17" x14ac:dyDescent="0.25">
      <c r="I447" t="s">
        <v>258</v>
      </c>
      <c r="J447" t="s">
        <v>181</v>
      </c>
      <c r="K447">
        <v>2.5529289669338068E-2</v>
      </c>
      <c r="L447" t="s">
        <v>31</v>
      </c>
      <c r="N447" t="s">
        <v>268</v>
      </c>
      <c r="O447" t="s">
        <v>181</v>
      </c>
      <c r="P447">
        <v>6.384001207595154E-3</v>
      </c>
      <c r="Q447" t="s">
        <v>31</v>
      </c>
    </row>
    <row r="448" spans="9:17" x14ac:dyDescent="0.25">
      <c r="I448" t="s">
        <v>258</v>
      </c>
      <c r="J448" t="s">
        <v>182</v>
      </c>
      <c r="K448">
        <v>4.6391059379533011E-3</v>
      </c>
      <c r="L448" t="s">
        <v>31</v>
      </c>
      <c r="N448" t="s">
        <v>268</v>
      </c>
      <c r="O448" t="s">
        <v>182</v>
      </c>
      <c r="P448">
        <v>2.1959310017349138E-3</v>
      </c>
      <c r="Q448" t="s">
        <v>31</v>
      </c>
    </row>
    <row r="449" spans="9:17" x14ac:dyDescent="0.25">
      <c r="I449" t="s">
        <v>258</v>
      </c>
      <c r="J449" t="s">
        <v>183</v>
      </c>
      <c r="K449">
        <v>1.8105606074451286E-3</v>
      </c>
      <c r="L449" t="s">
        <v>31</v>
      </c>
      <c r="N449" t="s">
        <v>268</v>
      </c>
      <c r="O449" t="s">
        <v>183</v>
      </c>
      <c r="P449">
        <v>2.2178104383695925E-3</v>
      </c>
      <c r="Q449" t="s">
        <v>31</v>
      </c>
    </row>
    <row r="450" spans="9:17" x14ac:dyDescent="0.25">
      <c r="I450" t="s">
        <v>258</v>
      </c>
      <c r="J450" t="s">
        <v>184</v>
      </c>
      <c r="K450">
        <v>0</v>
      </c>
      <c r="L450" t="s">
        <v>31</v>
      </c>
      <c r="N450" t="s">
        <v>268</v>
      </c>
      <c r="O450" t="s">
        <v>184</v>
      </c>
      <c r="P450">
        <v>6.4915635787050601E-3</v>
      </c>
      <c r="Q450" t="s">
        <v>31</v>
      </c>
    </row>
    <row r="451" spans="9:17" x14ac:dyDescent="0.25">
      <c r="I451" t="s">
        <v>258</v>
      </c>
      <c r="J451" t="s">
        <v>185</v>
      </c>
      <c r="K451">
        <v>0</v>
      </c>
      <c r="L451" t="s">
        <v>31</v>
      </c>
      <c r="N451" t="s">
        <v>268</v>
      </c>
      <c r="O451" t="s">
        <v>185</v>
      </c>
      <c r="P451">
        <v>1.3414713041431431E-2</v>
      </c>
      <c r="Q451" t="s">
        <v>31</v>
      </c>
    </row>
    <row r="452" spans="9:17" x14ac:dyDescent="0.25">
      <c r="I452" t="s">
        <v>258</v>
      </c>
      <c r="J452" t="s">
        <v>186</v>
      </c>
      <c r="K452">
        <v>0</v>
      </c>
      <c r="L452" t="s">
        <v>31</v>
      </c>
      <c r="N452" t="s">
        <v>268</v>
      </c>
      <c r="O452" t="s">
        <v>186</v>
      </c>
      <c r="P452">
        <v>2.7423572054086093E-3</v>
      </c>
      <c r="Q452" t="s">
        <v>31</v>
      </c>
    </row>
    <row r="453" spans="9:17" x14ac:dyDescent="0.25">
      <c r="I453" t="s">
        <v>258</v>
      </c>
      <c r="J453" t="s">
        <v>187</v>
      </c>
      <c r="K453">
        <v>6.4345262171371237E-2</v>
      </c>
      <c r="L453" t="s">
        <v>31</v>
      </c>
      <c r="N453" t="s">
        <v>268</v>
      </c>
      <c r="O453" t="s">
        <v>187</v>
      </c>
      <c r="P453">
        <v>2.4147570222827121E-2</v>
      </c>
      <c r="Q453" t="s">
        <v>31</v>
      </c>
    </row>
    <row r="454" spans="9:17" x14ac:dyDescent="0.25">
      <c r="I454" t="s">
        <v>258</v>
      </c>
      <c r="J454" t="s">
        <v>188</v>
      </c>
      <c r="K454">
        <v>8.9574470643704138E-3</v>
      </c>
      <c r="L454" t="s">
        <v>31</v>
      </c>
      <c r="N454" t="s">
        <v>268</v>
      </c>
      <c r="O454" t="s">
        <v>188</v>
      </c>
      <c r="P454">
        <v>2.5723416999614622E-3</v>
      </c>
      <c r="Q454" t="s">
        <v>31</v>
      </c>
    </row>
    <row r="455" spans="9:17" x14ac:dyDescent="0.25">
      <c r="I455" t="s">
        <v>258</v>
      </c>
      <c r="J455" t="s">
        <v>189</v>
      </c>
      <c r="K455">
        <v>1.7932625613388081E-2</v>
      </c>
      <c r="L455" t="s">
        <v>31</v>
      </c>
      <c r="N455" t="s">
        <v>268</v>
      </c>
      <c r="O455" t="s">
        <v>189</v>
      </c>
      <c r="P455">
        <v>8.5989387221216494E-3</v>
      </c>
      <c r="Q455" t="s">
        <v>31</v>
      </c>
    </row>
    <row r="456" spans="9:17" x14ac:dyDescent="0.25">
      <c r="I456" t="s">
        <v>258</v>
      </c>
      <c r="J456" t="s">
        <v>190</v>
      </c>
      <c r="K456">
        <v>1.1273184373715762E-3</v>
      </c>
      <c r="L456" t="s">
        <v>31</v>
      </c>
      <c r="N456" t="s">
        <v>268</v>
      </c>
      <c r="O456" t="s">
        <v>190</v>
      </c>
      <c r="P456">
        <v>3.0455539504721314E-3</v>
      </c>
      <c r="Q456" t="s">
        <v>31</v>
      </c>
    </row>
    <row r="457" spans="9:17" x14ac:dyDescent="0.25">
      <c r="I457" t="s">
        <v>258</v>
      </c>
      <c r="J457" t="s">
        <v>191</v>
      </c>
      <c r="K457">
        <v>0</v>
      </c>
      <c r="L457" t="s">
        <v>31</v>
      </c>
      <c r="N457" t="s">
        <v>268</v>
      </c>
      <c r="O457" t="s">
        <v>191</v>
      </c>
      <c r="P457">
        <v>3.0500856393189386E-3</v>
      </c>
      <c r="Q457" t="s">
        <v>31</v>
      </c>
    </row>
    <row r="458" spans="9:17" x14ac:dyDescent="0.25">
      <c r="I458" t="s">
        <v>258</v>
      </c>
      <c r="J458" t="s">
        <v>192</v>
      </c>
      <c r="K458">
        <v>0</v>
      </c>
      <c r="L458" t="s">
        <v>31</v>
      </c>
      <c r="N458" t="s">
        <v>268</v>
      </c>
      <c r="O458" t="s">
        <v>192</v>
      </c>
      <c r="P458">
        <v>8.8989408350922498E-3</v>
      </c>
      <c r="Q458" t="s">
        <v>31</v>
      </c>
    </row>
    <row r="459" spans="9:17" x14ac:dyDescent="0.25">
      <c r="I459" t="s">
        <v>258</v>
      </c>
      <c r="J459" t="s">
        <v>193</v>
      </c>
      <c r="K459">
        <v>0</v>
      </c>
      <c r="L459" t="s">
        <v>31</v>
      </c>
      <c r="N459" t="s">
        <v>268</v>
      </c>
      <c r="O459" t="s">
        <v>193</v>
      </c>
      <c r="P459">
        <v>2.0943324799647056E-2</v>
      </c>
      <c r="Q459" t="s">
        <v>31</v>
      </c>
    </row>
    <row r="460" spans="9:17" x14ac:dyDescent="0.25">
      <c r="I460" t="s">
        <v>258</v>
      </c>
      <c r="J460" t="s">
        <v>194</v>
      </c>
      <c r="K460">
        <v>0</v>
      </c>
      <c r="L460" t="s">
        <v>31</v>
      </c>
      <c r="N460" t="s">
        <v>268</v>
      </c>
      <c r="O460" t="s">
        <v>194</v>
      </c>
      <c r="P460">
        <v>4.1796499292267144E-3</v>
      </c>
      <c r="Q460" t="s">
        <v>31</v>
      </c>
    </row>
    <row r="461" spans="9:17" x14ac:dyDescent="0.25">
      <c r="I461" t="s">
        <v>258</v>
      </c>
      <c r="J461" t="s">
        <v>195</v>
      </c>
      <c r="K461">
        <v>2.8660929714589219E-2</v>
      </c>
      <c r="L461" t="s">
        <v>31</v>
      </c>
      <c r="N461" t="s">
        <v>268</v>
      </c>
      <c r="O461" t="s">
        <v>195</v>
      </c>
      <c r="P461">
        <v>3.8594145638266464E-2</v>
      </c>
      <c r="Q461" t="s">
        <v>31</v>
      </c>
    </row>
    <row r="462" spans="9:17" x14ac:dyDescent="0.25">
      <c r="I462" t="s">
        <v>258</v>
      </c>
      <c r="J462" t="s">
        <v>196</v>
      </c>
      <c r="K462">
        <v>4.2748600280489643E-3</v>
      </c>
      <c r="L462" t="s">
        <v>31</v>
      </c>
      <c r="N462" t="s">
        <v>268</v>
      </c>
      <c r="O462" t="s">
        <v>196</v>
      </c>
      <c r="P462">
        <v>4.1977833399114931E-3</v>
      </c>
      <c r="Q462" t="s">
        <v>31</v>
      </c>
    </row>
    <row r="463" spans="9:17" x14ac:dyDescent="0.25">
      <c r="I463" t="s">
        <v>258</v>
      </c>
      <c r="J463" t="s">
        <v>197</v>
      </c>
      <c r="K463">
        <v>4.8297163299620303E-3</v>
      </c>
      <c r="L463" t="s">
        <v>31</v>
      </c>
      <c r="N463" t="s">
        <v>268</v>
      </c>
      <c r="O463" t="s">
        <v>197</v>
      </c>
      <c r="P463">
        <v>1.2688605625850254E-2</v>
      </c>
      <c r="Q463" t="s">
        <v>31</v>
      </c>
    </row>
    <row r="464" spans="9:17" x14ac:dyDescent="0.25">
      <c r="I464" t="s">
        <v>258</v>
      </c>
      <c r="J464" t="s">
        <v>198</v>
      </c>
      <c r="K464">
        <v>0</v>
      </c>
      <c r="L464" t="s">
        <v>31</v>
      </c>
      <c r="N464" t="s">
        <v>268</v>
      </c>
      <c r="O464" t="s">
        <v>198</v>
      </c>
      <c r="P464">
        <v>4.186646365032653E-3</v>
      </c>
      <c r="Q464" t="s">
        <v>31</v>
      </c>
    </row>
    <row r="465" spans="9:17" x14ac:dyDescent="0.25">
      <c r="I465" t="s">
        <v>258</v>
      </c>
      <c r="J465" t="s">
        <v>199</v>
      </c>
      <c r="K465">
        <v>0</v>
      </c>
      <c r="L465" t="s">
        <v>31</v>
      </c>
      <c r="N465" t="s">
        <v>268</v>
      </c>
      <c r="O465" t="s">
        <v>199</v>
      </c>
      <c r="P465">
        <v>4.1856555676755497E-3</v>
      </c>
      <c r="Q465" t="s">
        <v>31</v>
      </c>
    </row>
    <row r="466" spans="9:17" x14ac:dyDescent="0.25">
      <c r="I466" t="s">
        <v>258</v>
      </c>
      <c r="J466" t="s">
        <v>200</v>
      </c>
      <c r="K466">
        <v>0</v>
      </c>
      <c r="L466" t="s">
        <v>31</v>
      </c>
      <c r="N466" t="s">
        <v>268</v>
      </c>
      <c r="O466" t="s">
        <v>200</v>
      </c>
      <c r="P466">
        <v>1.302626194222594E-2</v>
      </c>
      <c r="Q466" t="s">
        <v>31</v>
      </c>
    </row>
    <row r="467" spans="9:17" x14ac:dyDescent="0.25">
      <c r="I467" t="s">
        <v>258</v>
      </c>
      <c r="J467" t="s">
        <v>201</v>
      </c>
      <c r="K467">
        <v>0</v>
      </c>
      <c r="L467" t="s">
        <v>31</v>
      </c>
      <c r="N467" t="s">
        <v>268</v>
      </c>
      <c r="O467" t="s">
        <v>201</v>
      </c>
      <c r="P467">
        <v>2.3025577895510151E-2</v>
      </c>
      <c r="Q467" t="s">
        <v>31</v>
      </c>
    </row>
    <row r="468" spans="9:17" x14ac:dyDescent="0.25">
      <c r="I468" t="s">
        <v>258</v>
      </c>
      <c r="J468" t="s">
        <v>202</v>
      </c>
      <c r="K468">
        <v>0</v>
      </c>
      <c r="L468" t="s">
        <v>31</v>
      </c>
      <c r="N468" t="s">
        <v>268</v>
      </c>
      <c r="O468" t="s">
        <v>202</v>
      </c>
      <c r="P468">
        <v>4.3629421465161983E-3</v>
      </c>
      <c r="Q468" t="s">
        <v>31</v>
      </c>
    </row>
    <row r="469" spans="9:17" x14ac:dyDescent="0.25">
      <c r="I469" t="s">
        <v>258</v>
      </c>
      <c r="J469" t="s">
        <v>203</v>
      </c>
      <c r="K469">
        <v>1.2092888687475101E-2</v>
      </c>
      <c r="L469" t="s">
        <v>31</v>
      </c>
      <c r="N469" t="s">
        <v>268</v>
      </c>
      <c r="O469" t="s">
        <v>203</v>
      </c>
      <c r="P469">
        <v>3.9423359964118589E-2</v>
      </c>
      <c r="Q469" t="s">
        <v>31</v>
      </c>
    </row>
    <row r="470" spans="9:17" x14ac:dyDescent="0.25">
      <c r="I470" t="s">
        <v>258</v>
      </c>
      <c r="J470" t="s">
        <v>204</v>
      </c>
      <c r="K470">
        <v>1.5947187723850151E-3</v>
      </c>
      <c r="L470" t="s">
        <v>31</v>
      </c>
      <c r="N470" t="s">
        <v>268</v>
      </c>
      <c r="O470" t="s">
        <v>204</v>
      </c>
      <c r="P470">
        <v>4.546909942324315E-3</v>
      </c>
      <c r="Q470" t="s">
        <v>31</v>
      </c>
    </row>
    <row r="471" spans="9:17" x14ac:dyDescent="0.25">
      <c r="I471" t="s">
        <v>258</v>
      </c>
      <c r="J471" t="s">
        <v>205</v>
      </c>
      <c r="K471">
        <v>2.5946071685456224E-4</v>
      </c>
      <c r="L471" t="s">
        <v>31</v>
      </c>
      <c r="N471" t="s">
        <v>268</v>
      </c>
      <c r="O471" t="s">
        <v>205</v>
      </c>
      <c r="P471">
        <v>1.4181559015853468E-2</v>
      </c>
      <c r="Q471" t="s">
        <v>31</v>
      </c>
    </row>
    <row r="472" spans="9:17" x14ac:dyDescent="0.25">
      <c r="I472" t="s">
        <v>258</v>
      </c>
      <c r="J472" t="s">
        <v>206</v>
      </c>
      <c r="K472">
        <v>0</v>
      </c>
      <c r="L472" t="s">
        <v>31</v>
      </c>
      <c r="N472" t="s">
        <v>268</v>
      </c>
      <c r="O472" t="s">
        <v>206</v>
      </c>
      <c r="P472">
        <v>4.8982633655495697E-3</v>
      </c>
      <c r="Q472" t="s">
        <v>31</v>
      </c>
    </row>
    <row r="473" spans="9:17" x14ac:dyDescent="0.25">
      <c r="I473" t="s">
        <v>258</v>
      </c>
      <c r="J473" t="s">
        <v>207</v>
      </c>
      <c r="K473">
        <v>0</v>
      </c>
      <c r="L473" t="s">
        <v>31</v>
      </c>
      <c r="N473" t="s">
        <v>268</v>
      </c>
      <c r="O473" t="s">
        <v>207</v>
      </c>
      <c r="P473">
        <v>4.8974972987533187E-3</v>
      </c>
      <c r="Q473" t="s">
        <v>31</v>
      </c>
    </row>
    <row r="474" spans="9:17" x14ac:dyDescent="0.25">
      <c r="I474" t="s">
        <v>258</v>
      </c>
      <c r="J474" t="s">
        <v>208</v>
      </c>
      <c r="K474">
        <v>0</v>
      </c>
      <c r="L474" t="s">
        <v>31</v>
      </c>
      <c r="N474" t="s">
        <v>268</v>
      </c>
      <c r="O474" t="s">
        <v>208</v>
      </c>
      <c r="P474">
        <v>1.4381622889702992E-2</v>
      </c>
      <c r="Q474" t="s">
        <v>31</v>
      </c>
    </row>
    <row r="475" spans="9:17" x14ac:dyDescent="0.25">
      <c r="I475" t="s">
        <v>258</v>
      </c>
      <c r="J475" t="s">
        <v>209</v>
      </c>
      <c r="K475">
        <v>0</v>
      </c>
      <c r="L475" t="s">
        <v>31</v>
      </c>
      <c r="N475" t="s">
        <v>268</v>
      </c>
      <c r="O475" t="s">
        <v>209</v>
      </c>
      <c r="P475">
        <v>2.8072250885638337E-2</v>
      </c>
      <c r="Q475" t="s">
        <v>31</v>
      </c>
    </row>
    <row r="476" spans="9:17" x14ac:dyDescent="0.25">
      <c r="I476" t="s">
        <v>258</v>
      </c>
      <c r="J476" t="s">
        <v>210</v>
      </c>
      <c r="K476">
        <v>0</v>
      </c>
      <c r="L476" t="s">
        <v>31</v>
      </c>
      <c r="N476" t="s">
        <v>268</v>
      </c>
      <c r="O476" t="s">
        <v>210</v>
      </c>
      <c r="P476">
        <v>5.5896667703824411E-3</v>
      </c>
      <c r="Q476" t="s">
        <v>31</v>
      </c>
    </row>
    <row r="477" spans="9:17" x14ac:dyDescent="0.25">
      <c r="I477" t="s">
        <v>258</v>
      </c>
      <c r="J477" t="s">
        <v>211</v>
      </c>
      <c r="K477">
        <v>4.5263023002266442E-3</v>
      </c>
      <c r="L477" t="s">
        <v>31</v>
      </c>
      <c r="N477" t="s">
        <v>268</v>
      </c>
      <c r="O477" t="s">
        <v>211</v>
      </c>
      <c r="P477">
        <v>5.2160498067877814E-2</v>
      </c>
      <c r="Q477" t="s">
        <v>31</v>
      </c>
    </row>
    <row r="478" spans="9:17" x14ac:dyDescent="0.25">
      <c r="I478" t="s">
        <v>258</v>
      </c>
      <c r="J478" t="s">
        <v>212</v>
      </c>
      <c r="K478">
        <v>6.3906024040864611E-4</v>
      </c>
      <c r="L478" t="s">
        <v>31</v>
      </c>
      <c r="N478" t="s">
        <v>268</v>
      </c>
      <c r="O478" t="s">
        <v>212</v>
      </c>
      <c r="P478">
        <v>5.7232433259009723E-3</v>
      </c>
      <c r="Q478" t="s">
        <v>31</v>
      </c>
    </row>
    <row r="479" spans="9:17" x14ac:dyDescent="0.25">
      <c r="I479" t="s">
        <v>258</v>
      </c>
      <c r="J479" t="s">
        <v>213</v>
      </c>
      <c r="K479">
        <v>0</v>
      </c>
      <c r="L479" t="s">
        <v>31</v>
      </c>
      <c r="N479" t="s">
        <v>268</v>
      </c>
      <c r="O479" t="s">
        <v>213</v>
      </c>
      <c r="P479">
        <v>1.7713351772220418E-2</v>
      </c>
      <c r="Q479" t="s">
        <v>31</v>
      </c>
    </row>
    <row r="480" spans="9:17" x14ac:dyDescent="0.25">
      <c r="I480" t="s">
        <v>258</v>
      </c>
      <c r="J480" t="s">
        <v>214</v>
      </c>
      <c r="K480">
        <v>0</v>
      </c>
      <c r="L480" t="s">
        <v>31</v>
      </c>
      <c r="N480" t="s">
        <v>268</v>
      </c>
      <c r="O480" t="s">
        <v>214</v>
      </c>
      <c r="P480">
        <v>6.0051350434172949E-3</v>
      </c>
      <c r="Q480" t="s">
        <v>31</v>
      </c>
    </row>
    <row r="481" spans="9:17" x14ac:dyDescent="0.25">
      <c r="I481" t="s">
        <v>258</v>
      </c>
      <c r="J481" t="s">
        <v>215</v>
      </c>
      <c r="K481">
        <v>0</v>
      </c>
      <c r="L481" t="s">
        <v>31</v>
      </c>
      <c r="N481" t="s">
        <v>268</v>
      </c>
      <c r="O481" t="s">
        <v>215</v>
      </c>
      <c r="P481">
        <v>5.980710060184042E-3</v>
      </c>
      <c r="Q481" t="s">
        <v>31</v>
      </c>
    </row>
    <row r="482" spans="9:17" x14ac:dyDescent="0.25">
      <c r="I482" t="s">
        <v>258</v>
      </c>
      <c r="J482" t="s">
        <v>216</v>
      </c>
      <c r="K482">
        <v>0</v>
      </c>
      <c r="L482" t="s">
        <v>31</v>
      </c>
      <c r="N482" t="s">
        <v>268</v>
      </c>
      <c r="O482" t="s">
        <v>216</v>
      </c>
      <c r="P482">
        <v>1.7593816799919105E-2</v>
      </c>
      <c r="Q482" t="s">
        <v>31</v>
      </c>
    </row>
    <row r="483" spans="9:17" x14ac:dyDescent="0.25">
      <c r="I483" t="s">
        <v>259</v>
      </c>
      <c r="J483" t="s">
        <v>121</v>
      </c>
      <c r="K483">
        <v>0</v>
      </c>
      <c r="L483" t="s">
        <v>31</v>
      </c>
      <c r="N483" t="s">
        <v>269</v>
      </c>
      <c r="O483" t="s">
        <v>121</v>
      </c>
      <c r="P483">
        <v>1.9486301938568304E-2</v>
      </c>
      <c r="Q483" t="s">
        <v>31</v>
      </c>
    </row>
    <row r="484" spans="9:17" x14ac:dyDescent="0.25">
      <c r="I484" t="s">
        <v>259</v>
      </c>
      <c r="J484" t="s">
        <v>122</v>
      </c>
      <c r="K484">
        <v>0</v>
      </c>
      <c r="L484" t="s">
        <v>31</v>
      </c>
      <c r="N484" t="s">
        <v>269</v>
      </c>
      <c r="O484" t="s">
        <v>122</v>
      </c>
      <c r="P484">
        <v>3.9381276045911155E-3</v>
      </c>
      <c r="Q484" t="s">
        <v>31</v>
      </c>
    </row>
    <row r="485" spans="9:17" x14ac:dyDescent="0.25">
      <c r="I485" t="s">
        <v>259</v>
      </c>
      <c r="J485" t="s">
        <v>123</v>
      </c>
      <c r="K485">
        <v>8.244810902901795E-3</v>
      </c>
      <c r="L485" t="s">
        <v>31</v>
      </c>
      <c r="N485" t="s">
        <v>269</v>
      </c>
      <c r="O485" t="s">
        <v>123</v>
      </c>
      <c r="P485">
        <v>3.8022678670011856E-2</v>
      </c>
      <c r="Q485" t="s">
        <v>31</v>
      </c>
    </row>
    <row r="486" spans="9:17" x14ac:dyDescent="0.25">
      <c r="I486" t="s">
        <v>259</v>
      </c>
      <c r="J486" t="s">
        <v>124</v>
      </c>
      <c r="K486">
        <v>1.4127396844557706E-3</v>
      </c>
      <c r="L486" t="s">
        <v>31</v>
      </c>
      <c r="N486" t="s">
        <v>269</v>
      </c>
      <c r="O486" t="s">
        <v>124</v>
      </c>
      <c r="P486">
        <v>4.3550582977948471E-3</v>
      </c>
      <c r="Q486" t="s">
        <v>31</v>
      </c>
    </row>
    <row r="487" spans="9:17" x14ac:dyDescent="0.25">
      <c r="I487" t="s">
        <v>259</v>
      </c>
      <c r="J487" t="s">
        <v>125</v>
      </c>
      <c r="K487">
        <v>6.1816345125984083E-4</v>
      </c>
      <c r="L487" t="s">
        <v>31</v>
      </c>
      <c r="N487" t="s">
        <v>269</v>
      </c>
      <c r="O487" t="s">
        <v>125</v>
      </c>
      <c r="P487">
        <v>1.2544253680139162E-2</v>
      </c>
      <c r="Q487" t="s">
        <v>31</v>
      </c>
    </row>
    <row r="488" spans="9:17" x14ac:dyDescent="0.25">
      <c r="I488" t="s">
        <v>259</v>
      </c>
      <c r="J488" t="s">
        <v>126</v>
      </c>
      <c r="K488">
        <v>0</v>
      </c>
      <c r="L488" t="s">
        <v>31</v>
      </c>
      <c r="N488" t="s">
        <v>269</v>
      </c>
      <c r="O488" t="s">
        <v>126</v>
      </c>
      <c r="P488">
        <v>4.0373607721423234E-3</v>
      </c>
      <c r="Q488" t="s">
        <v>31</v>
      </c>
    </row>
    <row r="489" spans="9:17" x14ac:dyDescent="0.25">
      <c r="I489" t="s">
        <v>259</v>
      </c>
      <c r="J489" t="s">
        <v>127</v>
      </c>
      <c r="K489">
        <v>0</v>
      </c>
      <c r="L489" t="s">
        <v>31</v>
      </c>
      <c r="N489" t="s">
        <v>269</v>
      </c>
      <c r="O489" t="s">
        <v>127</v>
      </c>
      <c r="P489">
        <v>3.989705726542914E-3</v>
      </c>
      <c r="Q489" t="s">
        <v>31</v>
      </c>
    </row>
    <row r="490" spans="9:17" x14ac:dyDescent="0.25">
      <c r="I490" t="s">
        <v>259</v>
      </c>
      <c r="J490" t="s">
        <v>128</v>
      </c>
      <c r="K490">
        <v>0</v>
      </c>
      <c r="L490" t="s">
        <v>31</v>
      </c>
      <c r="N490" t="s">
        <v>269</v>
      </c>
      <c r="O490" t="s">
        <v>128</v>
      </c>
      <c r="P490">
        <v>1.1854357155323816E-2</v>
      </c>
      <c r="Q490" t="s">
        <v>31</v>
      </c>
    </row>
    <row r="491" spans="9:17" x14ac:dyDescent="0.25">
      <c r="I491" t="s">
        <v>259</v>
      </c>
      <c r="J491" t="s">
        <v>129</v>
      </c>
      <c r="K491">
        <v>0</v>
      </c>
      <c r="L491" t="s">
        <v>31</v>
      </c>
      <c r="N491" t="s">
        <v>269</v>
      </c>
      <c r="O491" t="s">
        <v>129</v>
      </c>
      <c r="P491">
        <v>1.1734981519040476E-2</v>
      </c>
      <c r="Q491" t="s">
        <v>31</v>
      </c>
    </row>
    <row r="492" spans="9:17" x14ac:dyDescent="0.25">
      <c r="I492" t="s">
        <v>259</v>
      </c>
      <c r="J492" t="s">
        <v>130</v>
      </c>
      <c r="K492">
        <v>0</v>
      </c>
      <c r="L492" t="s">
        <v>31</v>
      </c>
      <c r="N492" t="s">
        <v>269</v>
      </c>
      <c r="O492" t="s">
        <v>130</v>
      </c>
      <c r="P492">
        <v>2.5275840666760139E-3</v>
      </c>
      <c r="Q492" t="s">
        <v>31</v>
      </c>
    </row>
    <row r="493" spans="9:17" x14ac:dyDescent="0.25">
      <c r="I493" t="s">
        <v>259</v>
      </c>
      <c r="J493" t="s">
        <v>131</v>
      </c>
      <c r="K493">
        <v>2.0491651333539897E-2</v>
      </c>
      <c r="L493" t="s">
        <v>31</v>
      </c>
      <c r="N493" t="s">
        <v>269</v>
      </c>
      <c r="O493" t="s">
        <v>131</v>
      </c>
      <c r="P493">
        <v>2.3578225813490328E-2</v>
      </c>
      <c r="Q493" t="s">
        <v>31</v>
      </c>
    </row>
    <row r="494" spans="9:17" x14ac:dyDescent="0.25">
      <c r="I494" t="s">
        <v>259</v>
      </c>
      <c r="J494" t="s">
        <v>132</v>
      </c>
      <c r="K494">
        <v>3.4699017702487403E-3</v>
      </c>
      <c r="L494" t="s">
        <v>31</v>
      </c>
      <c r="N494" t="s">
        <v>269</v>
      </c>
      <c r="O494" t="s">
        <v>132</v>
      </c>
      <c r="P494">
        <v>2.5927391848114757E-3</v>
      </c>
      <c r="Q494" t="s">
        <v>31</v>
      </c>
    </row>
    <row r="495" spans="9:17" x14ac:dyDescent="0.25">
      <c r="I495" t="s">
        <v>259</v>
      </c>
      <c r="J495" t="s">
        <v>133</v>
      </c>
      <c r="K495">
        <v>3.6213769630866659E-3</v>
      </c>
      <c r="L495" t="s">
        <v>31</v>
      </c>
      <c r="N495" t="s">
        <v>269</v>
      </c>
      <c r="O495" t="s">
        <v>133</v>
      </c>
      <c r="P495">
        <v>7.7781360949354464E-3</v>
      </c>
      <c r="Q495" t="s">
        <v>31</v>
      </c>
    </row>
    <row r="496" spans="9:17" x14ac:dyDescent="0.25">
      <c r="I496" t="s">
        <v>259</v>
      </c>
      <c r="J496" t="s">
        <v>134</v>
      </c>
      <c r="K496">
        <v>0</v>
      </c>
      <c r="L496" t="s">
        <v>31</v>
      </c>
      <c r="N496" t="s">
        <v>269</v>
      </c>
      <c r="O496" t="s">
        <v>134</v>
      </c>
      <c r="P496">
        <v>2.6011653609513755E-3</v>
      </c>
      <c r="Q496" t="s">
        <v>31</v>
      </c>
    </row>
    <row r="497" spans="9:17" x14ac:dyDescent="0.25">
      <c r="I497" t="s">
        <v>259</v>
      </c>
      <c r="J497" t="s">
        <v>135</v>
      </c>
      <c r="K497">
        <v>0</v>
      </c>
      <c r="L497" t="s">
        <v>31</v>
      </c>
      <c r="N497" t="s">
        <v>269</v>
      </c>
      <c r="O497" t="s">
        <v>135</v>
      </c>
      <c r="P497">
        <v>2.5392959019223233E-3</v>
      </c>
      <c r="Q497" t="s">
        <v>31</v>
      </c>
    </row>
    <row r="498" spans="9:17" x14ac:dyDescent="0.25">
      <c r="I498" t="s">
        <v>259</v>
      </c>
      <c r="J498" t="s">
        <v>136</v>
      </c>
      <c r="K498">
        <v>0</v>
      </c>
      <c r="L498" t="s">
        <v>31</v>
      </c>
      <c r="N498" t="s">
        <v>269</v>
      </c>
      <c r="O498" t="s">
        <v>136</v>
      </c>
      <c r="P498">
        <v>6.89082281083871E-3</v>
      </c>
      <c r="Q498" t="s">
        <v>31</v>
      </c>
    </row>
    <row r="499" spans="9:17" x14ac:dyDescent="0.25">
      <c r="I499" t="s">
        <v>259</v>
      </c>
      <c r="J499" t="s">
        <v>137</v>
      </c>
      <c r="K499">
        <v>0</v>
      </c>
      <c r="L499" t="s">
        <v>31</v>
      </c>
      <c r="N499" t="s">
        <v>269</v>
      </c>
      <c r="O499" t="s">
        <v>137</v>
      </c>
      <c r="P499">
        <v>1.5186608789952233E-2</v>
      </c>
      <c r="Q499" t="s">
        <v>31</v>
      </c>
    </row>
    <row r="500" spans="9:17" x14ac:dyDescent="0.25">
      <c r="I500" t="s">
        <v>259</v>
      </c>
      <c r="J500" t="s">
        <v>138</v>
      </c>
      <c r="K500">
        <v>0</v>
      </c>
      <c r="L500" t="s">
        <v>31</v>
      </c>
      <c r="N500" t="s">
        <v>269</v>
      </c>
      <c r="O500" t="s">
        <v>138</v>
      </c>
      <c r="P500">
        <v>2.9376540208549437E-3</v>
      </c>
      <c r="Q500" t="s">
        <v>31</v>
      </c>
    </row>
    <row r="501" spans="9:17" x14ac:dyDescent="0.25">
      <c r="I501" t="s">
        <v>259</v>
      </c>
      <c r="J501" t="s">
        <v>139</v>
      </c>
      <c r="K501">
        <v>7.8267129520329284E-2</v>
      </c>
      <c r="L501" t="s">
        <v>31</v>
      </c>
      <c r="N501" t="s">
        <v>269</v>
      </c>
      <c r="O501" t="s">
        <v>139</v>
      </c>
      <c r="P501">
        <v>2.8118785075248776E-2</v>
      </c>
      <c r="Q501" t="s">
        <v>31</v>
      </c>
    </row>
    <row r="502" spans="9:17" x14ac:dyDescent="0.25">
      <c r="I502" t="s">
        <v>259</v>
      </c>
      <c r="J502" t="s">
        <v>140</v>
      </c>
      <c r="K502">
        <v>1.2311100614487243E-2</v>
      </c>
      <c r="L502" t="s">
        <v>31</v>
      </c>
      <c r="N502" t="s">
        <v>269</v>
      </c>
      <c r="O502" t="s">
        <v>140</v>
      </c>
      <c r="P502">
        <v>3.5565485870374929E-3</v>
      </c>
      <c r="Q502" t="s">
        <v>31</v>
      </c>
    </row>
    <row r="503" spans="9:17" x14ac:dyDescent="0.25">
      <c r="I503" t="s">
        <v>259</v>
      </c>
      <c r="J503" t="s">
        <v>141</v>
      </c>
      <c r="K503">
        <v>2.3495211201224182E-2</v>
      </c>
      <c r="L503" t="s">
        <v>31</v>
      </c>
      <c r="N503" t="s">
        <v>269</v>
      </c>
      <c r="O503" t="s">
        <v>141</v>
      </c>
      <c r="P503">
        <v>1.1349097589523342E-2</v>
      </c>
      <c r="Q503" t="s">
        <v>31</v>
      </c>
    </row>
    <row r="504" spans="9:17" x14ac:dyDescent="0.25">
      <c r="I504" t="s">
        <v>259</v>
      </c>
      <c r="J504" t="s">
        <v>142</v>
      </c>
      <c r="K504">
        <v>3.2923404097034135E-4</v>
      </c>
      <c r="L504" t="s">
        <v>31</v>
      </c>
      <c r="N504" t="s">
        <v>269</v>
      </c>
      <c r="O504" t="s">
        <v>142</v>
      </c>
      <c r="P504">
        <v>3.9255777378949756E-3</v>
      </c>
      <c r="Q504" t="s">
        <v>31</v>
      </c>
    </row>
    <row r="505" spans="9:17" x14ac:dyDescent="0.25">
      <c r="I505" t="s">
        <v>259</v>
      </c>
      <c r="J505" t="s">
        <v>143</v>
      </c>
      <c r="K505">
        <v>0</v>
      </c>
      <c r="L505" t="s">
        <v>31</v>
      </c>
      <c r="N505" t="s">
        <v>269</v>
      </c>
      <c r="O505" t="s">
        <v>143</v>
      </c>
      <c r="P505">
        <v>3.771067765970981E-3</v>
      </c>
      <c r="Q505" t="s">
        <v>31</v>
      </c>
    </row>
    <row r="506" spans="9:17" x14ac:dyDescent="0.25">
      <c r="I506" t="s">
        <v>259</v>
      </c>
      <c r="J506" t="s">
        <v>144</v>
      </c>
      <c r="K506">
        <v>0</v>
      </c>
      <c r="L506" t="s">
        <v>31</v>
      </c>
      <c r="N506" t="s">
        <v>269</v>
      </c>
      <c r="O506" t="s">
        <v>144</v>
      </c>
      <c r="P506">
        <v>1.0087584810998201E-2</v>
      </c>
      <c r="Q506" t="s">
        <v>31</v>
      </c>
    </row>
    <row r="507" spans="9:17" x14ac:dyDescent="0.25">
      <c r="I507" t="s">
        <v>259</v>
      </c>
      <c r="J507" t="s">
        <v>145</v>
      </c>
      <c r="K507">
        <v>0</v>
      </c>
      <c r="L507" t="s">
        <v>31</v>
      </c>
      <c r="N507" t="s">
        <v>269</v>
      </c>
      <c r="O507" t="s">
        <v>145</v>
      </c>
      <c r="P507">
        <v>1.9017423251175138E-2</v>
      </c>
      <c r="Q507" t="s">
        <v>31</v>
      </c>
    </row>
    <row r="508" spans="9:17" x14ac:dyDescent="0.25">
      <c r="I508" t="s">
        <v>259</v>
      </c>
      <c r="J508" t="s">
        <v>146</v>
      </c>
      <c r="K508">
        <v>1.5979949420121474E-6</v>
      </c>
      <c r="L508" t="s">
        <v>31</v>
      </c>
      <c r="N508" t="s">
        <v>269</v>
      </c>
      <c r="O508" t="s">
        <v>146</v>
      </c>
      <c r="P508">
        <v>4.0551282629395016E-3</v>
      </c>
      <c r="Q508" t="s">
        <v>31</v>
      </c>
    </row>
    <row r="509" spans="9:17" x14ac:dyDescent="0.25">
      <c r="I509" t="s">
        <v>259</v>
      </c>
      <c r="J509" t="s">
        <v>147</v>
      </c>
      <c r="K509">
        <v>8.4198439208002893E-2</v>
      </c>
      <c r="L509" t="s">
        <v>31</v>
      </c>
      <c r="N509" t="s">
        <v>269</v>
      </c>
      <c r="O509" t="s">
        <v>147</v>
      </c>
      <c r="P509">
        <v>3.6486310903012048E-2</v>
      </c>
      <c r="Q509" t="s">
        <v>31</v>
      </c>
    </row>
    <row r="510" spans="9:17" x14ac:dyDescent="0.25">
      <c r="I510" t="s">
        <v>259</v>
      </c>
      <c r="J510" t="s">
        <v>148</v>
      </c>
      <c r="K510">
        <v>1.1033520293542749E-2</v>
      </c>
      <c r="L510" t="s">
        <v>31</v>
      </c>
      <c r="N510" t="s">
        <v>269</v>
      </c>
      <c r="O510" t="s">
        <v>148</v>
      </c>
      <c r="P510">
        <v>4.0505176078140586E-3</v>
      </c>
      <c r="Q510" t="s">
        <v>31</v>
      </c>
    </row>
    <row r="511" spans="9:17" x14ac:dyDescent="0.25">
      <c r="I511" t="s">
        <v>259</v>
      </c>
      <c r="J511" t="s">
        <v>149</v>
      </c>
      <c r="K511">
        <v>2.4762053859012197E-2</v>
      </c>
      <c r="L511" t="s">
        <v>31</v>
      </c>
      <c r="N511" t="s">
        <v>269</v>
      </c>
      <c r="O511" t="s">
        <v>149</v>
      </c>
      <c r="P511">
        <v>1.1951526431610201E-2</v>
      </c>
      <c r="Q511" t="s">
        <v>31</v>
      </c>
    </row>
    <row r="512" spans="9:17" x14ac:dyDescent="0.25">
      <c r="I512" t="s">
        <v>259</v>
      </c>
      <c r="J512" t="s">
        <v>150</v>
      </c>
      <c r="K512">
        <v>3.6423978779708032E-3</v>
      </c>
      <c r="L512" t="s">
        <v>31</v>
      </c>
      <c r="N512" t="s">
        <v>269</v>
      </c>
      <c r="O512" t="s">
        <v>150</v>
      </c>
      <c r="P512">
        <v>3.8852258311426737E-3</v>
      </c>
      <c r="Q512" t="s">
        <v>31</v>
      </c>
    </row>
    <row r="513" spans="9:17" x14ac:dyDescent="0.25">
      <c r="I513" t="s">
        <v>259</v>
      </c>
      <c r="J513" t="s">
        <v>151</v>
      </c>
      <c r="K513">
        <v>6.1765608745711453E-4</v>
      </c>
      <c r="L513" t="s">
        <v>31</v>
      </c>
      <c r="N513" t="s">
        <v>269</v>
      </c>
      <c r="O513" t="s">
        <v>151</v>
      </c>
      <c r="P513">
        <v>3.8955779067274317E-3</v>
      </c>
      <c r="Q513" t="s">
        <v>31</v>
      </c>
    </row>
    <row r="514" spans="9:17" x14ac:dyDescent="0.25">
      <c r="I514" t="s">
        <v>259</v>
      </c>
      <c r="J514" t="s">
        <v>152</v>
      </c>
      <c r="K514">
        <v>0</v>
      </c>
      <c r="L514" t="s">
        <v>31</v>
      </c>
      <c r="N514" t="s">
        <v>269</v>
      </c>
      <c r="O514" t="s">
        <v>152</v>
      </c>
      <c r="P514">
        <v>1.191675698690531E-2</v>
      </c>
      <c r="Q514" t="s">
        <v>31</v>
      </c>
    </row>
    <row r="515" spans="9:17" x14ac:dyDescent="0.25">
      <c r="I515" t="s">
        <v>259</v>
      </c>
      <c r="J515" t="s">
        <v>153</v>
      </c>
      <c r="K515">
        <v>3.3510082290818144E-5</v>
      </c>
      <c r="L515" t="s">
        <v>31</v>
      </c>
      <c r="N515" t="s">
        <v>269</v>
      </c>
      <c r="O515" t="s">
        <v>153</v>
      </c>
      <c r="P515">
        <v>1.6277363237341885E-2</v>
      </c>
      <c r="Q515" t="s">
        <v>31</v>
      </c>
    </row>
    <row r="516" spans="9:17" x14ac:dyDescent="0.25">
      <c r="I516" t="s">
        <v>259</v>
      </c>
      <c r="J516" t="s">
        <v>154</v>
      </c>
      <c r="K516">
        <v>2.2948374389607788E-3</v>
      </c>
      <c r="L516" t="s">
        <v>31</v>
      </c>
      <c r="N516" t="s">
        <v>269</v>
      </c>
      <c r="O516" t="s">
        <v>154</v>
      </c>
      <c r="P516">
        <v>3.0273059237558423E-3</v>
      </c>
      <c r="Q516" t="s">
        <v>31</v>
      </c>
    </row>
    <row r="517" spans="9:17" x14ac:dyDescent="0.25">
      <c r="I517" t="s">
        <v>259</v>
      </c>
      <c r="J517" t="s">
        <v>155</v>
      </c>
      <c r="K517">
        <v>9.475183371211636E-2</v>
      </c>
      <c r="L517" t="s">
        <v>31</v>
      </c>
      <c r="N517" t="s">
        <v>269</v>
      </c>
      <c r="O517" t="s">
        <v>155</v>
      </c>
      <c r="P517">
        <v>2.6328030811913098E-2</v>
      </c>
      <c r="Q517" t="s">
        <v>31</v>
      </c>
    </row>
    <row r="518" spans="9:17" x14ac:dyDescent="0.25">
      <c r="I518" t="s">
        <v>259</v>
      </c>
      <c r="J518" t="s">
        <v>156</v>
      </c>
      <c r="K518">
        <v>1.2703254570961062E-2</v>
      </c>
      <c r="L518" t="s">
        <v>31</v>
      </c>
      <c r="N518" t="s">
        <v>269</v>
      </c>
      <c r="O518" t="s">
        <v>156</v>
      </c>
      <c r="P518">
        <v>2.9861743956497585E-3</v>
      </c>
      <c r="Q518" t="s">
        <v>31</v>
      </c>
    </row>
    <row r="519" spans="9:17" x14ac:dyDescent="0.25">
      <c r="I519" t="s">
        <v>259</v>
      </c>
      <c r="J519" t="s">
        <v>157</v>
      </c>
      <c r="K519">
        <v>2.9488665335698244E-2</v>
      </c>
      <c r="L519" t="s">
        <v>31</v>
      </c>
      <c r="N519" t="s">
        <v>269</v>
      </c>
      <c r="O519" t="s">
        <v>157</v>
      </c>
      <c r="P519">
        <v>9.193153566819455E-3</v>
      </c>
      <c r="Q519" t="s">
        <v>31</v>
      </c>
    </row>
    <row r="520" spans="9:17" x14ac:dyDescent="0.25">
      <c r="I520" t="s">
        <v>259</v>
      </c>
      <c r="J520" t="s">
        <v>158</v>
      </c>
      <c r="K520">
        <v>5.850739322805408E-3</v>
      </c>
      <c r="L520" t="s">
        <v>31</v>
      </c>
      <c r="N520" t="s">
        <v>269</v>
      </c>
      <c r="O520" t="s">
        <v>158</v>
      </c>
      <c r="P520">
        <v>3.0969055259854497E-3</v>
      </c>
      <c r="Q520" t="s">
        <v>31</v>
      </c>
    </row>
    <row r="521" spans="9:17" x14ac:dyDescent="0.25">
      <c r="I521" t="s">
        <v>259</v>
      </c>
      <c r="J521" t="s">
        <v>159</v>
      </c>
      <c r="K521">
        <v>2.9766667103186804E-3</v>
      </c>
      <c r="L521" t="s">
        <v>31</v>
      </c>
      <c r="N521" t="s">
        <v>269</v>
      </c>
      <c r="O521" t="s">
        <v>159</v>
      </c>
      <c r="P521">
        <v>3.0856967987458257E-3</v>
      </c>
      <c r="Q521" t="s">
        <v>31</v>
      </c>
    </row>
    <row r="522" spans="9:17" x14ac:dyDescent="0.25">
      <c r="I522" t="s">
        <v>259</v>
      </c>
      <c r="J522" t="s">
        <v>160</v>
      </c>
      <c r="K522">
        <v>2.9388975058872575E-4</v>
      </c>
      <c r="L522" t="s">
        <v>31</v>
      </c>
      <c r="N522" t="s">
        <v>269</v>
      </c>
      <c r="O522" t="s">
        <v>160</v>
      </c>
      <c r="P522">
        <v>9.1450616470443325E-3</v>
      </c>
      <c r="Q522" t="s">
        <v>31</v>
      </c>
    </row>
    <row r="523" spans="9:17" x14ac:dyDescent="0.25">
      <c r="I523" t="s">
        <v>259</v>
      </c>
      <c r="J523" t="s">
        <v>161</v>
      </c>
      <c r="K523">
        <v>1.0864889659409332E-3</v>
      </c>
      <c r="L523" t="s">
        <v>31</v>
      </c>
      <c r="N523" t="s">
        <v>269</v>
      </c>
      <c r="O523" t="s">
        <v>161</v>
      </c>
      <c r="P523">
        <v>1.23591112600148E-2</v>
      </c>
      <c r="Q523" t="s">
        <v>31</v>
      </c>
    </row>
    <row r="524" spans="9:17" x14ac:dyDescent="0.25">
      <c r="I524" t="s">
        <v>259</v>
      </c>
      <c r="J524" t="s">
        <v>162</v>
      </c>
      <c r="K524">
        <v>3.3552638840407155E-3</v>
      </c>
      <c r="L524" t="s">
        <v>31</v>
      </c>
      <c r="N524" t="s">
        <v>269</v>
      </c>
      <c r="O524" t="s">
        <v>162</v>
      </c>
      <c r="P524">
        <v>2.2735411966646199E-3</v>
      </c>
      <c r="Q524" t="s">
        <v>31</v>
      </c>
    </row>
    <row r="525" spans="9:17" x14ac:dyDescent="0.25">
      <c r="I525" t="s">
        <v>259</v>
      </c>
      <c r="J525" t="s">
        <v>163</v>
      </c>
      <c r="K525">
        <v>9.5678950670496102E-2</v>
      </c>
      <c r="L525" t="s">
        <v>31</v>
      </c>
      <c r="N525" t="s">
        <v>269</v>
      </c>
      <c r="O525" t="s">
        <v>163</v>
      </c>
      <c r="P525">
        <v>2.0386474607052885E-2</v>
      </c>
      <c r="Q525" t="s">
        <v>31</v>
      </c>
    </row>
    <row r="526" spans="9:17" x14ac:dyDescent="0.25">
      <c r="I526" t="s">
        <v>259</v>
      </c>
      <c r="J526" t="s">
        <v>164</v>
      </c>
      <c r="K526">
        <v>1.1360730963371654E-2</v>
      </c>
      <c r="L526" t="s">
        <v>31</v>
      </c>
      <c r="N526" t="s">
        <v>269</v>
      </c>
      <c r="O526" t="s">
        <v>164</v>
      </c>
      <c r="P526">
        <v>2.5554224202553001E-3</v>
      </c>
      <c r="Q526" t="s">
        <v>31</v>
      </c>
    </row>
    <row r="527" spans="9:17" x14ac:dyDescent="0.25">
      <c r="I527" t="s">
        <v>259</v>
      </c>
      <c r="J527" t="s">
        <v>165</v>
      </c>
      <c r="K527">
        <v>2.8522958059822207E-2</v>
      </c>
      <c r="L527" t="s">
        <v>31</v>
      </c>
      <c r="N527" t="s">
        <v>269</v>
      </c>
      <c r="O527" t="s">
        <v>165</v>
      </c>
      <c r="P527">
        <v>7.6053588456984353E-3</v>
      </c>
      <c r="Q527" t="s">
        <v>31</v>
      </c>
    </row>
    <row r="528" spans="9:17" x14ac:dyDescent="0.25">
      <c r="I528" t="s">
        <v>259</v>
      </c>
      <c r="J528" t="s">
        <v>166</v>
      </c>
      <c r="K528">
        <v>5.7052123452518656E-3</v>
      </c>
      <c r="L528" t="s">
        <v>31</v>
      </c>
      <c r="N528" t="s">
        <v>269</v>
      </c>
      <c r="O528" t="s">
        <v>166</v>
      </c>
      <c r="P528">
        <v>2.4633071944662444E-3</v>
      </c>
      <c r="Q528" t="s">
        <v>31</v>
      </c>
    </row>
    <row r="529" spans="9:17" x14ac:dyDescent="0.25">
      <c r="I529" t="s">
        <v>259</v>
      </c>
      <c r="J529" t="s">
        <v>167</v>
      </c>
      <c r="K529">
        <v>3.759875169577953E-3</v>
      </c>
      <c r="L529" t="s">
        <v>31</v>
      </c>
      <c r="N529" t="s">
        <v>269</v>
      </c>
      <c r="O529" t="s">
        <v>167</v>
      </c>
      <c r="P529">
        <v>2.443800892782848E-3</v>
      </c>
      <c r="Q529" t="s">
        <v>31</v>
      </c>
    </row>
    <row r="530" spans="9:17" x14ac:dyDescent="0.25">
      <c r="I530" t="s">
        <v>259</v>
      </c>
      <c r="J530" t="s">
        <v>168</v>
      </c>
      <c r="K530">
        <v>1.7106752169796914E-3</v>
      </c>
      <c r="L530" t="s">
        <v>31</v>
      </c>
      <c r="N530" t="s">
        <v>269</v>
      </c>
      <c r="O530" t="s">
        <v>168</v>
      </c>
      <c r="P530">
        <v>7.5280422409611187E-3</v>
      </c>
      <c r="Q530" t="s">
        <v>31</v>
      </c>
    </row>
    <row r="531" spans="9:17" x14ac:dyDescent="0.25">
      <c r="I531" t="s">
        <v>259</v>
      </c>
      <c r="J531" t="s">
        <v>169</v>
      </c>
      <c r="K531">
        <v>2.4623721627657072E-4</v>
      </c>
      <c r="L531" t="s">
        <v>31</v>
      </c>
      <c r="N531" t="s">
        <v>269</v>
      </c>
      <c r="O531" t="s">
        <v>169</v>
      </c>
      <c r="P531">
        <v>1.3249017917957694E-2</v>
      </c>
      <c r="Q531" t="s">
        <v>31</v>
      </c>
    </row>
    <row r="532" spans="9:17" x14ac:dyDescent="0.25">
      <c r="I532" t="s">
        <v>259</v>
      </c>
      <c r="J532" t="s">
        <v>170</v>
      </c>
      <c r="K532">
        <v>3.0257525251269927E-3</v>
      </c>
      <c r="L532" t="s">
        <v>31</v>
      </c>
      <c r="N532" t="s">
        <v>269</v>
      </c>
      <c r="O532" t="s">
        <v>170</v>
      </c>
      <c r="P532">
        <v>2.4338088998401364E-3</v>
      </c>
      <c r="Q532" t="s">
        <v>31</v>
      </c>
    </row>
    <row r="533" spans="9:17" x14ac:dyDescent="0.25">
      <c r="I533" t="s">
        <v>259</v>
      </c>
      <c r="J533" t="s">
        <v>171</v>
      </c>
      <c r="K533">
        <v>9.4752975594781436E-2</v>
      </c>
      <c r="L533" t="s">
        <v>31</v>
      </c>
      <c r="N533" t="s">
        <v>269</v>
      </c>
      <c r="O533" t="s">
        <v>171</v>
      </c>
      <c r="P533">
        <v>2.4387482350406133E-2</v>
      </c>
      <c r="Q533" t="s">
        <v>31</v>
      </c>
    </row>
    <row r="534" spans="9:17" x14ac:dyDescent="0.25">
      <c r="I534" t="s">
        <v>259</v>
      </c>
      <c r="J534" t="s">
        <v>172</v>
      </c>
      <c r="K534">
        <v>1.2010369571695226E-2</v>
      </c>
      <c r="L534" t="s">
        <v>31</v>
      </c>
      <c r="N534" t="s">
        <v>269</v>
      </c>
      <c r="O534" t="s">
        <v>172</v>
      </c>
      <c r="P534">
        <v>3.3042812663052245E-3</v>
      </c>
      <c r="Q534" t="s">
        <v>31</v>
      </c>
    </row>
    <row r="535" spans="9:17" x14ac:dyDescent="0.25">
      <c r="I535" t="s">
        <v>259</v>
      </c>
      <c r="J535" t="s">
        <v>173</v>
      </c>
      <c r="K535">
        <v>2.9631842076279963E-2</v>
      </c>
      <c r="L535" t="s">
        <v>31</v>
      </c>
      <c r="N535" t="s">
        <v>269</v>
      </c>
      <c r="O535" t="s">
        <v>173</v>
      </c>
      <c r="P535">
        <v>9.7074843646925493E-3</v>
      </c>
      <c r="Q535" t="s">
        <v>31</v>
      </c>
    </row>
    <row r="536" spans="9:17" x14ac:dyDescent="0.25">
      <c r="I536" t="s">
        <v>259</v>
      </c>
      <c r="J536" t="s">
        <v>174</v>
      </c>
      <c r="K536">
        <v>6.6642702424942442E-3</v>
      </c>
      <c r="L536" t="s">
        <v>31</v>
      </c>
      <c r="N536" t="s">
        <v>269</v>
      </c>
      <c r="O536" t="s">
        <v>174</v>
      </c>
      <c r="P536">
        <v>3.0851479847877512E-3</v>
      </c>
      <c r="Q536" t="s">
        <v>31</v>
      </c>
    </row>
    <row r="537" spans="9:17" x14ac:dyDescent="0.25">
      <c r="I537" t="s">
        <v>259</v>
      </c>
      <c r="J537" t="s">
        <v>175</v>
      </c>
      <c r="K537">
        <v>4.0788910774191287E-3</v>
      </c>
      <c r="L537" t="s">
        <v>31</v>
      </c>
      <c r="N537" t="s">
        <v>269</v>
      </c>
      <c r="O537" t="s">
        <v>175</v>
      </c>
      <c r="P537">
        <v>3.0993055334387711E-3</v>
      </c>
      <c r="Q537" t="s">
        <v>31</v>
      </c>
    </row>
    <row r="538" spans="9:17" x14ac:dyDescent="0.25">
      <c r="I538" t="s">
        <v>259</v>
      </c>
      <c r="J538" t="s">
        <v>176</v>
      </c>
      <c r="K538">
        <v>1.8033283723330696E-3</v>
      </c>
      <c r="L538" t="s">
        <v>31</v>
      </c>
      <c r="N538" t="s">
        <v>269</v>
      </c>
      <c r="O538" t="s">
        <v>176</v>
      </c>
      <c r="P538">
        <v>8.9611251838574105E-3</v>
      </c>
      <c r="Q538" t="s">
        <v>31</v>
      </c>
    </row>
    <row r="539" spans="9:17" x14ac:dyDescent="0.25">
      <c r="I539" t="s">
        <v>259</v>
      </c>
      <c r="J539" t="s">
        <v>177</v>
      </c>
      <c r="K539">
        <v>0</v>
      </c>
      <c r="L539" t="s">
        <v>31</v>
      </c>
      <c r="N539" t="s">
        <v>269</v>
      </c>
      <c r="O539" t="s">
        <v>177</v>
      </c>
      <c r="P539">
        <v>1.0828131920841673E-2</v>
      </c>
      <c r="Q539" t="s">
        <v>31</v>
      </c>
    </row>
    <row r="540" spans="9:17" x14ac:dyDescent="0.25">
      <c r="I540" t="s">
        <v>259</v>
      </c>
      <c r="J540" t="s">
        <v>178</v>
      </c>
      <c r="K540">
        <v>6.0886653577635742E-4</v>
      </c>
      <c r="L540" t="s">
        <v>31</v>
      </c>
      <c r="N540" t="s">
        <v>269</v>
      </c>
      <c r="O540" t="s">
        <v>178</v>
      </c>
      <c r="P540">
        <v>2.1798138102531498E-3</v>
      </c>
      <c r="Q540" t="s">
        <v>31</v>
      </c>
    </row>
    <row r="541" spans="9:17" x14ac:dyDescent="0.25">
      <c r="I541" t="s">
        <v>259</v>
      </c>
      <c r="J541" t="s">
        <v>179</v>
      </c>
      <c r="K541">
        <v>7.9353716330898133E-2</v>
      </c>
      <c r="L541" t="s">
        <v>31</v>
      </c>
      <c r="N541" t="s">
        <v>269</v>
      </c>
      <c r="O541" t="s">
        <v>179</v>
      </c>
      <c r="P541">
        <v>1.8940340001646461E-2</v>
      </c>
      <c r="Q541" t="s">
        <v>31</v>
      </c>
    </row>
    <row r="542" spans="9:17" x14ac:dyDescent="0.25">
      <c r="I542" t="s">
        <v>259</v>
      </c>
      <c r="J542" t="s">
        <v>180</v>
      </c>
      <c r="K542">
        <v>1.051366716307979E-2</v>
      </c>
      <c r="L542" t="s">
        <v>31</v>
      </c>
      <c r="N542" t="s">
        <v>269</v>
      </c>
      <c r="O542" t="s">
        <v>180</v>
      </c>
      <c r="P542">
        <v>2.0888380494942529E-3</v>
      </c>
      <c r="Q542" t="s">
        <v>31</v>
      </c>
    </row>
    <row r="543" spans="9:17" x14ac:dyDescent="0.25">
      <c r="I543" t="s">
        <v>259</v>
      </c>
      <c r="J543" t="s">
        <v>181</v>
      </c>
      <c r="K543">
        <v>2.5529289669338068E-2</v>
      </c>
      <c r="L543" t="s">
        <v>31</v>
      </c>
      <c r="N543" t="s">
        <v>269</v>
      </c>
      <c r="O543" t="s">
        <v>181</v>
      </c>
      <c r="P543">
        <v>6.384001207595154E-3</v>
      </c>
      <c r="Q543" t="s">
        <v>31</v>
      </c>
    </row>
    <row r="544" spans="9:17" x14ac:dyDescent="0.25">
      <c r="I544" t="s">
        <v>259</v>
      </c>
      <c r="J544" t="s">
        <v>182</v>
      </c>
      <c r="K544">
        <v>4.6391059379533011E-3</v>
      </c>
      <c r="L544" t="s">
        <v>31</v>
      </c>
      <c r="N544" t="s">
        <v>269</v>
      </c>
      <c r="O544" t="s">
        <v>182</v>
      </c>
      <c r="P544">
        <v>2.1959310017349138E-3</v>
      </c>
      <c r="Q544" t="s">
        <v>31</v>
      </c>
    </row>
    <row r="545" spans="9:17" x14ac:dyDescent="0.25">
      <c r="I545" t="s">
        <v>259</v>
      </c>
      <c r="J545" t="s">
        <v>183</v>
      </c>
      <c r="K545">
        <v>1.8105606074451286E-3</v>
      </c>
      <c r="L545" t="s">
        <v>31</v>
      </c>
      <c r="N545" t="s">
        <v>269</v>
      </c>
      <c r="O545" t="s">
        <v>183</v>
      </c>
      <c r="P545">
        <v>2.2178104383695925E-3</v>
      </c>
      <c r="Q545" t="s">
        <v>31</v>
      </c>
    </row>
    <row r="546" spans="9:17" x14ac:dyDescent="0.25">
      <c r="I546" t="s">
        <v>259</v>
      </c>
      <c r="J546" t="s">
        <v>184</v>
      </c>
      <c r="K546">
        <v>0</v>
      </c>
      <c r="L546" t="s">
        <v>31</v>
      </c>
      <c r="N546" t="s">
        <v>269</v>
      </c>
      <c r="O546" t="s">
        <v>184</v>
      </c>
      <c r="P546">
        <v>6.4915635787050601E-3</v>
      </c>
      <c r="Q546" t="s">
        <v>31</v>
      </c>
    </row>
    <row r="547" spans="9:17" x14ac:dyDescent="0.25">
      <c r="I547" t="s">
        <v>259</v>
      </c>
      <c r="J547" t="s">
        <v>185</v>
      </c>
      <c r="K547">
        <v>0</v>
      </c>
      <c r="L547" t="s">
        <v>31</v>
      </c>
      <c r="N547" t="s">
        <v>269</v>
      </c>
      <c r="O547" t="s">
        <v>185</v>
      </c>
      <c r="P547">
        <v>1.3414713041431431E-2</v>
      </c>
      <c r="Q547" t="s">
        <v>31</v>
      </c>
    </row>
    <row r="548" spans="9:17" x14ac:dyDescent="0.25">
      <c r="I548" t="s">
        <v>259</v>
      </c>
      <c r="J548" t="s">
        <v>186</v>
      </c>
      <c r="K548">
        <v>0</v>
      </c>
      <c r="L548" t="s">
        <v>31</v>
      </c>
      <c r="N548" t="s">
        <v>269</v>
      </c>
      <c r="O548" t="s">
        <v>186</v>
      </c>
      <c r="P548">
        <v>2.7423572054086093E-3</v>
      </c>
      <c r="Q548" t="s">
        <v>31</v>
      </c>
    </row>
    <row r="549" spans="9:17" x14ac:dyDescent="0.25">
      <c r="I549" t="s">
        <v>259</v>
      </c>
      <c r="J549" t="s">
        <v>187</v>
      </c>
      <c r="K549">
        <v>6.4345262171371237E-2</v>
      </c>
      <c r="L549" t="s">
        <v>31</v>
      </c>
      <c r="N549" t="s">
        <v>269</v>
      </c>
      <c r="O549" t="s">
        <v>187</v>
      </c>
      <c r="P549">
        <v>2.4147570222827121E-2</v>
      </c>
      <c r="Q549" t="s">
        <v>31</v>
      </c>
    </row>
    <row r="550" spans="9:17" x14ac:dyDescent="0.25">
      <c r="I550" t="s">
        <v>259</v>
      </c>
      <c r="J550" t="s">
        <v>188</v>
      </c>
      <c r="K550">
        <v>8.9574470643704138E-3</v>
      </c>
      <c r="L550" t="s">
        <v>31</v>
      </c>
      <c r="N550" t="s">
        <v>269</v>
      </c>
      <c r="O550" t="s">
        <v>188</v>
      </c>
      <c r="P550">
        <v>2.5723416999614622E-3</v>
      </c>
      <c r="Q550" t="s">
        <v>31</v>
      </c>
    </row>
    <row r="551" spans="9:17" x14ac:dyDescent="0.25">
      <c r="I551" t="s">
        <v>259</v>
      </c>
      <c r="J551" t="s">
        <v>189</v>
      </c>
      <c r="K551">
        <v>1.7932625613388081E-2</v>
      </c>
      <c r="L551" t="s">
        <v>31</v>
      </c>
      <c r="N551" t="s">
        <v>269</v>
      </c>
      <c r="O551" t="s">
        <v>189</v>
      </c>
      <c r="P551">
        <v>8.5989387221216494E-3</v>
      </c>
      <c r="Q551" t="s">
        <v>31</v>
      </c>
    </row>
    <row r="552" spans="9:17" x14ac:dyDescent="0.25">
      <c r="I552" t="s">
        <v>259</v>
      </c>
      <c r="J552" t="s">
        <v>190</v>
      </c>
      <c r="K552">
        <v>1.1273184373715762E-3</v>
      </c>
      <c r="L552" t="s">
        <v>31</v>
      </c>
      <c r="N552" t="s">
        <v>269</v>
      </c>
      <c r="O552" t="s">
        <v>190</v>
      </c>
      <c r="P552">
        <v>3.0455539504721314E-3</v>
      </c>
      <c r="Q552" t="s">
        <v>31</v>
      </c>
    </row>
    <row r="553" spans="9:17" x14ac:dyDescent="0.25">
      <c r="I553" t="s">
        <v>259</v>
      </c>
      <c r="J553" t="s">
        <v>191</v>
      </c>
      <c r="K553">
        <v>0</v>
      </c>
      <c r="L553" t="s">
        <v>31</v>
      </c>
      <c r="N553" t="s">
        <v>269</v>
      </c>
      <c r="O553" t="s">
        <v>191</v>
      </c>
      <c r="P553">
        <v>3.0500856393189386E-3</v>
      </c>
      <c r="Q553" t="s">
        <v>31</v>
      </c>
    </row>
    <row r="554" spans="9:17" x14ac:dyDescent="0.25">
      <c r="I554" t="s">
        <v>259</v>
      </c>
      <c r="J554" t="s">
        <v>192</v>
      </c>
      <c r="K554">
        <v>0</v>
      </c>
      <c r="L554" t="s">
        <v>31</v>
      </c>
      <c r="N554" t="s">
        <v>269</v>
      </c>
      <c r="O554" t="s">
        <v>192</v>
      </c>
      <c r="P554">
        <v>8.8989408350922498E-3</v>
      </c>
      <c r="Q554" t="s">
        <v>31</v>
      </c>
    </row>
    <row r="555" spans="9:17" x14ac:dyDescent="0.25">
      <c r="I555" t="s">
        <v>259</v>
      </c>
      <c r="J555" t="s">
        <v>193</v>
      </c>
      <c r="K555">
        <v>0</v>
      </c>
      <c r="L555" t="s">
        <v>31</v>
      </c>
      <c r="N555" t="s">
        <v>269</v>
      </c>
      <c r="O555" t="s">
        <v>193</v>
      </c>
      <c r="P555">
        <v>2.0943324799647056E-2</v>
      </c>
      <c r="Q555" t="s">
        <v>31</v>
      </c>
    </row>
    <row r="556" spans="9:17" x14ac:dyDescent="0.25">
      <c r="I556" t="s">
        <v>259</v>
      </c>
      <c r="J556" t="s">
        <v>194</v>
      </c>
      <c r="K556">
        <v>0</v>
      </c>
      <c r="L556" t="s">
        <v>31</v>
      </c>
      <c r="N556" t="s">
        <v>269</v>
      </c>
      <c r="O556" t="s">
        <v>194</v>
      </c>
      <c r="P556">
        <v>4.1796499292267144E-3</v>
      </c>
      <c r="Q556" t="s">
        <v>31</v>
      </c>
    </row>
    <row r="557" spans="9:17" x14ac:dyDescent="0.25">
      <c r="I557" t="s">
        <v>259</v>
      </c>
      <c r="J557" t="s">
        <v>195</v>
      </c>
      <c r="K557">
        <v>2.8660929714589219E-2</v>
      </c>
      <c r="L557" t="s">
        <v>31</v>
      </c>
      <c r="N557" t="s">
        <v>269</v>
      </c>
      <c r="O557" t="s">
        <v>195</v>
      </c>
      <c r="P557">
        <v>3.8594145638266464E-2</v>
      </c>
      <c r="Q557" t="s">
        <v>31</v>
      </c>
    </row>
    <row r="558" spans="9:17" x14ac:dyDescent="0.25">
      <c r="I558" t="s">
        <v>259</v>
      </c>
      <c r="J558" t="s">
        <v>196</v>
      </c>
      <c r="K558">
        <v>4.2748600280489643E-3</v>
      </c>
      <c r="L558" t="s">
        <v>31</v>
      </c>
      <c r="N558" t="s">
        <v>269</v>
      </c>
      <c r="O558" t="s">
        <v>196</v>
      </c>
      <c r="P558">
        <v>4.1977833399114931E-3</v>
      </c>
      <c r="Q558" t="s">
        <v>31</v>
      </c>
    </row>
    <row r="559" spans="9:17" x14ac:dyDescent="0.25">
      <c r="I559" t="s">
        <v>259</v>
      </c>
      <c r="J559" t="s">
        <v>197</v>
      </c>
      <c r="K559">
        <v>4.8297163299620303E-3</v>
      </c>
      <c r="L559" t="s">
        <v>31</v>
      </c>
      <c r="N559" t="s">
        <v>269</v>
      </c>
      <c r="O559" t="s">
        <v>197</v>
      </c>
      <c r="P559">
        <v>1.2688605625850254E-2</v>
      </c>
      <c r="Q559" t="s">
        <v>31</v>
      </c>
    </row>
    <row r="560" spans="9:17" x14ac:dyDescent="0.25">
      <c r="I560" t="s">
        <v>259</v>
      </c>
      <c r="J560" t="s">
        <v>198</v>
      </c>
      <c r="K560">
        <v>0</v>
      </c>
      <c r="L560" t="s">
        <v>31</v>
      </c>
      <c r="N560" t="s">
        <v>269</v>
      </c>
      <c r="O560" t="s">
        <v>198</v>
      </c>
      <c r="P560">
        <v>4.186646365032653E-3</v>
      </c>
      <c r="Q560" t="s">
        <v>31</v>
      </c>
    </row>
    <row r="561" spans="9:17" x14ac:dyDescent="0.25">
      <c r="I561" t="s">
        <v>259</v>
      </c>
      <c r="J561" t="s">
        <v>199</v>
      </c>
      <c r="K561">
        <v>0</v>
      </c>
      <c r="L561" t="s">
        <v>31</v>
      </c>
      <c r="N561" t="s">
        <v>269</v>
      </c>
      <c r="O561" t="s">
        <v>199</v>
      </c>
      <c r="P561">
        <v>4.1856555676755497E-3</v>
      </c>
      <c r="Q561" t="s">
        <v>31</v>
      </c>
    </row>
    <row r="562" spans="9:17" x14ac:dyDescent="0.25">
      <c r="I562" t="s">
        <v>259</v>
      </c>
      <c r="J562" t="s">
        <v>200</v>
      </c>
      <c r="K562">
        <v>0</v>
      </c>
      <c r="L562" t="s">
        <v>31</v>
      </c>
      <c r="N562" t="s">
        <v>269</v>
      </c>
      <c r="O562" t="s">
        <v>200</v>
      </c>
      <c r="P562">
        <v>1.302626194222594E-2</v>
      </c>
      <c r="Q562" t="s">
        <v>31</v>
      </c>
    </row>
    <row r="563" spans="9:17" x14ac:dyDescent="0.25">
      <c r="I563" t="s">
        <v>259</v>
      </c>
      <c r="J563" t="s">
        <v>201</v>
      </c>
      <c r="K563">
        <v>0</v>
      </c>
      <c r="L563" t="s">
        <v>31</v>
      </c>
      <c r="N563" t="s">
        <v>269</v>
      </c>
      <c r="O563" t="s">
        <v>201</v>
      </c>
      <c r="P563">
        <v>2.3025577895510151E-2</v>
      </c>
      <c r="Q563" t="s">
        <v>31</v>
      </c>
    </row>
    <row r="564" spans="9:17" x14ac:dyDescent="0.25">
      <c r="I564" t="s">
        <v>259</v>
      </c>
      <c r="J564" t="s">
        <v>202</v>
      </c>
      <c r="K564">
        <v>0</v>
      </c>
      <c r="L564" t="s">
        <v>31</v>
      </c>
      <c r="N564" t="s">
        <v>269</v>
      </c>
      <c r="O564" t="s">
        <v>202</v>
      </c>
      <c r="P564">
        <v>4.3629421465161983E-3</v>
      </c>
      <c r="Q564" t="s">
        <v>31</v>
      </c>
    </row>
    <row r="565" spans="9:17" x14ac:dyDescent="0.25">
      <c r="I565" t="s">
        <v>259</v>
      </c>
      <c r="J565" t="s">
        <v>203</v>
      </c>
      <c r="K565">
        <v>1.2092888687475101E-2</v>
      </c>
      <c r="L565" t="s">
        <v>31</v>
      </c>
      <c r="N565" t="s">
        <v>269</v>
      </c>
      <c r="O565" t="s">
        <v>203</v>
      </c>
      <c r="P565">
        <v>3.9423359964118589E-2</v>
      </c>
      <c r="Q565" t="s">
        <v>31</v>
      </c>
    </row>
    <row r="566" spans="9:17" x14ac:dyDescent="0.25">
      <c r="I566" t="s">
        <v>259</v>
      </c>
      <c r="J566" t="s">
        <v>204</v>
      </c>
      <c r="K566">
        <v>1.5947187723850151E-3</v>
      </c>
      <c r="L566" t="s">
        <v>31</v>
      </c>
      <c r="N566" t="s">
        <v>269</v>
      </c>
      <c r="O566" t="s">
        <v>204</v>
      </c>
      <c r="P566">
        <v>4.546909942324315E-3</v>
      </c>
      <c r="Q566" t="s">
        <v>31</v>
      </c>
    </row>
    <row r="567" spans="9:17" x14ac:dyDescent="0.25">
      <c r="I567" t="s">
        <v>259</v>
      </c>
      <c r="J567" t="s">
        <v>205</v>
      </c>
      <c r="K567">
        <v>2.5946071685456224E-4</v>
      </c>
      <c r="L567" t="s">
        <v>31</v>
      </c>
      <c r="N567" t="s">
        <v>269</v>
      </c>
      <c r="O567" t="s">
        <v>205</v>
      </c>
      <c r="P567">
        <v>1.4181559015853468E-2</v>
      </c>
      <c r="Q567" t="s">
        <v>31</v>
      </c>
    </row>
    <row r="568" spans="9:17" x14ac:dyDescent="0.25">
      <c r="I568" t="s">
        <v>259</v>
      </c>
      <c r="J568" t="s">
        <v>206</v>
      </c>
      <c r="K568">
        <v>0</v>
      </c>
      <c r="L568" t="s">
        <v>31</v>
      </c>
      <c r="N568" t="s">
        <v>269</v>
      </c>
      <c r="O568" t="s">
        <v>206</v>
      </c>
      <c r="P568">
        <v>4.8982633655495697E-3</v>
      </c>
      <c r="Q568" t="s">
        <v>31</v>
      </c>
    </row>
    <row r="569" spans="9:17" x14ac:dyDescent="0.25">
      <c r="I569" t="s">
        <v>259</v>
      </c>
      <c r="J569" t="s">
        <v>207</v>
      </c>
      <c r="K569">
        <v>0</v>
      </c>
      <c r="L569" t="s">
        <v>31</v>
      </c>
      <c r="N569" t="s">
        <v>269</v>
      </c>
      <c r="O569" t="s">
        <v>207</v>
      </c>
      <c r="P569">
        <v>4.8974972987533187E-3</v>
      </c>
      <c r="Q569" t="s">
        <v>31</v>
      </c>
    </row>
    <row r="570" spans="9:17" x14ac:dyDescent="0.25">
      <c r="I570" t="s">
        <v>259</v>
      </c>
      <c r="J570" t="s">
        <v>208</v>
      </c>
      <c r="K570">
        <v>0</v>
      </c>
      <c r="L570" t="s">
        <v>31</v>
      </c>
      <c r="N570" t="s">
        <v>269</v>
      </c>
      <c r="O570" t="s">
        <v>208</v>
      </c>
      <c r="P570">
        <v>1.4381622889702992E-2</v>
      </c>
      <c r="Q570" t="s">
        <v>31</v>
      </c>
    </row>
    <row r="571" spans="9:17" x14ac:dyDescent="0.25">
      <c r="I571" t="s">
        <v>259</v>
      </c>
      <c r="J571" t="s">
        <v>209</v>
      </c>
      <c r="K571">
        <v>0</v>
      </c>
      <c r="L571" t="s">
        <v>31</v>
      </c>
      <c r="N571" t="s">
        <v>269</v>
      </c>
      <c r="O571" t="s">
        <v>209</v>
      </c>
      <c r="P571">
        <v>2.8072250885638337E-2</v>
      </c>
      <c r="Q571" t="s">
        <v>31</v>
      </c>
    </row>
    <row r="572" spans="9:17" x14ac:dyDescent="0.25">
      <c r="I572" t="s">
        <v>259</v>
      </c>
      <c r="J572" t="s">
        <v>210</v>
      </c>
      <c r="K572">
        <v>0</v>
      </c>
      <c r="L572" t="s">
        <v>31</v>
      </c>
      <c r="N572" t="s">
        <v>269</v>
      </c>
      <c r="O572" t="s">
        <v>210</v>
      </c>
      <c r="P572">
        <v>5.5896667703824411E-3</v>
      </c>
      <c r="Q572" t="s">
        <v>31</v>
      </c>
    </row>
    <row r="573" spans="9:17" x14ac:dyDescent="0.25">
      <c r="I573" t="s">
        <v>259</v>
      </c>
      <c r="J573" t="s">
        <v>211</v>
      </c>
      <c r="K573">
        <v>4.5263023002266442E-3</v>
      </c>
      <c r="L573" t="s">
        <v>31</v>
      </c>
      <c r="N573" t="s">
        <v>269</v>
      </c>
      <c r="O573" t="s">
        <v>211</v>
      </c>
      <c r="P573">
        <v>5.2160498067877814E-2</v>
      </c>
      <c r="Q573" t="s">
        <v>31</v>
      </c>
    </row>
    <row r="574" spans="9:17" x14ac:dyDescent="0.25">
      <c r="I574" t="s">
        <v>259</v>
      </c>
      <c r="J574" t="s">
        <v>212</v>
      </c>
      <c r="K574">
        <v>6.3906024040864611E-4</v>
      </c>
      <c r="L574" t="s">
        <v>31</v>
      </c>
      <c r="N574" t="s">
        <v>269</v>
      </c>
      <c r="O574" t="s">
        <v>212</v>
      </c>
      <c r="P574">
        <v>5.7232433259009723E-3</v>
      </c>
      <c r="Q574" t="s">
        <v>31</v>
      </c>
    </row>
    <row r="575" spans="9:17" x14ac:dyDescent="0.25">
      <c r="I575" t="s">
        <v>259</v>
      </c>
      <c r="J575" t="s">
        <v>213</v>
      </c>
      <c r="K575">
        <v>0</v>
      </c>
      <c r="L575" t="s">
        <v>31</v>
      </c>
      <c r="N575" t="s">
        <v>269</v>
      </c>
      <c r="O575" t="s">
        <v>213</v>
      </c>
      <c r="P575">
        <v>1.7713351772220418E-2</v>
      </c>
      <c r="Q575" t="s">
        <v>31</v>
      </c>
    </row>
    <row r="576" spans="9:17" x14ac:dyDescent="0.25">
      <c r="I576" t="s">
        <v>259</v>
      </c>
      <c r="J576" t="s">
        <v>214</v>
      </c>
      <c r="K576">
        <v>0</v>
      </c>
      <c r="L576" t="s">
        <v>31</v>
      </c>
      <c r="N576" t="s">
        <v>269</v>
      </c>
      <c r="O576" t="s">
        <v>214</v>
      </c>
      <c r="P576">
        <v>6.0051350434172949E-3</v>
      </c>
      <c r="Q576" t="s">
        <v>31</v>
      </c>
    </row>
    <row r="577" spans="9:17" x14ac:dyDescent="0.25">
      <c r="I577" t="s">
        <v>259</v>
      </c>
      <c r="J577" t="s">
        <v>215</v>
      </c>
      <c r="K577">
        <v>0</v>
      </c>
      <c r="L577" t="s">
        <v>31</v>
      </c>
      <c r="N577" t="s">
        <v>269</v>
      </c>
      <c r="O577" t="s">
        <v>215</v>
      </c>
      <c r="P577">
        <v>5.980710060184042E-3</v>
      </c>
      <c r="Q577" t="s">
        <v>31</v>
      </c>
    </row>
    <row r="578" spans="9:17" x14ac:dyDescent="0.25">
      <c r="I578" t="s">
        <v>259</v>
      </c>
      <c r="J578" t="s">
        <v>216</v>
      </c>
      <c r="K578">
        <v>0</v>
      </c>
      <c r="L578" t="s">
        <v>31</v>
      </c>
      <c r="N578" t="s">
        <v>269</v>
      </c>
      <c r="O578" t="s">
        <v>216</v>
      </c>
      <c r="P578">
        <v>1.7593816799919105E-2</v>
      </c>
      <c r="Q578" t="s">
        <v>31</v>
      </c>
    </row>
    <row r="579" spans="9:17" x14ac:dyDescent="0.25">
      <c r="I579" t="s">
        <v>260</v>
      </c>
      <c r="J579" t="s">
        <v>121</v>
      </c>
      <c r="K579">
        <v>0</v>
      </c>
      <c r="L579" t="s">
        <v>31</v>
      </c>
    </row>
    <row r="580" spans="9:17" x14ac:dyDescent="0.25">
      <c r="I580" t="s">
        <v>260</v>
      </c>
      <c r="J580" t="s">
        <v>122</v>
      </c>
      <c r="K580">
        <v>0</v>
      </c>
      <c r="L580" t="s">
        <v>31</v>
      </c>
    </row>
    <row r="581" spans="9:17" x14ac:dyDescent="0.25">
      <c r="I581" t="s">
        <v>260</v>
      </c>
      <c r="J581" t="s">
        <v>123</v>
      </c>
      <c r="K581">
        <v>8.244810902901795E-3</v>
      </c>
      <c r="L581" t="s">
        <v>31</v>
      </c>
    </row>
    <row r="582" spans="9:17" x14ac:dyDescent="0.25">
      <c r="I582" t="s">
        <v>260</v>
      </c>
      <c r="J582" t="s">
        <v>124</v>
      </c>
      <c r="K582">
        <v>1.4127396844557706E-3</v>
      </c>
      <c r="L582" t="s">
        <v>31</v>
      </c>
    </row>
    <row r="583" spans="9:17" x14ac:dyDescent="0.25">
      <c r="I583" t="s">
        <v>260</v>
      </c>
      <c r="J583" t="s">
        <v>125</v>
      </c>
      <c r="K583">
        <v>6.1816345125984083E-4</v>
      </c>
      <c r="L583" t="s">
        <v>31</v>
      </c>
    </row>
    <row r="584" spans="9:17" x14ac:dyDescent="0.25">
      <c r="I584" t="s">
        <v>260</v>
      </c>
      <c r="J584" t="s">
        <v>126</v>
      </c>
      <c r="K584">
        <v>0</v>
      </c>
      <c r="L584" t="s">
        <v>31</v>
      </c>
    </row>
    <row r="585" spans="9:17" x14ac:dyDescent="0.25">
      <c r="I585" t="s">
        <v>260</v>
      </c>
      <c r="J585" t="s">
        <v>127</v>
      </c>
      <c r="K585">
        <v>0</v>
      </c>
      <c r="L585" t="s">
        <v>31</v>
      </c>
    </row>
    <row r="586" spans="9:17" x14ac:dyDescent="0.25">
      <c r="I586" t="s">
        <v>260</v>
      </c>
      <c r="J586" t="s">
        <v>128</v>
      </c>
      <c r="K586">
        <v>0</v>
      </c>
      <c r="L586" t="s">
        <v>31</v>
      </c>
    </row>
    <row r="587" spans="9:17" x14ac:dyDescent="0.25">
      <c r="I587" t="s">
        <v>260</v>
      </c>
      <c r="J587" t="s">
        <v>129</v>
      </c>
      <c r="K587">
        <v>0</v>
      </c>
      <c r="L587" t="s">
        <v>31</v>
      </c>
    </row>
    <row r="588" spans="9:17" x14ac:dyDescent="0.25">
      <c r="I588" t="s">
        <v>260</v>
      </c>
      <c r="J588" t="s">
        <v>130</v>
      </c>
      <c r="K588">
        <v>0</v>
      </c>
      <c r="L588" t="s">
        <v>31</v>
      </c>
    </row>
    <row r="589" spans="9:17" x14ac:dyDescent="0.25">
      <c r="I589" t="s">
        <v>260</v>
      </c>
      <c r="J589" t="s">
        <v>131</v>
      </c>
      <c r="K589">
        <v>2.0491651333539897E-2</v>
      </c>
      <c r="L589" t="s">
        <v>31</v>
      </c>
    </row>
    <row r="590" spans="9:17" x14ac:dyDescent="0.25">
      <c r="I590" t="s">
        <v>260</v>
      </c>
      <c r="J590" t="s">
        <v>132</v>
      </c>
      <c r="K590">
        <v>3.4699017702487403E-3</v>
      </c>
      <c r="L590" t="s">
        <v>31</v>
      </c>
    </row>
    <row r="591" spans="9:17" x14ac:dyDescent="0.25">
      <c r="I591" t="s">
        <v>260</v>
      </c>
      <c r="J591" t="s">
        <v>133</v>
      </c>
      <c r="K591">
        <v>3.6213769630866659E-3</v>
      </c>
      <c r="L591" t="s">
        <v>31</v>
      </c>
    </row>
    <row r="592" spans="9:17" x14ac:dyDescent="0.25">
      <c r="I592" t="s">
        <v>260</v>
      </c>
      <c r="J592" t="s">
        <v>134</v>
      </c>
      <c r="K592">
        <v>0</v>
      </c>
      <c r="L592" t="s">
        <v>31</v>
      </c>
    </row>
    <row r="593" spans="9:12" x14ac:dyDescent="0.25">
      <c r="I593" t="s">
        <v>260</v>
      </c>
      <c r="J593" t="s">
        <v>135</v>
      </c>
      <c r="K593">
        <v>0</v>
      </c>
      <c r="L593" t="s">
        <v>31</v>
      </c>
    </row>
    <row r="594" spans="9:12" x14ac:dyDescent="0.25">
      <c r="I594" t="s">
        <v>260</v>
      </c>
      <c r="J594" t="s">
        <v>136</v>
      </c>
      <c r="K594">
        <v>0</v>
      </c>
      <c r="L594" t="s">
        <v>31</v>
      </c>
    </row>
    <row r="595" spans="9:12" x14ac:dyDescent="0.25">
      <c r="I595" t="s">
        <v>260</v>
      </c>
      <c r="J595" t="s">
        <v>137</v>
      </c>
      <c r="K595">
        <v>0</v>
      </c>
      <c r="L595" t="s">
        <v>31</v>
      </c>
    </row>
    <row r="596" spans="9:12" x14ac:dyDescent="0.25">
      <c r="I596" t="s">
        <v>260</v>
      </c>
      <c r="J596" t="s">
        <v>138</v>
      </c>
      <c r="K596">
        <v>0</v>
      </c>
      <c r="L596" t="s">
        <v>31</v>
      </c>
    </row>
    <row r="597" spans="9:12" x14ac:dyDescent="0.25">
      <c r="I597" t="s">
        <v>260</v>
      </c>
      <c r="J597" t="s">
        <v>139</v>
      </c>
      <c r="K597">
        <v>7.8267129520329284E-2</v>
      </c>
      <c r="L597" t="s">
        <v>31</v>
      </c>
    </row>
    <row r="598" spans="9:12" x14ac:dyDescent="0.25">
      <c r="I598" t="s">
        <v>260</v>
      </c>
      <c r="J598" t="s">
        <v>140</v>
      </c>
      <c r="K598">
        <v>1.2311100614487243E-2</v>
      </c>
      <c r="L598" t="s">
        <v>31</v>
      </c>
    </row>
    <row r="599" spans="9:12" x14ac:dyDescent="0.25">
      <c r="I599" t="s">
        <v>260</v>
      </c>
      <c r="J599" t="s">
        <v>141</v>
      </c>
      <c r="K599">
        <v>2.3495211201224182E-2</v>
      </c>
      <c r="L599" t="s">
        <v>31</v>
      </c>
    </row>
    <row r="600" spans="9:12" x14ac:dyDescent="0.25">
      <c r="I600" t="s">
        <v>260</v>
      </c>
      <c r="J600" t="s">
        <v>142</v>
      </c>
      <c r="K600">
        <v>3.2923404097034135E-4</v>
      </c>
      <c r="L600" t="s">
        <v>31</v>
      </c>
    </row>
    <row r="601" spans="9:12" x14ac:dyDescent="0.25">
      <c r="I601" t="s">
        <v>260</v>
      </c>
      <c r="J601" t="s">
        <v>143</v>
      </c>
      <c r="K601">
        <v>0</v>
      </c>
      <c r="L601" t="s">
        <v>31</v>
      </c>
    </row>
    <row r="602" spans="9:12" x14ac:dyDescent="0.25">
      <c r="I602" t="s">
        <v>260</v>
      </c>
      <c r="J602" t="s">
        <v>144</v>
      </c>
      <c r="K602">
        <v>0</v>
      </c>
      <c r="L602" t="s">
        <v>31</v>
      </c>
    </row>
    <row r="603" spans="9:12" x14ac:dyDescent="0.25">
      <c r="I603" t="s">
        <v>260</v>
      </c>
      <c r="J603" t="s">
        <v>145</v>
      </c>
      <c r="K603">
        <v>0</v>
      </c>
      <c r="L603" t="s">
        <v>31</v>
      </c>
    </row>
    <row r="604" spans="9:12" x14ac:dyDescent="0.25">
      <c r="I604" t="s">
        <v>260</v>
      </c>
      <c r="J604" t="s">
        <v>146</v>
      </c>
      <c r="K604">
        <v>1.5979949420121474E-6</v>
      </c>
      <c r="L604" t="s">
        <v>31</v>
      </c>
    </row>
    <row r="605" spans="9:12" x14ac:dyDescent="0.25">
      <c r="I605" t="s">
        <v>260</v>
      </c>
      <c r="J605" t="s">
        <v>147</v>
      </c>
      <c r="K605">
        <v>8.4198439208002893E-2</v>
      </c>
      <c r="L605" t="s">
        <v>31</v>
      </c>
    </row>
    <row r="606" spans="9:12" x14ac:dyDescent="0.25">
      <c r="I606" t="s">
        <v>260</v>
      </c>
      <c r="J606" t="s">
        <v>148</v>
      </c>
      <c r="K606">
        <v>1.1033520293542749E-2</v>
      </c>
      <c r="L606" t="s">
        <v>31</v>
      </c>
    </row>
    <row r="607" spans="9:12" x14ac:dyDescent="0.25">
      <c r="I607" t="s">
        <v>260</v>
      </c>
      <c r="J607" t="s">
        <v>149</v>
      </c>
      <c r="K607">
        <v>2.4762053859012197E-2</v>
      </c>
      <c r="L607" t="s">
        <v>31</v>
      </c>
    </row>
    <row r="608" spans="9:12" x14ac:dyDescent="0.25">
      <c r="I608" t="s">
        <v>260</v>
      </c>
      <c r="J608" t="s">
        <v>150</v>
      </c>
      <c r="K608">
        <v>3.6423978779708032E-3</v>
      </c>
      <c r="L608" t="s">
        <v>31</v>
      </c>
    </row>
    <row r="609" spans="9:12" x14ac:dyDescent="0.25">
      <c r="I609" t="s">
        <v>260</v>
      </c>
      <c r="J609" t="s">
        <v>151</v>
      </c>
      <c r="K609">
        <v>6.1765608745711453E-4</v>
      </c>
      <c r="L609" t="s">
        <v>31</v>
      </c>
    </row>
    <row r="610" spans="9:12" x14ac:dyDescent="0.25">
      <c r="I610" t="s">
        <v>260</v>
      </c>
      <c r="J610" t="s">
        <v>152</v>
      </c>
      <c r="K610">
        <v>0</v>
      </c>
      <c r="L610" t="s">
        <v>31</v>
      </c>
    </row>
    <row r="611" spans="9:12" x14ac:dyDescent="0.25">
      <c r="I611" t="s">
        <v>260</v>
      </c>
      <c r="J611" t="s">
        <v>153</v>
      </c>
      <c r="K611">
        <v>3.3510082290818144E-5</v>
      </c>
      <c r="L611" t="s">
        <v>31</v>
      </c>
    </row>
    <row r="612" spans="9:12" x14ac:dyDescent="0.25">
      <c r="I612" t="s">
        <v>260</v>
      </c>
      <c r="J612" t="s">
        <v>154</v>
      </c>
      <c r="K612">
        <v>2.2948374389607788E-3</v>
      </c>
      <c r="L612" t="s">
        <v>31</v>
      </c>
    </row>
    <row r="613" spans="9:12" x14ac:dyDescent="0.25">
      <c r="I613" t="s">
        <v>260</v>
      </c>
      <c r="J613" t="s">
        <v>155</v>
      </c>
      <c r="K613">
        <v>9.475183371211636E-2</v>
      </c>
      <c r="L613" t="s">
        <v>31</v>
      </c>
    </row>
    <row r="614" spans="9:12" x14ac:dyDescent="0.25">
      <c r="I614" t="s">
        <v>260</v>
      </c>
      <c r="J614" t="s">
        <v>156</v>
      </c>
      <c r="K614">
        <v>1.2703254570961062E-2</v>
      </c>
      <c r="L614" t="s">
        <v>31</v>
      </c>
    </row>
    <row r="615" spans="9:12" x14ac:dyDescent="0.25">
      <c r="I615" t="s">
        <v>260</v>
      </c>
      <c r="J615" t="s">
        <v>157</v>
      </c>
      <c r="K615">
        <v>2.9488665335698244E-2</v>
      </c>
      <c r="L615" t="s">
        <v>31</v>
      </c>
    </row>
    <row r="616" spans="9:12" x14ac:dyDescent="0.25">
      <c r="I616" t="s">
        <v>260</v>
      </c>
      <c r="J616" t="s">
        <v>158</v>
      </c>
      <c r="K616">
        <v>5.850739322805408E-3</v>
      </c>
      <c r="L616" t="s">
        <v>31</v>
      </c>
    </row>
    <row r="617" spans="9:12" x14ac:dyDescent="0.25">
      <c r="I617" t="s">
        <v>260</v>
      </c>
      <c r="J617" t="s">
        <v>159</v>
      </c>
      <c r="K617">
        <v>2.9766667103186804E-3</v>
      </c>
      <c r="L617" t="s">
        <v>31</v>
      </c>
    </row>
    <row r="618" spans="9:12" x14ac:dyDescent="0.25">
      <c r="I618" t="s">
        <v>260</v>
      </c>
      <c r="J618" t="s">
        <v>160</v>
      </c>
      <c r="K618">
        <v>2.9388975058872575E-4</v>
      </c>
      <c r="L618" t="s">
        <v>31</v>
      </c>
    </row>
    <row r="619" spans="9:12" x14ac:dyDescent="0.25">
      <c r="I619" t="s">
        <v>260</v>
      </c>
      <c r="J619" t="s">
        <v>161</v>
      </c>
      <c r="K619">
        <v>1.0864889659409332E-3</v>
      </c>
      <c r="L619" t="s">
        <v>31</v>
      </c>
    </row>
    <row r="620" spans="9:12" x14ac:dyDescent="0.25">
      <c r="I620" t="s">
        <v>260</v>
      </c>
      <c r="J620" t="s">
        <v>162</v>
      </c>
      <c r="K620">
        <v>3.3552638840407155E-3</v>
      </c>
      <c r="L620" t="s">
        <v>31</v>
      </c>
    </row>
    <row r="621" spans="9:12" x14ac:dyDescent="0.25">
      <c r="I621" t="s">
        <v>260</v>
      </c>
      <c r="J621" t="s">
        <v>163</v>
      </c>
      <c r="K621">
        <v>9.5678950670496102E-2</v>
      </c>
      <c r="L621" t="s">
        <v>31</v>
      </c>
    </row>
    <row r="622" spans="9:12" x14ac:dyDescent="0.25">
      <c r="I622" t="s">
        <v>260</v>
      </c>
      <c r="J622" t="s">
        <v>164</v>
      </c>
      <c r="K622">
        <v>1.1360730963371654E-2</v>
      </c>
      <c r="L622" t="s">
        <v>31</v>
      </c>
    </row>
    <row r="623" spans="9:12" x14ac:dyDescent="0.25">
      <c r="I623" t="s">
        <v>260</v>
      </c>
      <c r="J623" t="s">
        <v>165</v>
      </c>
      <c r="K623">
        <v>2.8522958059822207E-2</v>
      </c>
      <c r="L623" t="s">
        <v>31</v>
      </c>
    </row>
    <row r="624" spans="9:12" x14ac:dyDescent="0.25">
      <c r="I624" t="s">
        <v>260</v>
      </c>
      <c r="J624" t="s">
        <v>166</v>
      </c>
      <c r="K624">
        <v>5.7052123452518656E-3</v>
      </c>
      <c r="L624" t="s">
        <v>31</v>
      </c>
    </row>
    <row r="625" spans="9:12" x14ac:dyDescent="0.25">
      <c r="I625" t="s">
        <v>260</v>
      </c>
      <c r="J625" t="s">
        <v>167</v>
      </c>
      <c r="K625">
        <v>3.759875169577953E-3</v>
      </c>
      <c r="L625" t="s">
        <v>31</v>
      </c>
    </row>
    <row r="626" spans="9:12" x14ac:dyDescent="0.25">
      <c r="I626" t="s">
        <v>260</v>
      </c>
      <c r="J626" t="s">
        <v>168</v>
      </c>
      <c r="K626">
        <v>1.7106752169796914E-3</v>
      </c>
      <c r="L626" t="s">
        <v>31</v>
      </c>
    </row>
    <row r="627" spans="9:12" x14ac:dyDescent="0.25">
      <c r="I627" t="s">
        <v>260</v>
      </c>
      <c r="J627" t="s">
        <v>169</v>
      </c>
      <c r="K627">
        <v>2.4623721627657072E-4</v>
      </c>
      <c r="L627" t="s">
        <v>31</v>
      </c>
    </row>
    <row r="628" spans="9:12" x14ac:dyDescent="0.25">
      <c r="I628" t="s">
        <v>260</v>
      </c>
      <c r="J628" t="s">
        <v>170</v>
      </c>
      <c r="K628">
        <v>3.0257525251269927E-3</v>
      </c>
      <c r="L628" t="s">
        <v>31</v>
      </c>
    </row>
    <row r="629" spans="9:12" x14ac:dyDescent="0.25">
      <c r="I629" t="s">
        <v>260</v>
      </c>
      <c r="J629" t="s">
        <v>171</v>
      </c>
      <c r="K629">
        <v>9.4752975594781436E-2</v>
      </c>
      <c r="L629" t="s">
        <v>31</v>
      </c>
    </row>
    <row r="630" spans="9:12" x14ac:dyDescent="0.25">
      <c r="I630" t="s">
        <v>260</v>
      </c>
      <c r="J630" t="s">
        <v>172</v>
      </c>
      <c r="K630">
        <v>1.2010369571695226E-2</v>
      </c>
      <c r="L630" t="s">
        <v>31</v>
      </c>
    </row>
    <row r="631" spans="9:12" x14ac:dyDescent="0.25">
      <c r="I631" t="s">
        <v>260</v>
      </c>
      <c r="J631" t="s">
        <v>173</v>
      </c>
      <c r="K631">
        <v>2.9631842076279963E-2</v>
      </c>
      <c r="L631" t="s">
        <v>31</v>
      </c>
    </row>
    <row r="632" spans="9:12" x14ac:dyDescent="0.25">
      <c r="I632" t="s">
        <v>260</v>
      </c>
      <c r="J632" t="s">
        <v>174</v>
      </c>
      <c r="K632">
        <v>6.6642702424942442E-3</v>
      </c>
      <c r="L632" t="s">
        <v>31</v>
      </c>
    </row>
    <row r="633" spans="9:12" x14ac:dyDescent="0.25">
      <c r="I633" t="s">
        <v>260</v>
      </c>
      <c r="J633" t="s">
        <v>175</v>
      </c>
      <c r="K633">
        <v>4.0788910774191287E-3</v>
      </c>
      <c r="L633" t="s">
        <v>31</v>
      </c>
    </row>
    <row r="634" spans="9:12" x14ac:dyDescent="0.25">
      <c r="I634" t="s">
        <v>260</v>
      </c>
      <c r="J634" t="s">
        <v>176</v>
      </c>
      <c r="K634">
        <v>1.8033283723330696E-3</v>
      </c>
      <c r="L634" t="s">
        <v>31</v>
      </c>
    </row>
    <row r="635" spans="9:12" x14ac:dyDescent="0.25">
      <c r="I635" t="s">
        <v>260</v>
      </c>
      <c r="J635" t="s">
        <v>177</v>
      </c>
      <c r="K635">
        <v>0</v>
      </c>
      <c r="L635" t="s">
        <v>31</v>
      </c>
    </row>
    <row r="636" spans="9:12" x14ac:dyDescent="0.25">
      <c r="I636" t="s">
        <v>260</v>
      </c>
      <c r="J636" t="s">
        <v>178</v>
      </c>
      <c r="K636">
        <v>6.0886653577635742E-4</v>
      </c>
      <c r="L636" t="s">
        <v>31</v>
      </c>
    </row>
    <row r="637" spans="9:12" x14ac:dyDescent="0.25">
      <c r="I637" t="s">
        <v>260</v>
      </c>
      <c r="J637" t="s">
        <v>179</v>
      </c>
      <c r="K637">
        <v>7.9353716330898133E-2</v>
      </c>
      <c r="L637" t="s">
        <v>31</v>
      </c>
    </row>
    <row r="638" spans="9:12" x14ac:dyDescent="0.25">
      <c r="I638" t="s">
        <v>260</v>
      </c>
      <c r="J638" t="s">
        <v>180</v>
      </c>
      <c r="K638">
        <v>1.051366716307979E-2</v>
      </c>
      <c r="L638" t="s">
        <v>31</v>
      </c>
    </row>
    <row r="639" spans="9:12" x14ac:dyDescent="0.25">
      <c r="I639" t="s">
        <v>260</v>
      </c>
      <c r="J639" t="s">
        <v>181</v>
      </c>
      <c r="K639">
        <v>2.5529289669338068E-2</v>
      </c>
      <c r="L639" t="s">
        <v>31</v>
      </c>
    </row>
    <row r="640" spans="9:12" x14ac:dyDescent="0.25">
      <c r="I640" t="s">
        <v>260</v>
      </c>
      <c r="J640" t="s">
        <v>182</v>
      </c>
      <c r="K640">
        <v>4.6391059379533011E-3</v>
      </c>
      <c r="L640" t="s">
        <v>31</v>
      </c>
    </row>
    <row r="641" spans="9:12" x14ac:dyDescent="0.25">
      <c r="I641" t="s">
        <v>260</v>
      </c>
      <c r="J641" t="s">
        <v>183</v>
      </c>
      <c r="K641">
        <v>1.8105606074451286E-3</v>
      </c>
      <c r="L641" t="s">
        <v>31</v>
      </c>
    </row>
    <row r="642" spans="9:12" x14ac:dyDescent="0.25">
      <c r="I642" t="s">
        <v>260</v>
      </c>
      <c r="J642" t="s">
        <v>184</v>
      </c>
      <c r="K642">
        <v>0</v>
      </c>
      <c r="L642" t="s">
        <v>31</v>
      </c>
    </row>
    <row r="643" spans="9:12" x14ac:dyDescent="0.25">
      <c r="I643" t="s">
        <v>260</v>
      </c>
      <c r="J643" t="s">
        <v>185</v>
      </c>
      <c r="K643">
        <v>0</v>
      </c>
      <c r="L643" t="s">
        <v>31</v>
      </c>
    </row>
    <row r="644" spans="9:12" x14ac:dyDescent="0.25">
      <c r="I644" t="s">
        <v>260</v>
      </c>
      <c r="J644" t="s">
        <v>186</v>
      </c>
      <c r="K644">
        <v>0</v>
      </c>
      <c r="L644" t="s">
        <v>31</v>
      </c>
    </row>
    <row r="645" spans="9:12" x14ac:dyDescent="0.25">
      <c r="I645" t="s">
        <v>260</v>
      </c>
      <c r="J645" t="s">
        <v>187</v>
      </c>
      <c r="K645">
        <v>6.4345262171371237E-2</v>
      </c>
      <c r="L645" t="s">
        <v>31</v>
      </c>
    </row>
    <row r="646" spans="9:12" x14ac:dyDescent="0.25">
      <c r="I646" t="s">
        <v>260</v>
      </c>
      <c r="J646" t="s">
        <v>188</v>
      </c>
      <c r="K646">
        <v>8.9574470643704138E-3</v>
      </c>
      <c r="L646" t="s">
        <v>31</v>
      </c>
    </row>
    <row r="647" spans="9:12" x14ac:dyDescent="0.25">
      <c r="I647" t="s">
        <v>260</v>
      </c>
      <c r="J647" t="s">
        <v>189</v>
      </c>
      <c r="K647">
        <v>1.7932625613388081E-2</v>
      </c>
      <c r="L647" t="s">
        <v>31</v>
      </c>
    </row>
    <row r="648" spans="9:12" x14ac:dyDescent="0.25">
      <c r="I648" t="s">
        <v>260</v>
      </c>
      <c r="J648" t="s">
        <v>190</v>
      </c>
      <c r="K648">
        <v>1.1273184373715762E-3</v>
      </c>
      <c r="L648" t="s">
        <v>31</v>
      </c>
    </row>
    <row r="649" spans="9:12" x14ac:dyDescent="0.25">
      <c r="I649" t="s">
        <v>260</v>
      </c>
      <c r="J649" t="s">
        <v>191</v>
      </c>
      <c r="K649">
        <v>0</v>
      </c>
      <c r="L649" t="s">
        <v>31</v>
      </c>
    </row>
    <row r="650" spans="9:12" x14ac:dyDescent="0.25">
      <c r="I650" t="s">
        <v>260</v>
      </c>
      <c r="J650" t="s">
        <v>192</v>
      </c>
      <c r="K650">
        <v>0</v>
      </c>
      <c r="L650" t="s">
        <v>31</v>
      </c>
    </row>
    <row r="651" spans="9:12" x14ac:dyDescent="0.25">
      <c r="I651" t="s">
        <v>260</v>
      </c>
      <c r="J651" t="s">
        <v>193</v>
      </c>
      <c r="K651">
        <v>0</v>
      </c>
      <c r="L651" t="s">
        <v>31</v>
      </c>
    </row>
    <row r="652" spans="9:12" x14ac:dyDescent="0.25">
      <c r="I652" t="s">
        <v>260</v>
      </c>
      <c r="J652" t="s">
        <v>194</v>
      </c>
      <c r="K652">
        <v>0</v>
      </c>
      <c r="L652" t="s">
        <v>31</v>
      </c>
    </row>
    <row r="653" spans="9:12" x14ac:dyDescent="0.25">
      <c r="I653" t="s">
        <v>260</v>
      </c>
      <c r="J653" t="s">
        <v>195</v>
      </c>
      <c r="K653">
        <v>2.8660929714589219E-2</v>
      </c>
      <c r="L653" t="s">
        <v>31</v>
      </c>
    </row>
    <row r="654" spans="9:12" x14ac:dyDescent="0.25">
      <c r="I654" t="s">
        <v>260</v>
      </c>
      <c r="J654" t="s">
        <v>196</v>
      </c>
      <c r="K654">
        <v>4.2748600280489643E-3</v>
      </c>
      <c r="L654" t="s">
        <v>31</v>
      </c>
    </row>
    <row r="655" spans="9:12" x14ac:dyDescent="0.25">
      <c r="I655" t="s">
        <v>260</v>
      </c>
      <c r="J655" t="s">
        <v>197</v>
      </c>
      <c r="K655">
        <v>4.8297163299620303E-3</v>
      </c>
      <c r="L655" t="s">
        <v>31</v>
      </c>
    </row>
    <row r="656" spans="9:12" x14ac:dyDescent="0.25">
      <c r="I656" t="s">
        <v>260</v>
      </c>
      <c r="J656" t="s">
        <v>198</v>
      </c>
      <c r="K656">
        <v>0</v>
      </c>
      <c r="L656" t="s">
        <v>31</v>
      </c>
    </row>
    <row r="657" spans="9:12" x14ac:dyDescent="0.25">
      <c r="I657" t="s">
        <v>260</v>
      </c>
      <c r="J657" t="s">
        <v>199</v>
      </c>
      <c r="K657">
        <v>0</v>
      </c>
      <c r="L657" t="s">
        <v>31</v>
      </c>
    </row>
    <row r="658" spans="9:12" x14ac:dyDescent="0.25">
      <c r="I658" t="s">
        <v>260</v>
      </c>
      <c r="J658" t="s">
        <v>200</v>
      </c>
      <c r="K658">
        <v>0</v>
      </c>
      <c r="L658" t="s">
        <v>31</v>
      </c>
    </row>
    <row r="659" spans="9:12" x14ac:dyDescent="0.25">
      <c r="I659" t="s">
        <v>260</v>
      </c>
      <c r="J659" t="s">
        <v>201</v>
      </c>
      <c r="K659">
        <v>0</v>
      </c>
      <c r="L659" t="s">
        <v>31</v>
      </c>
    </row>
    <row r="660" spans="9:12" x14ac:dyDescent="0.25">
      <c r="I660" t="s">
        <v>260</v>
      </c>
      <c r="J660" t="s">
        <v>202</v>
      </c>
      <c r="K660">
        <v>0</v>
      </c>
      <c r="L660" t="s">
        <v>31</v>
      </c>
    </row>
    <row r="661" spans="9:12" x14ac:dyDescent="0.25">
      <c r="I661" t="s">
        <v>260</v>
      </c>
      <c r="J661" t="s">
        <v>203</v>
      </c>
      <c r="K661">
        <v>1.2092888687475101E-2</v>
      </c>
      <c r="L661" t="s">
        <v>31</v>
      </c>
    </row>
    <row r="662" spans="9:12" x14ac:dyDescent="0.25">
      <c r="I662" t="s">
        <v>260</v>
      </c>
      <c r="J662" t="s">
        <v>204</v>
      </c>
      <c r="K662">
        <v>1.5947187723850151E-3</v>
      </c>
      <c r="L662" t="s">
        <v>31</v>
      </c>
    </row>
    <row r="663" spans="9:12" x14ac:dyDescent="0.25">
      <c r="I663" t="s">
        <v>260</v>
      </c>
      <c r="J663" t="s">
        <v>205</v>
      </c>
      <c r="K663">
        <v>2.5946071685456224E-4</v>
      </c>
      <c r="L663" t="s">
        <v>31</v>
      </c>
    </row>
    <row r="664" spans="9:12" x14ac:dyDescent="0.25">
      <c r="I664" t="s">
        <v>260</v>
      </c>
      <c r="J664" t="s">
        <v>206</v>
      </c>
      <c r="K664">
        <v>0</v>
      </c>
      <c r="L664" t="s">
        <v>31</v>
      </c>
    </row>
    <row r="665" spans="9:12" x14ac:dyDescent="0.25">
      <c r="I665" t="s">
        <v>260</v>
      </c>
      <c r="J665" t="s">
        <v>207</v>
      </c>
      <c r="K665">
        <v>0</v>
      </c>
      <c r="L665" t="s">
        <v>31</v>
      </c>
    </row>
    <row r="666" spans="9:12" x14ac:dyDescent="0.25">
      <c r="I666" t="s">
        <v>260</v>
      </c>
      <c r="J666" t="s">
        <v>208</v>
      </c>
      <c r="K666">
        <v>0</v>
      </c>
      <c r="L666" t="s">
        <v>31</v>
      </c>
    </row>
    <row r="667" spans="9:12" x14ac:dyDescent="0.25">
      <c r="I667" t="s">
        <v>260</v>
      </c>
      <c r="J667" t="s">
        <v>209</v>
      </c>
      <c r="K667">
        <v>0</v>
      </c>
      <c r="L667" t="s">
        <v>31</v>
      </c>
    </row>
    <row r="668" spans="9:12" x14ac:dyDescent="0.25">
      <c r="I668" t="s">
        <v>260</v>
      </c>
      <c r="J668" t="s">
        <v>210</v>
      </c>
      <c r="K668">
        <v>0</v>
      </c>
      <c r="L668" t="s">
        <v>31</v>
      </c>
    </row>
    <row r="669" spans="9:12" x14ac:dyDescent="0.25">
      <c r="I669" t="s">
        <v>260</v>
      </c>
      <c r="J669" t="s">
        <v>211</v>
      </c>
      <c r="K669">
        <v>4.5263023002266442E-3</v>
      </c>
      <c r="L669" t="s">
        <v>31</v>
      </c>
    </row>
    <row r="670" spans="9:12" x14ac:dyDescent="0.25">
      <c r="I670" t="s">
        <v>260</v>
      </c>
      <c r="J670" t="s">
        <v>212</v>
      </c>
      <c r="K670">
        <v>6.3906024040864611E-4</v>
      </c>
      <c r="L670" t="s">
        <v>31</v>
      </c>
    </row>
    <row r="671" spans="9:12" x14ac:dyDescent="0.25">
      <c r="I671" t="s">
        <v>260</v>
      </c>
      <c r="J671" t="s">
        <v>213</v>
      </c>
      <c r="K671">
        <v>0</v>
      </c>
      <c r="L671" t="s">
        <v>31</v>
      </c>
    </row>
    <row r="672" spans="9:12" x14ac:dyDescent="0.25">
      <c r="I672" t="s">
        <v>260</v>
      </c>
      <c r="J672" t="s">
        <v>214</v>
      </c>
      <c r="K672">
        <v>0</v>
      </c>
      <c r="L672" t="s">
        <v>31</v>
      </c>
    </row>
    <row r="673" spans="9:12" x14ac:dyDescent="0.25">
      <c r="I673" t="s">
        <v>260</v>
      </c>
      <c r="J673" t="s">
        <v>215</v>
      </c>
      <c r="K673">
        <v>0</v>
      </c>
      <c r="L673" t="s">
        <v>31</v>
      </c>
    </row>
    <row r="674" spans="9:12" x14ac:dyDescent="0.25">
      <c r="I674" t="s">
        <v>260</v>
      </c>
      <c r="J674" t="s">
        <v>216</v>
      </c>
      <c r="K674">
        <v>0</v>
      </c>
      <c r="L674" t="s">
        <v>31</v>
      </c>
    </row>
    <row r="675" spans="9:12" x14ac:dyDescent="0.25">
      <c r="I675" t="s">
        <v>261</v>
      </c>
      <c r="J675" t="s">
        <v>121</v>
      </c>
      <c r="K675">
        <v>0</v>
      </c>
      <c r="L675" t="s">
        <v>31</v>
      </c>
    </row>
    <row r="676" spans="9:12" x14ac:dyDescent="0.25">
      <c r="I676" t="s">
        <v>261</v>
      </c>
      <c r="J676" t="s">
        <v>122</v>
      </c>
      <c r="K676">
        <v>0</v>
      </c>
      <c r="L676" t="s">
        <v>31</v>
      </c>
    </row>
    <row r="677" spans="9:12" x14ac:dyDescent="0.25">
      <c r="I677" t="s">
        <v>261</v>
      </c>
      <c r="J677" t="s">
        <v>123</v>
      </c>
      <c r="K677">
        <v>8.244810902901795E-3</v>
      </c>
      <c r="L677" t="s">
        <v>31</v>
      </c>
    </row>
    <row r="678" spans="9:12" x14ac:dyDescent="0.25">
      <c r="I678" t="s">
        <v>261</v>
      </c>
      <c r="J678" t="s">
        <v>124</v>
      </c>
      <c r="K678">
        <v>1.4127396844557706E-3</v>
      </c>
      <c r="L678" t="s">
        <v>31</v>
      </c>
    </row>
    <row r="679" spans="9:12" x14ac:dyDescent="0.25">
      <c r="I679" t="s">
        <v>261</v>
      </c>
      <c r="J679" t="s">
        <v>125</v>
      </c>
      <c r="K679">
        <v>6.1816345125984083E-4</v>
      </c>
      <c r="L679" t="s">
        <v>31</v>
      </c>
    </row>
    <row r="680" spans="9:12" x14ac:dyDescent="0.25">
      <c r="I680" t="s">
        <v>261</v>
      </c>
      <c r="J680" t="s">
        <v>126</v>
      </c>
      <c r="K680">
        <v>0</v>
      </c>
      <c r="L680" t="s">
        <v>31</v>
      </c>
    </row>
    <row r="681" spans="9:12" x14ac:dyDescent="0.25">
      <c r="I681" t="s">
        <v>261</v>
      </c>
      <c r="J681" t="s">
        <v>127</v>
      </c>
      <c r="K681">
        <v>0</v>
      </c>
      <c r="L681" t="s">
        <v>31</v>
      </c>
    </row>
    <row r="682" spans="9:12" x14ac:dyDescent="0.25">
      <c r="I682" t="s">
        <v>261</v>
      </c>
      <c r="J682" t="s">
        <v>128</v>
      </c>
      <c r="K682">
        <v>0</v>
      </c>
      <c r="L682" t="s">
        <v>31</v>
      </c>
    </row>
    <row r="683" spans="9:12" x14ac:dyDescent="0.25">
      <c r="I683" t="s">
        <v>261</v>
      </c>
      <c r="J683" t="s">
        <v>129</v>
      </c>
      <c r="K683">
        <v>0</v>
      </c>
      <c r="L683" t="s">
        <v>31</v>
      </c>
    </row>
    <row r="684" spans="9:12" x14ac:dyDescent="0.25">
      <c r="I684" t="s">
        <v>261</v>
      </c>
      <c r="J684" t="s">
        <v>130</v>
      </c>
      <c r="K684">
        <v>0</v>
      </c>
      <c r="L684" t="s">
        <v>31</v>
      </c>
    </row>
    <row r="685" spans="9:12" x14ac:dyDescent="0.25">
      <c r="I685" t="s">
        <v>261</v>
      </c>
      <c r="J685" t="s">
        <v>131</v>
      </c>
      <c r="K685">
        <v>2.0491651333539897E-2</v>
      </c>
      <c r="L685" t="s">
        <v>31</v>
      </c>
    </row>
    <row r="686" spans="9:12" x14ac:dyDescent="0.25">
      <c r="I686" t="s">
        <v>261</v>
      </c>
      <c r="J686" t="s">
        <v>132</v>
      </c>
      <c r="K686">
        <v>3.4699017702487403E-3</v>
      </c>
      <c r="L686" t="s">
        <v>31</v>
      </c>
    </row>
    <row r="687" spans="9:12" x14ac:dyDescent="0.25">
      <c r="I687" t="s">
        <v>261</v>
      </c>
      <c r="J687" t="s">
        <v>133</v>
      </c>
      <c r="K687">
        <v>3.6213769630866659E-3</v>
      </c>
      <c r="L687" t="s">
        <v>31</v>
      </c>
    </row>
    <row r="688" spans="9:12" x14ac:dyDescent="0.25">
      <c r="I688" t="s">
        <v>261</v>
      </c>
      <c r="J688" t="s">
        <v>134</v>
      </c>
      <c r="K688">
        <v>0</v>
      </c>
      <c r="L688" t="s">
        <v>31</v>
      </c>
    </row>
    <row r="689" spans="9:12" x14ac:dyDescent="0.25">
      <c r="I689" t="s">
        <v>261</v>
      </c>
      <c r="J689" t="s">
        <v>135</v>
      </c>
      <c r="K689">
        <v>0</v>
      </c>
      <c r="L689" t="s">
        <v>31</v>
      </c>
    </row>
    <row r="690" spans="9:12" x14ac:dyDescent="0.25">
      <c r="I690" t="s">
        <v>261</v>
      </c>
      <c r="J690" t="s">
        <v>136</v>
      </c>
      <c r="K690">
        <v>0</v>
      </c>
      <c r="L690" t="s">
        <v>31</v>
      </c>
    </row>
    <row r="691" spans="9:12" x14ac:dyDescent="0.25">
      <c r="I691" t="s">
        <v>261</v>
      </c>
      <c r="J691" t="s">
        <v>137</v>
      </c>
      <c r="K691">
        <v>0</v>
      </c>
      <c r="L691" t="s">
        <v>31</v>
      </c>
    </row>
    <row r="692" spans="9:12" x14ac:dyDescent="0.25">
      <c r="I692" t="s">
        <v>261</v>
      </c>
      <c r="J692" t="s">
        <v>138</v>
      </c>
      <c r="K692">
        <v>0</v>
      </c>
      <c r="L692" t="s">
        <v>31</v>
      </c>
    </row>
    <row r="693" spans="9:12" x14ac:dyDescent="0.25">
      <c r="I693" t="s">
        <v>261</v>
      </c>
      <c r="J693" t="s">
        <v>139</v>
      </c>
      <c r="K693">
        <v>7.8267129520329284E-2</v>
      </c>
      <c r="L693" t="s">
        <v>31</v>
      </c>
    </row>
    <row r="694" spans="9:12" x14ac:dyDescent="0.25">
      <c r="I694" t="s">
        <v>261</v>
      </c>
      <c r="J694" t="s">
        <v>140</v>
      </c>
      <c r="K694">
        <v>1.2311100614487243E-2</v>
      </c>
      <c r="L694" t="s">
        <v>31</v>
      </c>
    </row>
    <row r="695" spans="9:12" x14ac:dyDescent="0.25">
      <c r="I695" t="s">
        <v>261</v>
      </c>
      <c r="J695" t="s">
        <v>141</v>
      </c>
      <c r="K695">
        <v>2.3495211201224182E-2</v>
      </c>
      <c r="L695" t="s">
        <v>31</v>
      </c>
    </row>
    <row r="696" spans="9:12" x14ac:dyDescent="0.25">
      <c r="I696" t="s">
        <v>261</v>
      </c>
      <c r="J696" t="s">
        <v>142</v>
      </c>
      <c r="K696">
        <v>3.2923404097034135E-4</v>
      </c>
      <c r="L696" t="s">
        <v>31</v>
      </c>
    </row>
    <row r="697" spans="9:12" x14ac:dyDescent="0.25">
      <c r="I697" t="s">
        <v>261</v>
      </c>
      <c r="J697" t="s">
        <v>143</v>
      </c>
      <c r="K697">
        <v>0</v>
      </c>
      <c r="L697" t="s">
        <v>31</v>
      </c>
    </row>
    <row r="698" spans="9:12" x14ac:dyDescent="0.25">
      <c r="I698" t="s">
        <v>261</v>
      </c>
      <c r="J698" t="s">
        <v>144</v>
      </c>
      <c r="K698">
        <v>0</v>
      </c>
      <c r="L698" t="s">
        <v>31</v>
      </c>
    </row>
    <row r="699" spans="9:12" x14ac:dyDescent="0.25">
      <c r="I699" t="s">
        <v>261</v>
      </c>
      <c r="J699" t="s">
        <v>145</v>
      </c>
      <c r="K699">
        <v>0</v>
      </c>
      <c r="L699" t="s">
        <v>31</v>
      </c>
    </row>
    <row r="700" spans="9:12" x14ac:dyDescent="0.25">
      <c r="I700" t="s">
        <v>261</v>
      </c>
      <c r="J700" t="s">
        <v>146</v>
      </c>
      <c r="K700">
        <v>1.5979949420121474E-6</v>
      </c>
      <c r="L700" t="s">
        <v>31</v>
      </c>
    </row>
    <row r="701" spans="9:12" x14ac:dyDescent="0.25">
      <c r="I701" t="s">
        <v>261</v>
      </c>
      <c r="J701" t="s">
        <v>147</v>
      </c>
      <c r="K701">
        <v>8.4198439208002893E-2</v>
      </c>
      <c r="L701" t="s">
        <v>31</v>
      </c>
    </row>
    <row r="702" spans="9:12" x14ac:dyDescent="0.25">
      <c r="I702" t="s">
        <v>261</v>
      </c>
      <c r="J702" t="s">
        <v>148</v>
      </c>
      <c r="K702">
        <v>1.1033520293542749E-2</v>
      </c>
      <c r="L702" t="s">
        <v>31</v>
      </c>
    </row>
    <row r="703" spans="9:12" x14ac:dyDescent="0.25">
      <c r="I703" t="s">
        <v>261</v>
      </c>
      <c r="J703" t="s">
        <v>149</v>
      </c>
      <c r="K703">
        <v>2.4762053859012197E-2</v>
      </c>
      <c r="L703" t="s">
        <v>31</v>
      </c>
    </row>
    <row r="704" spans="9:12" x14ac:dyDescent="0.25">
      <c r="I704" t="s">
        <v>261</v>
      </c>
      <c r="J704" t="s">
        <v>150</v>
      </c>
      <c r="K704">
        <v>3.6423978779708032E-3</v>
      </c>
      <c r="L704" t="s">
        <v>31</v>
      </c>
    </row>
    <row r="705" spans="9:12" x14ac:dyDescent="0.25">
      <c r="I705" t="s">
        <v>261</v>
      </c>
      <c r="J705" t="s">
        <v>151</v>
      </c>
      <c r="K705">
        <v>6.1765608745711453E-4</v>
      </c>
      <c r="L705" t="s">
        <v>31</v>
      </c>
    </row>
    <row r="706" spans="9:12" x14ac:dyDescent="0.25">
      <c r="I706" t="s">
        <v>261</v>
      </c>
      <c r="J706" t="s">
        <v>152</v>
      </c>
      <c r="K706">
        <v>0</v>
      </c>
      <c r="L706" t="s">
        <v>31</v>
      </c>
    </row>
    <row r="707" spans="9:12" x14ac:dyDescent="0.25">
      <c r="I707" t="s">
        <v>261</v>
      </c>
      <c r="J707" t="s">
        <v>153</v>
      </c>
      <c r="K707">
        <v>3.3510082290818144E-5</v>
      </c>
      <c r="L707" t="s">
        <v>31</v>
      </c>
    </row>
    <row r="708" spans="9:12" x14ac:dyDescent="0.25">
      <c r="I708" t="s">
        <v>261</v>
      </c>
      <c r="J708" t="s">
        <v>154</v>
      </c>
      <c r="K708">
        <v>2.2948374389607788E-3</v>
      </c>
      <c r="L708" t="s">
        <v>31</v>
      </c>
    </row>
    <row r="709" spans="9:12" x14ac:dyDescent="0.25">
      <c r="I709" t="s">
        <v>261</v>
      </c>
      <c r="J709" t="s">
        <v>155</v>
      </c>
      <c r="K709">
        <v>9.475183371211636E-2</v>
      </c>
      <c r="L709" t="s">
        <v>31</v>
      </c>
    </row>
    <row r="710" spans="9:12" x14ac:dyDescent="0.25">
      <c r="I710" t="s">
        <v>261</v>
      </c>
      <c r="J710" t="s">
        <v>156</v>
      </c>
      <c r="K710">
        <v>1.2703254570961062E-2</v>
      </c>
      <c r="L710" t="s">
        <v>31</v>
      </c>
    </row>
    <row r="711" spans="9:12" x14ac:dyDescent="0.25">
      <c r="I711" t="s">
        <v>261</v>
      </c>
      <c r="J711" t="s">
        <v>157</v>
      </c>
      <c r="K711">
        <v>2.9488665335698244E-2</v>
      </c>
      <c r="L711" t="s">
        <v>31</v>
      </c>
    </row>
    <row r="712" spans="9:12" x14ac:dyDescent="0.25">
      <c r="I712" t="s">
        <v>261</v>
      </c>
      <c r="J712" t="s">
        <v>158</v>
      </c>
      <c r="K712">
        <v>5.850739322805408E-3</v>
      </c>
      <c r="L712" t="s">
        <v>31</v>
      </c>
    </row>
    <row r="713" spans="9:12" x14ac:dyDescent="0.25">
      <c r="I713" t="s">
        <v>261</v>
      </c>
      <c r="J713" t="s">
        <v>159</v>
      </c>
      <c r="K713">
        <v>2.9766667103186804E-3</v>
      </c>
      <c r="L713" t="s">
        <v>31</v>
      </c>
    </row>
    <row r="714" spans="9:12" x14ac:dyDescent="0.25">
      <c r="I714" t="s">
        <v>261</v>
      </c>
      <c r="J714" t="s">
        <v>160</v>
      </c>
      <c r="K714">
        <v>2.9388975058872575E-4</v>
      </c>
      <c r="L714" t="s">
        <v>31</v>
      </c>
    </row>
    <row r="715" spans="9:12" x14ac:dyDescent="0.25">
      <c r="I715" t="s">
        <v>261</v>
      </c>
      <c r="J715" t="s">
        <v>161</v>
      </c>
      <c r="K715">
        <v>1.0864889659409332E-3</v>
      </c>
      <c r="L715" t="s">
        <v>31</v>
      </c>
    </row>
    <row r="716" spans="9:12" x14ac:dyDescent="0.25">
      <c r="I716" t="s">
        <v>261</v>
      </c>
      <c r="J716" t="s">
        <v>162</v>
      </c>
      <c r="K716">
        <v>3.3552638840407155E-3</v>
      </c>
      <c r="L716" t="s">
        <v>31</v>
      </c>
    </row>
    <row r="717" spans="9:12" x14ac:dyDescent="0.25">
      <c r="I717" t="s">
        <v>261</v>
      </c>
      <c r="J717" t="s">
        <v>163</v>
      </c>
      <c r="K717">
        <v>9.5678950670496102E-2</v>
      </c>
      <c r="L717" t="s">
        <v>31</v>
      </c>
    </row>
    <row r="718" spans="9:12" x14ac:dyDescent="0.25">
      <c r="I718" t="s">
        <v>261</v>
      </c>
      <c r="J718" t="s">
        <v>164</v>
      </c>
      <c r="K718">
        <v>1.1360730963371654E-2</v>
      </c>
      <c r="L718" t="s">
        <v>31</v>
      </c>
    </row>
    <row r="719" spans="9:12" x14ac:dyDescent="0.25">
      <c r="I719" t="s">
        <v>261</v>
      </c>
      <c r="J719" t="s">
        <v>165</v>
      </c>
      <c r="K719">
        <v>2.8522958059822207E-2</v>
      </c>
      <c r="L719" t="s">
        <v>31</v>
      </c>
    </row>
    <row r="720" spans="9:12" x14ac:dyDescent="0.25">
      <c r="I720" t="s">
        <v>261</v>
      </c>
      <c r="J720" t="s">
        <v>166</v>
      </c>
      <c r="K720">
        <v>5.7052123452518656E-3</v>
      </c>
      <c r="L720" t="s">
        <v>31</v>
      </c>
    </row>
    <row r="721" spans="9:12" x14ac:dyDescent="0.25">
      <c r="I721" t="s">
        <v>261</v>
      </c>
      <c r="J721" t="s">
        <v>167</v>
      </c>
      <c r="K721">
        <v>3.759875169577953E-3</v>
      </c>
      <c r="L721" t="s">
        <v>31</v>
      </c>
    </row>
    <row r="722" spans="9:12" x14ac:dyDescent="0.25">
      <c r="I722" t="s">
        <v>261</v>
      </c>
      <c r="J722" t="s">
        <v>168</v>
      </c>
      <c r="K722">
        <v>1.7106752169796914E-3</v>
      </c>
      <c r="L722" t="s">
        <v>31</v>
      </c>
    </row>
    <row r="723" spans="9:12" x14ac:dyDescent="0.25">
      <c r="I723" t="s">
        <v>261</v>
      </c>
      <c r="J723" t="s">
        <v>169</v>
      </c>
      <c r="K723">
        <v>2.4623721627657072E-4</v>
      </c>
      <c r="L723" t="s">
        <v>31</v>
      </c>
    </row>
    <row r="724" spans="9:12" x14ac:dyDescent="0.25">
      <c r="I724" t="s">
        <v>261</v>
      </c>
      <c r="J724" t="s">
        <v>170</v>
      </c>
      <c r="K724">
        <v>3.0257525251269927E-3</v>
      </c>
      <c r="L724" t="s">
        <v>31</v>
      </c>
    </row>
    <row r="725" spans="9:12" x14ac:dyDescent="0.25">
      <c r="I725" t="s">
        <v>261</v>
      </c>
      <c r="J725" t="s">
        <v>171</v>
      </c>
      <c r="K725">
        <v>9.4752975594781436E-2</v>
      </c>
      <c r="L725" t="s">
        <v>31</v>
      </c>
    </row>
    <row r="726" spans="9:12" x14ac:dyDescent="0.25">
      <c r="I726" t="s">
        <v>261</v>
      </c>
      <c r="J726" t="s">
        <v>172</v>
      </c>
      <c r="K726">
        <v>1.2010369571695226E-2</v>
      </c>
      <c r="L726" t="s">
        <v>31</v>
      </c>
    </row>
    <row r="727" spans="9:12" x14ac:dyDescent="0.25">
      <c r="I727" t="s">
        <v>261</v>
      </c>
      <c r="J727" t="s">
        <v>173</v>
      </c>
      <c r="K727">
        <v>2.9631842076279963E-2</v>
      </c>
      <c r="L727" t="s">
        <v>31</v>
      </c>
    </row>
    <row r="728" spans="9:12" x14ac:dyDescent="0.25">
      <c r="I728" t="s">
        <v>261</v>
      </c>
      <c r="J728" t="s">
        <v>174</v>
      </c>
      <c r="K728">
        <v>6.6642702424942442E-3</v>
      </c>
      <c r="L728" t="s">
        <v>31</v>
      </c>
    </row>
    <row r="729" spans="9:12" x14ac:dyDescent="0.25">
      <c r="I729" t="s">
        <v>261</v>
      </c>
      <c r="J729" t="s">
        <v>175</v>
      </c>
      <c r="K729">
        <v>4.0788910774191287E-3</v>
      </c>
      <c r="L729" t="s">
        <v>31</v>
      </c>
    </row>
    <row r="730" spans="9:12" x14ac:dyDescent="0.25">
      <c r="I730" t="s">
        <v>261</v>
      </c>
      <c r="J730" t="s">
        <v>176</v>
      </c>
      <c r="K730">
        <v>1.8033283723330696E-3</v>
      </c>
      <c r="L730" t="s">
        <v>31</v>
      </c>
    </row>
    <row r="731" spans="9:12" x14ac:dyDescent="0.25">
      <c r="I731" t="s">
        <v>261</v>
      </c>
      <c r="J731" t="s">
        <v>177</v>
      </c>
      <c r="K731">
        <v>0</v>
      </c>
      <c r="L731" t="s">
        <v>31</v>
      </c>
    </row>
    <row r="732" spans="9:12" x14ac:dyDescent="0.25">
      <c r="I732" t="s">
        <v>261</v>
      </c>
      <c r="J732" t="s">
        <v>178</v>
      </c>
      <c r="K732">
        <v>6.0886653577635742E-4</v>
      </c>
      <c r="L732" t="s">
        <v>31</v>
      </c>
    </row>
    <row r="733" spans="9:12" x14ac:dyDescent="0.25">
      <c r="I733" t="s">
        <v>261</v>
      </c>
      <c r="J733" t="s">
        <v>179</v>
      </c>
      <c r="K733">
        <v>7.9353716330898133E-2</v>
      </c>
      <c r="L733" t="s">
        <v>31</v>
      </c>
    </row>
    <row r="734" spans="9:12" x14ac:dyDescent="0.25">
      <c r="I734" t="s">
        <v>261</v>
      </c>
      <c r="J734" t="s">
        <v>180</v>
      </c>
      <c r="K734">
        <v>1.051366716307979E-2</v>
      </c>
      <c r="L734" t="s">
        <v>31</v>
      </c>
    </row>
    <row r="735" spans="9:12" x14ac:dyDescent="0.25">
      <c r="I735" t="s">
        <v>261</v>
      </c>
      <c r="J735" t="s">
        <v>181</v>
      </c>
      <c r="K735">
        <v>2.5529289669338068E-2</v>
      </c>
      <c r="L735" t="s">
        <v>31</v>
      </c>
    </row>
    <row r="736" spans="9:12" x14ac:dyDescent="0.25">
      <c r="I736" t="s">
        <v>261</v>
      </c>
      <c r="J736" t="s">
        <v>182</v>
      </c>
      <c r="K736">
        <v>4.6391059379533011E-3</v>
      </c>
      <c r="L736" t="s">
        <v>31</v>
      </c>
    </row>
    <row r="737" spans="9:12" x14ac:dyDescent="0.25">
      <c r="I737" t="s">
        <v>261</v>
      </c>
      <c r="J737" t="s">
        <v>183</v>
      </c>
      <c r="K737">
        <v>1.8105606074451286E-3</v>
      </c>
      <c r="L737" t="s">
        <v>31</v>
      </c>
    </row>
    <row r="738" spans="9:12" x14ac:dyDescent="0.25">
      <c r="I738" t="s">
        <v>261</v>
      </c>
      <c r="J738" t="s">
        <v>184</v>
      </c>
      <c r="K738">
        <v>0</v>
      </c>
      <c r="L738" t="s">
        <v>31</v>
      </c>
    </row>
    <row r="739" spans="9:12" x14ac:dyDescent="0.25">
      <c r="I739" t="s">
        <v>261</v>
      </c>
      <c r="J739" t="s">
        <v>185</v>
      </c>
      <c r="K739">
        <v>0</v>
      </c>
      <c r="L739" t="s">
        <v>31</v>
      </c>
    </row>
    <row r="740" spans="9:12" x14ac:dyDescent="0.25">
      <c r="I740" t="s">
        <v>261</v>
      </c>
      <c r="J740" t="s">
        <v>186</v>
      </c>
      <c r="K740">
        <v>0</v>
      </c>
      <c r="L740" t="s">
        <v>31</v>
      </c>
    </row>
    <row r="741" spans="9:12" x14ac:dyDescent="0.25">
      <c r="I741" t="s">
        <v>261</v>
      </c>
      <c r="J741" t="s">
        <v>187</v>
      </c>
      <c r="K741">
        <v>6.4345262171371237E-2</v>
      </c>
      <c r="L741" t="s">
        <v>31</v>
      </c>
    </row>
    <row r="742" spans="9:12" x14ac:dyDescent="0.25">
      <c r="I742" t="s">
        <v>261</v>
      </c>
      <c r="J742" t="s">
        <v>188</v>
      </c>
      <c r="K742">
        <v>8.9574470643704138E-3</v>
      </c>
      <c r="L742" t="s">
        <v>31</v>
      </c>
    </row>
    <row r="743" spans="9:12" x14ac:dyDescent="0.25">
      <c r="I743" t="s">
        <v>261</v>
      </c>
      <c r="J743" t="s">
        <v>189</v>
      </c>
      <c r="K743">
        <v>1.7932625613388081E-2</v>
      </c>
      <c r="L743" t="s">
        <v>31</v>
      </c>
    </row>
    <row r="744" spans="9:12" x14ac:dyDescent="0.25">
      <c r="I744" t="s">
        <v>261</v>
      </c>
      <c r="J744" t="s">
        <v>190</v>
      </c>
      <c r="K744">
        <v>1.1273184373715762E-3</v>
      </c>
      <c r="L744" t="s">
        <v>31</v>
      </c>
    </row>
    <row r="745" spans="9:12" x14ac:dyDescent="0.25">
      <c r="I745" t="s">
        <v>261</v>
      </c>
      <c r="J745" t="s">
        <v>191</v>
      </c>
      <c r="K745">
        <v>0</v>
      </c>
      <c r="L745" t="s">
        <v>31</v>
      </c>
    </row>
    <row r="746" spans="9:12" x14ac:dyDescent="0.25">
      <c r="I746" t="s">
        <v>261</v>
      </c>
      <c r="J746" t="s">
        <v>192</v>
      </c>
      <c r="K746">
        <v>0</v>
      </c>
      <c r="L746" t="s">
        <v>31</v>
      </c>
    </row>
    <row r="747" spans="9:12" x14ac:dyDescent="0.25">
      <c r="I747" t="s">
        <v>261</v>
      </c>
      <c r="J747" t="s">
        <v>193</v>
      </c>
      <c r="K747">
        <v>0</v>
      </c>
      <c r="L747" t="s">
        <v>31</v>
      </c>
    </row>
    <row r="748" spans="9:12" x14ac:dyDescent="0.25">
      <c r="I748" t="s">
        <v>261</v>
      </c>
      <c r="J748" t="s">
        <v>194</v>
      </c>
      <c r="K748">
        <v>0</v>
      </c>
      <c r="L748" t="s">
        <v>31</v>
      </c>
    </row>
    <row r="749" spans="9:12" x14ac:dyDescent="0.25">
      <c r="I749" t="s">
        <v>261</v>
      </c>
      <c r="J749" t="s">
        <v>195</v>
      </c>
      <c r="K749">
        <v>2.8660929714589219E-2</v>
      </c>
      <c r="L749" t="s">
        <v>31</v>
      </c>
    </row>
    <row r="750" spans="9:12" x14ac:dyDescent="0.25">
      <c r="I750" t="s">
        <v>261</v>
      </c>
      <c r="J750" t="s">
        <v>196</v>
      </c>
      <c r="K750">
        <v>4.2748600280489643E-3</v>
      </c>
      <c r="L750" t="s">
        <v>31</v>
      </c>
    </row>
    <row r="751" spans="9:12" x14ac:dyDescent="0.25">
      <c r="I751" t="s">
        <v>261</v>
      </c>
      <c r="J751" t="s">
        <v>197</v>
      </c>
      <c r="K751">
        <v>4.8297163299620303E-3</v>
      </c>
      <c r="L751" t="s">
        <v>31</v>
      </c>
    </row>
    <row r="752" spans="9:12" x14ac:dyDescent="0.25">
      <c r="I752" t="s">
        <v>261</v>
      </c>
      <c r="J752" t="s">
        <v>198</v>
      </c>
      <c r="K752">
        <v>0</v>
      </c>
      <c r="L752" t="s">
        <v>31</v>
      </c>
    </row>
    <row r="753" spans="9:12" x14ac:dyDescent="0.25">
      <c r="I753" t="s">
        <v>261</v>
      </c>
      <c r="J753" t="s">
        <v>199</v>
      </c>
      <c r="K753">
        <v>0</v>
      </c>
      <c r="L753" t="s">
        <v>31</v>
      </c>
    </row>
    <row r="754" spans="9:12" x14ac:dyDescent="0.25">
      <c r="I754" t="s">
        <v>261</v>
      </c>
      <c r="J754" t="s">
        <v>200</v>
      </c>
      <c r="K754">
        <v>0</v>
      </c>
      <c r="L754" t="s">
        <v>31</v>
      </c>
    </row>
    <row r="755" spans="9:12" x14ac:dyDescent="0.25">
      <c r="I755" t="s">
        <v>261</v>
      </c>
      <c r="J755" t="s">
        <v>201</v>
      </c>
      <c r="K755">
        <v>0</v>
      </c>
      <c r="L755" t="s">
        <v>31</v>
      </c>
    </row>
    <row r="756" spans="9:12" x14ac:dyDescent="0.25">
      <c r="I756" t="s">
        <v>261</v>
      </c>
      <c r="J756" t="s">
        <v>202</v>
      </c>
      <c r="K756">
        <v>0</v>
      </c>
      <c r="L756" t="s">
        <v>31</v>
      </c>
    </row>
    <row r="757" spans="9:12" x14ac:dyDescent="0.25">
      <c r="I757" t="s">
        <v>261</v>
      </c>
      <c r="J757" t="s">
        <v>203</v>
      </c>
      <c r="K757">
        <v>1.2092888687475101E-2</v>
      </c>
      <c r="L757" t="s">
        <v>31</v>
      </c>
    </row>
    <row r="758" spans="9:12" x14ac:dyDescent="0.25">
      <c r="I758" t="s">
        <v>261</v>
      </c>
      <c r="J758" t="s">
        <v>204</v>
      </c>
      <c r="K758">
        <v>1.5947187723850151E-3</v>
      </c>
      <c r="L758" t="s">
        <v>31</v>
      </c>
    </row>
    <row r="759" spans="9:12" x14ac:dyDescent="0.25">
      <c r="I759" t="s">
        <v>261</v>
      </c>
      <c r="J759" t="s">
        <v>205</v>
      </c>
      <c r="K759">
        <v>2.5946071685456224E-4</v>
      </c>
      <c r="L759" t="s">
        <v>31</v>
      </c>
    </row>
    <row r="760" spans="9:12" x14ac:dyDescent="0.25">
      <c r="I760" t="s">
        <v>261</v>
      </c>
      <c r="J760" t="s">
        <v>206</v>
      </c>
      <c r="K760">
        <v>0</v>
      </c>
      <c r="L760" t="s">
        <v>31</v>
      </c>
    </row>
    <row r="761" spans="9:12" x14ac:dyDescent="0.25">
      <c r="I761" t="s">
        <v>261</v>
      </c>
      <c r="J761" t="s">
        <v>207</v>
      </c>
      <c r="K761">
        <v>0</v>
      </c>
      <c r="L761" t="s">
        <v>31</v>
      </c>
    </row>
    <row r="762" spans="9:12" x14ac:dyDescent="0.25">
      <c r="I762" t="s">
        <v>261</v>
      </c>
      <c r="J762" t="s">
        <v>208</v>
      </c>
      <c r="K762">
        <v>0</v>
      </c>
      <c r="L762" t="s">
        <v>31</v>
      </c>
    </row>
    <row r="763" spans="9:12" x14ac:dyDescent="0.25">
      <c r="I763" t="s">
        <v>261</v>
      </c>
      <c r="J763" t="s">
        <v>209</v>
      </c>
      <c r="K763">
        <v>0</v>
      </c>
      <c r="L763" t="s">
        <v>31</v>
      </c>
    </row>
    <row r="764" spans="9:12" x14ac:dyDescent="0.25">
      <c r="I764" t="s">
        <v>261</v>
      </c>
      <c r="J764" t="s">
        <v>210</v>
      </c>
      <c r="K764">
        <v>0</v>
      </c>
      <c r="L764" t="s">
        <v>31</v>
      </c>
    </row>
    <row r="765" spans="9:12" x14ac:dyDescent="0.25">
      <c r="I765" t="s">
        <v>261</v>
      </c>
      <c r="J765" t="s">
        <v>211</v>
      </c>
      <c r="K765">
        <v>4.5263023002266442E-3</v>
      </c>
      <c r="L765" t="s">
        <v>31</v>
      </c>
    </row>
    <row r="766" spans="9:12" x14ac:dyDescent="0.25">
      <c r="I766" t="s">
        <v>261</v>
      </c>
      <c r="J766" t="s">
        <v>212</v>
      </c>
      <c r="K766">
        <v>6.3906024040864611E-4</v>
      </c>
      <c r="L766" t="s">
        <v>31</v>
      </c>
    </row>
    <row r="767" spans="9:12" x14ac:dyDescent="0.25">
      <c r="I767" t="s">
        <v>261</v>
      </c>
      <c r="J767" t="s">
        <v>213</v>
      </c>
      <c r="K767">
        <v>0</v>
      </c>
      <c r="L767" t="s">
        <v>31</v>
      </c>
    </row>
    <row r="768" spans="9:12" x14ac:dyDescent="0.25">
      <c r="I768" t="s">
        <v>261</v>
      </c>
      <c r="J768" t="s">
        <v>214</v>
      </c>
      <c r="K768">
        <v>0</v>
      </c>
      <c r="L768" t="s">
        <v>31</v>
      </c>
    </row>
    <row r="769" spans="9:12" x14ac:dyDescent="0.25">
      <c r="I769" t="s">
        <v>261</v>
      </c>
      <c r="J769" t="s">
        <v>215</v>
      </c>
      <c r="K769">
        <v>0</v>
      </c>
      <c r="L769" t="s">
        <v>31</v>
      </c>
    </row>
    <row r="770" spans="9:12" x14ac:dyDescent="0.25">
      <c r="I770" t="s">
        <v>261</v>
      </c>
      <c r="J770" t="s">
        <v>216</v>
      </c>
      <c r="K770">
        <v>0</v>
      </c>
      <c r="L770" t="s">
        <v>31</v>
      </c>
    </row>
    <row r="771" spans="9:12" x14ac:dyDescent="0.25">
      <c r="I771" t="s">
        <v>262</v>
      </c>
      <c r="J771" t="s">
        <v>121</v>
      </c>
      <c r="K771">
        <v>0</v>
      </c>
      <c r="L771" t="s">
        <v>31</v>
      </c>
    </row>
    <row r="772" spans="9:12" x14ac:dyDescent="0.25">
      <c r="I772" t="s">
        <v>262</v>
      </c>
      <c r="J772" t="s">
        <v>122</v>
      </c>
      <c r="K772">
        <v>0</v>
      </c>
      <c r="L772" t="s">
        <v>31</v>
      </c>
    </row>
    <row r="773" spans="9:12" x14ac:dyDescent="0.25">
      <c r="I773" t="s">
        <v>262</v>
      </c>
      <c r="J773" t="s">
        <v>123</v>
      </c>
      <c r="K773">
        <v>8.244810902901795E-3</v>
      </c>
      <c r="L773" t="s">
        <v>31</v>
      </c>
    </row>
    <row r="774" spans="9:12" x14ac:dyDescent="0.25">
      <c r="I774" t="s">
        <v>262</v>
      </c>
      <c r="J774" t="s">
        <v>124</v>
      </c>
      <c r="K774">
        <v>1.4127396844557706E-3</v>
      </c>
      <c r="L774" t="s">
        <v>31</v>
      </c>
    </row>
    <row r="775" spans="9:12" x14ac:dyDescent="0.25">
      <c r="I775" t="s">
        <v>262</v>
      </c>
      <c r="J775" t="s">
        <v>125</v>
      </c>
      <c r="K775">
        <v>6.1816345125984083E-4</v>
      </c>
      <c r="L775" t="s">
        <v>31</v>
      </c>
    </row>
    <row r="776" spans="9:12" x14ac:dyDescent="0.25">
      <c r="I776" t="s">
        <v>262</v>
      </c>
      <c r="J776" t="s">
        <v>126</v>
      </c>
      <c r="K776">
        <v>0</v>
      </c>
      <c r="L776" t="s">
        <v>31</v>
      </c>
    </row>
    <row r="777" spans="9:12" x14ac:dyDescent="0.25">
      <c r="I777" t="s">
        <v>262</v>
      </c>
      <c r="J777" t="s">
        <v>127</v>
      </c>
      <c r="K777">
        <v>0</v>
      </c>
      <c r="L777" t="s">
        <v>31</v>
      </c>
    </row>
    <row r="778" spans="9:12" x14ac:dyDescent="0.25">
      <c r="I778" t="s">
        <v>262</v>
      </c>
      <c r="J778" t="s">
        <v>128</v>
      </c>
      <c r="K778">
        <v>0</v>
      </c>
      <c r="L778" t="s">
        <v>31</v>
      </c>
    </row>
    <row r="779" spans="9:12" x14ac:dyDescent="0.25">
      <c r="I779" t="s">
        <v>262</v>
      </c>
      <c r="J779" t="s">
        <v>129</v>
      </c>
      <c r="K779">
        <v>0</v>
      </c>
      <c r="L779" t="s">
        <v>31</v>
      </c>
    </row>
    <row r="780" spans="9:12" x14ac:dyDescent="0.25">
      <c r="I780" t="s">
        <v>262</v>
      </c>
      <c r="J780" t="s">
        <v>130</v>
      </c>
      <c r="K780">
        <v>0</v>
      </c>
      <c r="L780" t="s">
        <v>31</v>
      </c>
    </row>
    <row r="781" spans="9:12" x14ac:dyDescent="0.25">
      <c r="I781" t="s">
        <v>262</v>
      </c>
      <c r="J781" t="s">
        <v>131</v>
      </c>
      <c r="K781">
        <v>2.0491651333539897E-2</v>
      </c>
      <c r="L781" t="s">
        <v>31</v>
      </c>
    </row>
    <row r="782" spans="9:12" x14ac:dyDescent="0.25">
      <c r="I782" t="s">
        <v>262</v>
      </c>
      <c r="J782" t="s">
        <v>132</v>
      </c>
      <c r="K782">
        <v>3.4699017702487403E-3</v>
      </c>
      <c r="L782" t="s">
        <v>31</v>
      </c>
    </row>
    <row r="783" spans="9:12" x14ac:dyDescent="0.25">
      <c r="I783" t="s">
        <v>262</v>
      </c>
      <c r="J783" t="s">
        <v>133</v>
      </c>
      <c r="K783">
        <v>3.6213769630866659E-3</v>
      </c>
      <c r="L783" t="s">
        <v>31</v>
      </c>
    </row>
    <row r="784" spans="9:12" x14ac:dyDescent="0.25">
      <c r="I784" t="s">
        <v>262</v>
      </c>
      <c r="J784" t="s">
        <v>134</v>
      </c>
      <c r="K784">
        <v>0</v>
      </c>
      <c r="L784" t="s">
        <v>31</v>
      </c>
    </row>
    <row r="785" spans="9:12" x14ac:dyDescent="0.25">
      <c r="I785" t="s">
        <v>262</v>
      </c>
      <c r="J785" t="s">
        <v>135</v>
      </c>
      <c r="K785">
        <v>0</v>
      </c>
      <c r="L785" t="s">
        <v>31</v>
      </c>
    </row>
    <row r="786" spans="9:12" x14ac:dyDescent="0.25">
      <c r="I786" t="s">
        <v>262</v>
      </c>
      <c r="J786" t="s">
        <v>136</v>
      </c>
      <c r="K786">
        <v>0</v>
      </c>
      <c r="L786" t="s">
        <v>31</v>
      </c>
    </row>
    <row r="787" spans="9:12" x14ac:dyDescent="0.25">
      <c r="I787" t="s">
        <v>262</v>
      </c>
      <c r="J787" t="s">
        <v>137</v>
      </c>
      <c r="K787">
        <v>0</v>
      </c>
      <c r="L787" t="s">
        <v>31</v>
      </c>
    </row>
    <row r="788" spans="9:12" x14ac:dyDescent="0.25">
      <c r="I788" t="s">
        <v>262</v>
      </c>
      <c r="J788" t="s">
        <v>138</v>
      </c>
      <c r="K788">
        <v>0</v>
      </c>
      <c r="L788" t="s">
        <v>31</v>
      </c>
    </row>
    <row r="789" spans="9:12" x14ac:dyDescent="0.25">
      <c r="I789" t="s">
        <v>262</v>
      </c>
      <c r="J789" t="s">
        <v>139</v>
      </c>
      <c r="K789">
        <v>7.8267129520329284E-2</v>
      </c>
      <c r="L789" t="s">
        <v>31</v>
      </c>
    </row>
    <row r="790" spans="9:12" x14ac:dyDescent="0.25">
      <c r="I790" t="s">
        <v>262</v>
      </c>
      <c r="J790" t="s">
        <v>140</v>
      </c>
      <c r="K790">
        <v>1.2311100614487243E-2</v>
      </c>
      <c r="L790" t="s">
        <v>31</v>
      </c>
    </row>
    <row r="791" spans="9:12" x14ac:dyDescent="0.25">
      <c r="I791" t="s">
        <v>262</v>
      </c>
      <c r="J791" t="s">
        <v>141</v>
      </c>
      <c r="K791">
        <v>2.3495211201224182E-2</v>
      </c>
      <c r="L791" t="s">
        <v>31</v>
      </c>
    </row>
    <row r="792" spans="9:12" x14ac:dyDescent="0.25">
      <c r="I792" t="s">
        <v>262</v>
      </c>
      <c r="J792" t="s">
        <v>142</v>
      </c>
      <c r="K792">
        <v>3.2923404097034135E-4</v>
      </c>
      <c r="L792" t="s">
        <v>31</v>
      </c>
    </row>
    <row r="793" spans="9:12" x14ac:dyDescent="0.25">
      <c r="I793" t="s">
        <v>262</v>
      </c>
      <c r="J793" t="s">
        <v>143</v>
      </c>
      <c r="K793">
        <v>0</v>
      </c>
      <c r="L793" t="s">
        <v>31</v>
      </c>
    </row>
    <row r="794" spans="9:12" x14ac:dyDescent="0.25">
      <c r="I794" t="s">
        <v>262</v>
      </c>
      <c r="J794" t="s">
        <v>144</v>
      </c>
      <c r="K794">
        <v>0</v>
      </c>
      <c r="L794" t="s">
        <v>31</v>
      </c>
    </row>
    <row r="795" spans="9:12" x14ac:dyDescent="0.25">
      <c r="I795" t="s">
        <v>262</v>
      </c>
      <c r="J795" t="s">
        <v>145</v>
      </c>
      <c r="K795">
        <v>0</v>
      </c>
      <c r="L795" t="s">
        <v>31</v>
      </c>
    </row>
    <row r="796" spans="9:12" x14ac:dyDescent="0.25">
      <c r="I796" t="s">
        <v>262</v>
      </c>
      <c r="J796" t="s">
        <v>146</v>
      </c>
      <c r="K796">
        <v>1.5979949420121474E-6</v>
      </c>
      <c r="L796" t="s">
        <v>31</v>
      </c>
    </row>
    <row r="797" spans="9:12" x14ac:dyDescent="0.25">
      <c r="I797" t="s">
        <v>262</v>
      </c>
      <c r="J797" t="s">
        <v>147</v>
      </c>
      <c r="K797">
        <v>8.4198439208002893E-2</v>
      </c>
      <c r="L797" t="s">
        <v>31</v>
      </c>
    </row>
    <row r="798" spans="9:12" x14ac:dyDescent="0.25">
      <c r="I798" t="s">
        <v>262</v>
      </c>
      <c r="J798" t="s">
        <v>148</v>
      </c>
      <c r="K798">
        <v>1.1033520293542749E-2</v>
      </c>
      <c r="L798" t="s">
        <v>31</v>
      </c>
    </row>
    <row r="799" spans="9:12" x14ac:dyDescent="0.25">
      <c r="I799" t="s">
        <v>262</v>
      </c>
      <c r="J799" t="s">
        <v>149</v>
      </c>
      <c r="K799">
        <v>2.4762053859012197E-2</v>
      </c>
      <c r="L799" t="s">
        <v>31</v>
      </c>
    </row>
    <row r="800" spans="9:12" x14ac:dyDescent="0.25">
      <c r="I800" t="s">
        <v>262</v>
      </c>
      <c r="J800" t="s">
        <v>150</v>
      </c>
      <c r="K800">
        <v>3.6423978779708032E-3</v>
      </c>
      <c r="L800" t="s">
        <v>31</v>
      </c>
    </row>
    <row r="801" spans="9:12" x14ac:dyDescent="0.25">
      <c r="I801" t="s">
        <v>262</v>
      </c>
      <c r="J801" t="s">
        <v>151</v>
      </c>
      <c r="K801">
        <v>6.1765608745711453E-4</v>
      </c>
      <c r="L801" t="s">
        <v>31</v>
      </c>
    </row>
    <row r="802" spans="9:12" x14ac:dyDescent="0.25">
      <c r="I802" t="s">
        <v>262</v>
      </c>
      <c r="J802" t="s">
        <v>152</v>
      </c>
      <c r="K802">
        <v>0</v>
      </c>
      <c r="L802" t="s">
        <v>31</v>
      </c>
    </row>
    <row r="803" spans="9:12" x14ac:dyDescent="0.25">
      <c r="I803" t="s">
        <v>262</v>
      </c>
      <c r="J803" t="s">
        <v>153</v>
      </c>
      <c r="K803">
        <v>3.3510082290818144E-5</v>
      </c>
      <c r="L803" t="s">
        <v>31</v>
      </c>
    </row>
    <row r="804" spans="9:12" x14ac:dyDescent="0.25">
      <c r="I804" t="s">
        <v>262</v>
      </c>
      <c r="J804" t="s">
        <v>154</v>
      </c>
      <c r="K804">
        <v>2.2948374389607788E-3</v>
      </c>
      <c r="L804" t="s">
        <v>31</v>
      </c>
    </row>
    <row r="805" spans="9:12" x14ac:dyDescent="0.25">
      <c r="I805" t="s">
        <v>262</v>
      </c>
      <c r="J805" t="s">
        <v>155</v>
      </c>
      <c r="K805">
        <v>9.475183371211636E-2</v>
      </c>
      <c r="L805" t="s">
        <v>31</v>
      </c>
    </row>
    <row r="806" spans="9:12" x14ac:dyDescent="0.25">
      <c r="I806" t="s">
        <v>262</v>
      </c>
      <c r="J806" t="s">
        <v>156</v>
      </c>
      <c r="K806">
        <v>1.2703254570961062E-2</v>
      </c>
      <c r="L806" t="s">
        <v>31</v>
      </c>
    </row>
    <row r="807" spans="9:12" x14ac:dyDescent="0.25">
      <c r="I807" t="s">
        <v>262</v>
      </c>
      <c r="J807" t="s">
        <v>157</v>
      </c>
      <c r="K807">
        <v>2.9488665335698244E-2</v>
      </c>
      <c r="L807" t="s">
        <v>31</v>
      </c>
    </row>
    <row r="808" spans="9:12" x14ac:dyDescent="0.25">
      <c r="I808" t="s">
        <v>262</v>
      </c>
      <c r="J808" t="s">
        <v>158</v>
      </c>
      <c r="K808">
        <v>5.850739322805408E-3</v>
      </c>
      <c r="L808" t="s">
        <v>31</v>
      </c>
    </row>
    <row r="809" spans="9:12" x14ac:dyDescent="0.25">
      <c r="I809" t="s">
        <v>262</v>
      </c>
      <c r="J809" t="s">
        <v>159</v>
      </c>
      <c r="K809">
        <v>2.9766667103186804E-3</v>
      </c>
      <c r="L809" t="s">
        <v>31</v>
      </c>
    </row>
    <row r="810" spans="9:12" x14ac:dyDescent="0.25">
      <c r="I810" t="s">
        <v>262</v>
      </c>
      <c r="J810" t="s">
        <v>160</v>
      </c>
      <c r="K810">
        <v>2.9388975058872575E-4</v>
      </c>
      <c r="L810" t="s">
        <v>31</v>
      </c>
    </row>
    <row r="811" spans="9:12" x14ac:dyDescent="0.25">
      <c r="I811" t="s">
        <v>262</v>
      </c>
      <c r="J811" t="s">
        <v>161</v>
      </c>
      <c r="K811">
        <v>1.0864889659409332E-3</v>
      </c>
      <c r="L811" t="s">
        <v>31</v>
      </c>
    </row>
    <row r="812" spans="9:12" x14ac:dyDescent="0.25">
      <c r="I812" t="s">
        <v>262</v>
      </c>
      <c r="J812" t="s">
        <v>162</v>
      </c>
      <c r="K812">
        <v>3.3552638840407155E-3</v>
      </c>
      <c r="L812" t="s">
        <v>31</v>
      </c>
    </row>
    <row r="813" spans="9:12" x14ac:dyDescent="0.25">
      <c r="I813" t="s">
        <v>262</v>
      </c>
      <c r="J813" t="s">
        <v>163</v>
      </c>
      <c r="K813">
        <v>9.5678950670496102E-2</v>
      </c>
      <c r="L813" t="s">
        <v>31</v>
      </c>
    </row>
    <row r="814" spans="9:12" x14ac:dyDescent="0.25">
      <c r="I814" t="s">
        <v>262</v>
      </c>
      <c r="J814" t="s">
        <v>164</v>
      </c>
      <c r="K814">
        <v>1.1360730963371654E-2</v>
      </c>
      <c r="L814" t="s">
        <v>31</v>
      </c>
    </row>
    <row r="815" spans="9:12" x14ac:dyDescent="0.25">
      <c r="I815" t="s">
        <v>262</v>
      </c>
      <c r="J815" t="s">
        <v>165</v>
      </c>
      <c r="K815">
        <v>2.8522958059822207E-2</v>
      </c>
      <c r="L815" t="s">
        <v>31</v>
      </c>
    </row>
    <row r="816" spans="9:12" x14ac:dyDescent="0.25">
      <c r="I816" t="s">
        <v>262</v>
      </c>
      <c r="J816" t="s">
        <v>166</v>
      </c>
      <c r="K816">
        <v>5.7052123452518656E-3</v>
      </c>
      <c r="L816" t="s">
        <v>31</v>
      </c>
    </row>
    <row r="817" spans="9:12" x14ac:dyDescent="0.25">
      <c r="I817" t="s">
        <v>262</v>
      </c>
      <c r="J817" t="s">
        <v>167</v>
      </c>
      <c r="K817">
        <v>3.759875169577953E-3</v>
      </c>
      <c r="L817" t="s">
        <v>31</v>
      </c>
    </row>
    <row r="818" spans="9:12" x14ac:dyDescent="0.25">
      <c r="I818" t="s">
        <v>262</v>
      </c>
      <c r="J818" t="s">
        <v>168</v>
      </c>
      <c r="K818">
        <v>1.7106752169796914E-3</v>
      </c>
      <c r="L818" t="s">
        <v>31</v>
      </c>
    </row>
    <row r="819" spans="9:12" x14ac:dyDescent="0.25">
      <c r="I819" t="s">
        <v>262</v>
      </c>
      <c r="J819" t="s">
        <v>169</v>
      </c>
      <c r="K819">
        <v>2.4623721627657072E-4</v>
      </c>
      <c r="L819" t="s">
        <v>31</v>
      </c>
    </row>
    <row r="820" spans="9:12" x14ac:dyDescent="0.25">
      <c r="I820" t="s">
        <v>262</v>
      </c>
      <c r="J820" t="s">
        <v>170</v>
      </c>
      <c r="K820">
        <v>3.0257525251269927E-3</v>
      </c>
      <c r="L820" t="s">
        <v>31</v>
      </c>
    </row>
    <row r="821" spans="9:12" x14ac:dyDescent="0.25">
      <c r="I821" t="s">
        <v>262</v>
      </c>
      <c r="J821" t="s">
        <v>171</v>
      </c>
      <c r="K821">
        <v>9.4752975594781436E-2</v>
      </c>
      <c r="L821" t="s">
        <v>31</v>
      </c>
    </row>
    <row r="822" spans="9:12" x14ac:dyDescent="0.25">
      <c r="I822" t="s">
        <v>262</v>
      </c>
      <c r="J822" t="s">
        <v>172</v>
      </c>
      <c r="K822">
        <v>1.2010369571695226E-2</v>
      </c>
      <c r="L822" t="s">
        <v>31</v>
      </c>
    </row>
    <row r="823" spans="9:12" x14ac:dyDescent="0.25">
      <c r="I823" t="s">
        <v>262</v>
      </c>
      <c r="J823" t="s">
        <v>173</v>
      </c>
      <c r="K823">
        <v>2.9631842076279963E-2</v>
      </c>
      <c r="L823" t="s">
        <v>31</v>
      </c>
    </row>
    <row r="824" spans="9:12" x14ac:dyDescent="0.25">
      <c r="I824" t="s">
        <v>262</v>
      </c>
      <c r="J824" t="s">
        <v>174</v>
      </c>
      <c r="K824">
        <v>6.6642702424942442E-3</v>
      </c>
      <c r="L824" t="s">
        <v>31</v>
      </c>
    </row>
    <row r="825" spans="9:12" x14ac:dyDescent="0.25">
      <c r="I825" t="s">
        <v>262</v>
      </c>
      <c r="J825" t="s">
        <v>175</v>
      </c>
      <c r="K825">
        <v>4.0788910774191287E-3</v>
      </c>
      <c r="L825" t="s">
        <v>31</v>
      </c>
    </row>
    <row r="826" spans="9:12" x14ac:dyDescent="0.25">
      <c r="I826" t="s">
        <v>262</v>
      </c>
      <c r="J826" t="s">
        <v>176</v>
      </c>
      <c r="K826">
        <v>1.8033283723330696E-3</v>
      </c>
      <c r="L826" t="s">
        <v>31</v>
      </c>
    </row>
    <row r="827" spans="9:12" x14ac:dyDescent="0.25">
      <c r="I827" t="s">
        <v>262</v>
      </c>
      <c r="J827" t="s">
        <v>177</v>
      </c>
      <c r="K827">
        <v>0</v>
      </c>
      <c r="L827" t="s">
        <v>31</v>
      </c>
    </row>
    <row r="828" spans="9:12" x14ac:dyDescent="0.25">
      <c r="I828" t="s">
        <v>262</v>
      </c>
      <c r="J828" t="s">
        <v>178</v>
      </c>
      <c r="K828">
        <v>6.0886653577635742E-4</v>
      </c>
      <c r="L828" t="s">
        <v>31</v>
      </c>
    </row>
    <row r="829" spans="9:12" x14ac:dyDescent="0.25">
      <c r="I829" t="s">
        <v>262</v>
      </c>
      <c r="J829" t="s">
        <v>179</v>
      </c>
      <c r="K829">
        <v>7.9353716330898133E-2</v>
      </c>
      <c r="L829" t="s">
        <v>31</v>
      </c>
    </row>
    <row r="830" spans="9:12" x14ac:dyDescent="0.25">
      <c r="I830" t="s">
        <v>262</v>
      </c>
      <c r="J830" t="s">
        <v>180</v>
      </c>
      <c r="K830">
        <v>1.051366716307979E-2</v>
      </c>
      <c r="L830" t="s">
        <v>31</v>
      </c>
    </row>
    <row r="831" spans="9:12" x14ac:dyDescent="0.25">
      <c r="I831" t="s">
        <v>262</v>
      </c>
      <c r="J831" t="s">
        <v>181</v>
      </c>
      <c r="K831">
        <v>2.5529289669338068E-2</v>
      </c>
      <c r="L831" t="s">
        <v>31</v>
      </c>
    </row>
    <row r="832" spans="9:12" x14ac:dyDescent="0.25">
      <c r="I832" t="s">
        <v>262</v>
      </c>
      <c r="J832" t="s">
        <v>182</v>
      </c>
      <c r="K832">
        <v>4.6391059379533011E-3</v>
      </c>
      <c r="L832" t="s">
        <v>31</v>
      </c>
    </row>
    <row r="833" spans="9:12" x14ac:dyDescent="0.25">
      <c r="I833" t="s">
        <v>262</v>
      </c>
      <c r="J833" t="s">
        <v>183</v>
      </c>
      <c r="K833">
        <v>1.8105606074451286E-3</v>
      </c>
      <c r="L833" t="s">
        <v>31</v>
      </c>
    </row>
    <row r="834" spans="9:12" x14ac:dyDescent="0.25">
      <c r="I834" t="s">
        <v>262</v>
      </c>
      <c r="J834" t="s">
        <v>184</v>
      </c>
      <c r="K834">
        <v>0</v>
      </c>
      <c r="L834" t="s">
        <v>31</v>
      </c>
    </row>
    <row r="835" spans="9:12" x14ac:dyDescent="0.25">
      <c r="I835" t="s">
        <v>262</v>
      </c>
      <c r="J835" t="s">
        <v>185</v>
      </c>
      <c r="K835">
        <v>0</v>
      </c>
      <c r="L835" t="s">
        <v>31</v>
      </c>
    </row>
    <row r="836" spans="9:12" x14ac:dyDescent="0.25">
      <c r="I836" t="s">
        <v>262</v>
      </c>
      <c r="J836" t="s">
        <v>186</v>
      </c>
      <c r="K836">
        <v>0</v>
      </c>
      <c r="L836" t="s">
        <v>31</v>
      </c>
    </row>
    <row r="837" spans="9:12" x14ac:dyDescent="0.25">
      <c r="I837" t="s">
        <v>262</v>
      </c>
      <c r="J837" t="s">
        <v>187</v>
      </c>
      <c r="K837">
        <v>6.4345262171371237E-2</v>
      </c>
      <c r="L837" t="s">
        <v>31</v>
      </c>
    </row>
    <row r="838" spans="9:12" x14ac:dyDescent="0.25">
      <c r="I838" t="s">
        <v>262</v>
      </c>
      <c r="J838" t="s">
        <v>188</v>
      </c>
      <c r="K838">
        <v>8.9574470643704138E-3</v>
      </c>
      <c r="L838" t="s">
        <v>31</v>
      </c>
    </row>
    <row r="839" spans="9:12" x14ac:dyDescent="0.25">
      <c r="I839" t="s">
        <v>262</v>
      </c>
      <c r="J839" t="s">
        <v>189</v>
      </c>
      <c r="K839">
        <v>1.7932625613388081E-2</v>
      </c>
      <c r="L839" t="s">
        <v>31</v>
      </c>
    </row>
    <row r="840" spans="9:12" x14ac:dyDescent="0.25">
      <c r="I840" t="s">
        <v>262</v>
      </c>
      <c r="J840" t="s">
        <v>190</v>
      </c>
      <c r="K840">
        <v>1.1273184373715762E-3</v>
      </c>
      <c r="L840" t="s">
        <v>31</v>
      </c>
    </row>
    <row r="841" spans="9:12" x14ac:dyDescent="0.25">
      <c r="I841" t="s">
        <v>262</v>
      </c>
      <c r="J841" t="s">
        <v>191</v>
      </c>
      <c r="K841">
        <v>0</v>
      </c>
      <c r="L841" t="s">
        <v>31</v>
      </c>
    </row>
    <row r="842" spans="9:12" x14ac:dyDescent="0.25">
      <c r="I842" t="s">
        <v>262</v>
      </c>
      <c r="J842" t="s">
        <v>192</v>
      </c>
      <c r="K842">
        <v>0</v>
      </c>
      <c r="L842" t="s">
        <v>31</v>
      </c>
    </row>
    <row r="843" spans="9:12" x14ac:dyDescent="0.25">
      <c r="I843" t="s">
        <v>262</v>
      </c>
      <c r="J843" t="s">
        <v>193</v>
      </c>
      <c r="K843">
        <v>0</v>
      </c>
      <c r="L843" t="s">
        <v>31</v>
      </c>
    </row>
    <row r="844" spans="9:12" x14ac:dyDescent="0.25">
      <c r="I844" t="s">
        <v>262</v>
      </c>
      <c r="J844" t="s">
        <v>194</v>
      </c>
      <c r="K844">
        <v>0</v>
      </c>
      <c r="L844" t="s">
        <v>31</v>
      </c>
    </row>
    <row r="845" spans="9:12" x14ac:dyDescent="0.25">
      <c r="I845" t="s">
        <v>262</v>
      </c>
      <c r="J845" t="s">
        <v>195</v>
      </c>
      <c r="K845">
        <v>2.8660929714589219E-2</v>
      </c>
      <c r="L845" t="s">
        <v>31</v>
      </c>
    </row>
    <row r="846" spans="9:12" x14ac:dyDescent="0.25">
      <c r="I846" t="s">
        <v>262</v>
      </c>
      <c r="J846" t="s">
        <v>196</v>
      </c>
      <c r="K846">
        <v>4.2748600280489643E-3</v>
      </c>
      <c r="L846" t="s">
        <v>31</v>
      </c>
    </row>
    <row r="847" spans="9:12" x14ac:dyDescent="0.25">
      <c r="I847" t="s">
        <v>262</v>
      </c>
      <c r="J847" t="s">
        <v>197</v>
      </c>
      <c r="K847">
        <v>4.8297163299620303E-3</v>
      </c>
      <c r="L847" t="s">
        <v>31</v>
      </c>
    </row>
    <row r="848" spans="9:12" x14ac:dyDescent="0.25">
      <c r="I848" t="s">
        <v>262</v>
      </c>
      <c r="J848" t="s">
        <v>198</v>
      </c>
      <c r="K848">
        <v>0</v>
      </c>
      <c r="L848" t="s">
        <v>31</v>
      </c>
    </row>
    <row r="849" spans="9:12" x14ac:dyDescent="0.25">
      <c r="I849" t="s">
        <v>262</v>
      </c>
      <c r="J849" t="s">
        <v>199</v>
      </c>
      <c r="K849">
        <v>0</v>
      </c>
      <c r="L849" t="s">
        <v>31</v>
      </c>
    </row>
    <row r="850" spans="9:12" x14ac:dyDescent="0.25">
      <c r="I850" t="s">
        <v>262</v>
      </c>
      <c r="J850" t="s">
        <v>200</v>
      </c>
      <c r="K850">
        <v>0</v>
      </c>
      <c r="L850" t="s">
        <v>31</v>
      </c>
    </row>
    <row r="851" spans="9:12" x14ac:dyDescent="0.25">
      <c r="I851" t="s">
        <v>262</v>
      </c>
      <c r="J851" t="s">
        <v>201</v>
      </c>
      <c r="K851">
        <v>0</v>
      </c>
      <c r="L851" t="s">
        <v>31</v>
      </c>
    </row>
    <row r="852" spans="9:12" x14ac:dyDescent="0.25">
      <c r="I852" t="s">
        <v>262</v>
      </c>
      <c r="J852" t="s">
        <v>202</v>
      </c>
      <c r="K852">
        <v>0</v>
      </c>
      <c r="L852" t="s">
        <v>31</v>
      </c>
    </row>
    <row r="853" spans="9:12" x14ac:dyDescent="0.25">
      <c r="I853" t="s">
        <v>262</v>
      </c>
      <c r="J853" t="s">
        <v>203</v>
      </c>
      <c r="K853">
        <v>1.2092888687475101E-2</v>
      </c>
      <c r="L853" t="s">
        <v>31</v>
      </c>
    </row>
    <row r="854" spans="9:12" x14ac:dyDescent="0.25">
      <c r="I854" t="s">
        <v>262</v>
      </c>
      <c r="J854" t="s">
        <v>204</v>
      </c>
      <c r="K854">
        <v>1.5947187723850151E-3</v>
      </c>
      <c r="L854" t="s">
        <v>31</v>
      </c>
    </row>
    <row r="855" spans="9:12" x14ac:dyDescent="0.25">
      <c r="I855" t="s">
        <v>262</v>
      </c>
      <c r="J855" t="s">
        <v>205</v>
      </c>
      <c r="K855">
        <v>2.5946071685456224E-4</v>
      </c>
      <c r="L855" t="s">
        <v>31</v>
      </c>
    </row>
    <row r="856" spans="9:12" x14ac:dyDescent="0.25">
      <c r="I856" t="s">
        <v>262</v>
      </c>
      <c r="J856" t="s">
        <v>206</v>
      </c>
      <c r="K856">
        <v>0</v>
      </c>
      <c r="L856" t="s">
        <v>31</v>
      </c>
    </row>
    <row r="857" spans="9:12" x14ac:dyDescent="0.25">
      <c r="I857" t="s">
        <v>262</v>
      </c>
      <c r="J857" t="s">
        <v>207</v>
      </c>
      <c r="K857">
        <v>0</v>
      </c>
      <c r="L857" t="s">
        <v>31</v>
      </c>
    </row>
    <row r="858" spans="9:12" x14ac:dyDescent="0.25">
      <c r="I858" t="s">
        <v>262</v>
      </c>
      <c r="J858" t="s">
        <v>208</v>
      </c>
      <c r="K858">
        <v>0</v>
      </c>
      <c r="L858" t="s">
        <v>31</v>
      </c>
    </row>
    <row r="859" spans="9:12" x14ac:dyDescent="0.25">
      <c r="I859" t="s">
        <v>262</v>
      </c>
      <c r="J859" t="s">
        <v>209</v>
      </c>
      <c r="K859">
        <v>0</v>
      </c>
      <c r="L859" t="s">
        <v>31</v>
      </c>
    </row>
    <row r="860" spans="9:12" x14ac:dyDescent="0.25">
      <c r="I860" t="s">
        <v>262</v>
      </c>
      <c r="J860" t="s">
        <v>210</v>
      </c>
      <c r="K860">
        <v>0</v>
      </c>
      <c r="L860" t="s">
        <v>31</v>
      </c>
    </row>
    <row r="861" spans="9:12" x14ac:dyDescent="0.25">
      <c r="I861" t="s">
        <v>262</v>
      </c>
      <c r="J861" t="s">
        <v>211</v>
      </c>
      <c r="K861">
        <v>4.5263023002266442E-3</v>
      </c>
      <c r="L861" t="s">
        <v>31</v>
      </c>
    </row>
    <row r="862" spans="9:12" x14ac:dyDescent="0.25">
      <c r="I862" t="s">
        <v>262</v>
      </c>
      <c r="J862" t="s">
        <v>212</v>
      </c>
      <c r="K862">
        <v>6.3906024040864611E-4</v>
      </c>
      <c r="L862" t="s">
        <v>31</v>
      </c>
    </row>
    <row r="863" spans="9:12" x14ac:dyDescent="0.25">
      <c r="I863" t="s">
        <v>262</v>
      </c>
      <c r="J863" t="s">
        <v>213</v>
      </c>
      <c r="K863">
        <v>0</v>
      </c>
      <c r="L863" t="s">
        <v>31</v>
      </c>
    </row>
    <row r="864" spans="9:12" x14ac:dyDescent="0.25">
      <c r="I864" t="s">
        <v>262</v>
      </c>
      <c r="J864" t="s">
        <v>214</v>
      </c>
      <c r="K864">
        <v>0</v>
      </c>
      <c r="L864" t="s">
        <v>31</v>
      </c>
    </row>
    <row r="865" spans="9:12" x14ac:dyDescent="0.25">
      <c r="I865" t="s">
        <v>262</v>
      </c>
      <c r="J865" t="s">
        <v>215</v>
      </c>
      <c r="K865">
        <v>0</v>
      </c>
      <c r="L865" t="s">
        <v>31</v>
      </c>
    </row>
    <row r="866" spans="9:12" x14ac:dyDescent="0.25">
      <c r="I866" t="s">
        <v>262</v>
      </c>
      <c r="J866" t="s">
        <v>216</v>
      </c>
      <c r="K866">
        <v>0</v>
      </c>
      <c r="L866" t="s">
        <v>31</v>
      </c>
    </row>
    <row r="867" spans="9:12" x14ac:dyDescent="0.25">
      <c r="I867" t="s">
        <v>263</v>
      </c>
      <c r="J867" t="s">
        <v>121</v>
      </c>
      <c r="K867">
        <v>0</v>
      </c>
      <c r="L867" t="s">
        <v>31</v>
      </c>
    </row>
    <row r="868" spans="9:12" x14ac:dyDescent="0.25">
      <c r="I868" t="s">
        <v>263</v>
      </c>
      <c r="J868" t="s">
        <v>122</v>
      </c>
      <c r="K868">
        <v>0</v>
      </c>
      <c r="L868" t="s">
        <v>31</v>
      </c>
    </row>
    <row r="869" spans="9:12" x14ac:dyDescent="0.25">
      <c r="I869" t="s">
        <v>263</v>
      </c>
      <c r="J869" t="s">
        <v>123</v>
      </c>
      <c r="K869">
        <v>8.244810902901795E-3</v>
      </c>
      <c r="L869" t="s">
        <v>31</v>
      </c>
    </row>
    <row r="870" spans="9:12" x14ac:dyDescent="0.25">
      <c r="I870" t="s">
        <v>263</v>
      </c>
      <c r="J870" t="s">
        <v>124</v>
      </c>
      <c r="K870">
        <v>1.4127396844557706E-3</v>
      </c>
      <c r="L870" t="s">
        <v>31</v>
      </c>
    </row>
    <row r="871" spans="9:12" x14ac:dyDescent="0.25">
      <c r="I871" t="s">
        <v>263</v>
      </c>
      <c r="J871" t="s">
        <v>125</v>
      </c>
      <c r="K871">
        <v>6.1816345125984083E-4</v>
      </c>
      <c r="L871" t="s">
        <v>31</v>
      </c>
    </row>
    <row r="872" spans="9:12" x14ac:dyDescent="0.25">
      <c r="I872" t="s">
        <v>263</v>
      </c>
      <c r="J872" t="s">
        <v>126</v>
      </c>
      <c r="K872">
        <v>0</v>
      </c>
      <c r="L872" t="s">
        <v>31</v>
      </c>
    </row>
    <row r="873" spans="9:12" x14ac:dyDescent="0.25">
      <c r="I873" t="s">
        <v>263</v>
      </c>
      <c r="J873" t="s">
        <v>127</v>
      </c>
      <c r="K873">
        <v>0</v>
      </c>
      <c r="L873" t="s">
        <v>31</v>
      </c>
    </row>
    <row r="874" spans="9:12" x14ac:dyDescent="0.25">
      <c r="I874" t="s">
        <v>263</v>
      </c>
      <c r="J874" t="s">
        <v>128</v>
      </c>
      <c r="K874">
        <v>0</v>
      </c>
      <c r="L874" t="s">
        <v>31</v>
      </c>
    </row>
    <row r="875" spans="9:12" x14ac:dyDescent="0.25">
      <c r="I875" t="s">
        <v>263</v>
      </c>
      <c r="J875" t="s">
        <v>129</v>
      </c>
      <c r="K875">
        <v>0</v>
      </c>
      <c r="L875" t="s">
        <v>31</v>
      </c>
    </row>
    <row r="876" spans="9:12" x14ac:dyDescent="0.25">
      <c r="I876" t="s">
        <v>263</v>
      </c>
      <c r="J876" t="s">
        <v>130</v>
      </c>
      <c r="K876">
        <v>0</v>
      </c>
      <c r="L876" t="s">
        <v>31</v>
      </c>
    </row>
    <row r="877" spans="9:12" x14ac:dyDescent="0.25">
      <c r="I877" t="s">
        <v>263</v>
      </c>
      <c r="J877" t="s">
        <v>131</v>
      </c>
      <c r="K877">
        <v>2.0491651333539897E-2</v>
      </c>
      <c r="L877" t="s">
        <v>31</v>
      </c>
    </row>
    <row r="878" spans="9:12" x14ac:dyDescent="0.25">
      <c r="I878" t="s">
        <v>263</v>
      </c>
      <c r="J878" t="s">
        <v>132</v>
      </c>
      <c r="K878">
        <v>3.4699017702487403E-3</v>
      </c>
      <c r="L878" t="s">
        <v>31</v>
      </c>
    </row>
    <row r="879" spans="9:12" x14ac:dyDescent="0.25">
      <c r="I879" t="s">
        <v>263</v>
      </c>
      <c r="J879" t="s">
        <v>133</v>
      </c>
      <c r="K879">
        <v>3.6213769630866659E-3</v>
      </c>
      <c r="L879" t="s">
        <v>31</v>
      </c>
    </row>
    <row r="880" spans="9:12" x14ac:dyDescent="0.25">
      <c r="I880" t="s">
        <v>263</v>
      </c>
      <c r="J880" t="s">
        <v>134</v>
      </c>
      <c r="K880">
        <v>0</v>
      </c>
      <c r="L880" t="s">
        <v>31</v>
      </c>
    </row>
    <row r="881" spans="9:12" x14ac:dyDescent="0.25">
      <c r="I881" t="s">
        <v>263</v>
      </c>
      <c r="J881" t="s">
        <v>135</v>
      </c>
      <c r="K881">
        <v>0</v>
      </c>
      <c r="L881" t="s">
        <v>31</v>
      </c>
    </row>
    <row r="882" spans="9:12" x14ac:dyDescent="0.25">
      <c r="I882" t="s">
        <v>263</v>
      </c>
      <c r="J882" t="s">
        <v>136</v>
      </c>
      <c r="K882">
        <v>0</v>
      </c>
      <c r="L882" t="s">
        <v>31</v>
      </c>
    </row>
    <row r="883" spans="9:12" x14ac:dyDescent="0.25">
      <c r="I883" t="s">
        <v>263</v>
      </c>
      <c r="J883" t="s">
        <v>137</v>
      </c>
      <c r="K883">
        <v>0</v>
      </c>
      <c r="L883" t="s">
        <v>31</v>
      </c>
    </row>
    <row r="884" spans="9:12" x14ac:dyDescent="0.25">
      <c r="I884" t="s">
        <v>263</v>
      </c>
      <c r="J884" t="s">
        <v>138</v>
      </c>
      <c r="K884">
        <v>0</v>
      </c>
      <c r="L884" t="s">
        <v>31</v>
      </c>
    </row>
    <row r="885" spans="9:12" x14ac:dyDescent="0.25">
      <c r="I885" t="s">
        <v>263</v>
      </c>
      <c r="J885" t="s">
        <v>139</v>
      </c>
      <c r="K885">
        <v>7.8267129520329284E-2</v>
      </c>
      <c r="L885" t="s">
        <v>31</v>
      </c>
    </row>
    <row r="886" spans="9:12" x14ac:dyDescent="0.25">
      <c r="I886" t="s">
        <v>263</v>
      </c>
      <c r="J886" t="s">
        <v>140</v>
      </c>
      <c r="K886">
        <v>1.2311100614487243E-2</v>
      </c>
      <c r="L886" t="s">
        <v>31</v>
      </c>
    </row>
    <row r="887" spans="9:12" x14ac:dyDescent="0.25">
      <c r="I887" t="s">
        <v>263</v>
      </c>
      <c r="J887" t="s">
        <v>141</v>
      </c>
      <c r="K887">
        <v>2.3495211201224182E-2</v>
      </c>
      <c r="L887" t="s">
        <v>31</v>
      </c>
    </row>
    <row r="888" spans="9:12" x14ac:dyDescent="0.25">
      <c r="I888" t="s">
        <v>263</v>
      </c>
      <c r="J888" t="s">
        <v>142</v>
      </c>
      <c r="K888">
        <v>3.2923404097034135E-4</v>
      </c>
      <c r="L888" t="s">
        <v>31</v>
      </c>
    </row>
    <row r="889" spans="9:12" x14ac:dyDescent="0.25">
      <c r="I889" t="s">
        <v>263</v>
      </c>
      <c r="J889" t="s">
        <v>143</v>
      </c>
      <c r="K889">
        <v>0</v>
      </c>
      <c r="L889" t="s">
        <v>31</v>
      </c>
    </row>
    <row r="890" spans="9:12" x14ac:dyDescent="0.25">
      <c r="I890" t="s">
        <v>263</v>
      </c>
      <c r="J890" t="s">
        <v>144</v>
      </c>
      <c r="K890">
        <v>0</v>
      </c>
      <c r="L890" t="s">
        <v>31</v>
      </c>
    </row>
    <row r="891" spans="9:12" x14ac:dyDescent="0.25">
      <c r="I891" t="s">
        <v>263</v>
      </c>
      <c r="J891" t="s">
        <v>145</v>
      </c>
      <c r="K891">
        <v>0</v>
      </c>
      <c r="L891" t="s">
        <v>31</v>
      </c>
    </row>
    <row r="892" spans="9:12" x14ac:dyDescent="0.25">
      <c r="I892" t="s">
        <v>263</v>
      </c>
      <c r="J892" t="s">
        <v>146</v>
      </c>
      <c r="K892">
        <v>1.5979949420121474E-6</v>
      </c>
      <c r="L892" t="s">
        <v>31</v>
      </c>
    </row>
    <row r="893" spans="9:12" x14ac:dyDescent="0.25">
      <c r="I893" t="s">
        <v>263</v>
      </c>
      <c r="J893" t="s">
        <v>147</v>
      </c>
      <c r="K893">
        <v>8.4198439208002893E-2</v>
      </c>
      <c r="L893" t="s">
        <v>31</v>
      </c>
    </row>
    <row r="894" spans="9:12" x14ac:dyDescent="0.25">
      <c r="I894" t="s">
        <v>263</v>
      </c>
      <c r="J894" t="s">
        <v>148</v>
      </c>
      <c r="K894">
        <v>1.1033520293542749E-2</v>
      </c>
      <c r="L894" t="s">
        <v>31</v>
      </c>
    </row>
    <row r="895" spans="9:12" x14ac:dyDescent="0.25">
      <c r="I895" t="s">
        <v>263</v>
      </c>
      <c r="J895" t="s">
        <v>149</v>
      </c>
      <c r="K895">
        <v>2.4762053859012197E-2</v>
      </c>
      <c r="L895" t="s">
        <v>31</v>
      </c>
    </row>
    <row r="896" spans="9:12" x14ac:dyDescent="0.25">
      <c r="I896" t="s">
        <v>263</v>
      </c>
      <c r="J896" t="s">
        <v>150</v>
      </c>
      <c r="K896">
        <v>3.6423978779708032E-3</v>
      </c>
      <c r="L896" t="s">
        <v>31</v>
      </c>
    </row>
    <row r="897" spans="9:12" x14ac:dyDescent="0.25">
      <c r="I897" t="s">
        <v>263</v>
      </c>
      <c r="J897" t="s">
        <v>151</v>
      </c>
      <c r="K897">
        <v>6.1765608745711453E-4</v>
      </c>
      <c r="L897" t="s">
        <v>31</v>
      </c>
    </row>
    <row r="898" spans="9:12" x14ac:dyDescent="0.25">
      <c r="I898" t="s">
        <v>263</v>
      </c>
      <c r="J898" t="s">
        <v>152</v>
      </c>
      <c r="K898">
        <v>0</v>
      </c>
      <c r="L898" t="s">
        <v>31</v>
      </c>
    </row>
    <row r="899" spans="9:12" x14ac:dyDescent="0.25">
      <c r="I899" t="s">
        <v>263</v>
      </c>
      <c r="J899" t="s">
        <v>153</v>
      </c>
      <c r="K899">
        <v>3.3510082290818144E-5</v>
      </c>
      <c r="L899" t="s">
        <v>31</v>
      </c>
    </row>
    <row r="900" spans="9:12" x14ac:dyDescent="0.25">
      <c r="I900" t="s">
        <v>263</v>
      </c>
      <c r="J900" t="s">
        <v>154</v>
      </c>
      <c r="K900">
        <v>2.2948374389607788E-3</v>
      </c>
      <c r="L900" t="s">
        <v>31</v>
      </c>
    </row>
    <row r="901" spans="9:12" x14ac:dyDescent="0.25">
      <c r="I901" t="s">
        <v>263</v>
      </c>
      <c r="J901" t="s">
        <v>155</v>
      </c>
      <c r="K901">
        <v>9.475183371211636E-2</v>
      </c>
      <c r="L901" t="s">
        <v>31</v>
      </c>
    </row>
    <row r="902" spans="9:12" x14ac:dyDescent="0.25">
      <c r="I902" t="s">
        <v>263</v>
      </c>
      <c r="J902" t="s">
        <v>156</v>
      </c>
      <c r="K902">
        <v>1.2703254570961062E-2</v>
      </c>
      <c r="L902" t="s">
        <v>31</v>
      </c>
    </row>
    <row r="903" spans="9:12" x14ac:dyDescent="0.25">
      <c r="I903" t="s">
        <v>263</v>
      </c>
      <c r="J903" t="s">
        <v>157</v>
      </c>
      <c r="K903">
        <v>2.9488665335698244E-2</v>
      </c>
      <c r="L903" t="s">
        <v>31</v>
      </c>
    </row>
    <row r="904" spans="9:12" x14ac:dyDescent="0.25">
      <c r="I904" t="s">
        <v>263</v>
      </c>
      <c r="J904" t="s">
        <v>158</v>
      </c>
      <c r="K904">
        <v>5.850739322805408E-3</v>
      </c>
      <c r="L904" t="s">
        <v>31</v>
      </c>
    </row>
    <row r="905" spans="9:12" x14ac:dyDescent="0.25">
      <c r="I905" t="s">
        <v>263</v>
      </c>
      <c r="J905" t="s">
        <v>159</v>
      </c>
      <c r="K905">
        <v>2.9766667103186804E-3</v>
      </c>
      <c r="L905" t="s">
        <v>31</v>
      </c>
    </row>
    <row r="906" spans="9:12" x14ac:dyDescent="0.25">
      <c r="I906" t="s">
        <v>263</v>
      </c>
      <c r="J906" t="s">
        <v>160</v>
      </c>
      <c r="K906">
        <v>2.9388975058872575E-4</v>
      </c>
      <c r="L906" t="s">
        <v>31</v>
      </c>
    </row>
    <row r="907" spans="9:12" x14ac:dyDescent="0.25">
      <c r="I907" t="s">
        <v>263</v>
      </c>
      <c r="J907" t="s">
        <v>161</v>
      </c>
      <c r="K907">
        <v>1.0864889659409332E-3</v>
      </c>
      <c r="L907" t="s">
        <v>31</v>
      </c>
    </row>
    <row r="908" spans="9:12" x14ac:dyDescent="0.25">
      <c r="I908" t="s">
        <v>263</v>
      </c>
      <c r="J908" t="s">
        <v>162</v>
      </c>
      <c r="K908">
        <v>3.3552638840407155E-3</v>
      </c>
      <c r="L908" t="s">
        <v>31</v>
      </c>
    </row>
    <row r="909" spans="9:12" x14ac:dyDescent="0.25">
      <c r="I909" t="s">
        <v>263</v>
      </c>
      <c r="J909" t="s">
        <v>163</v>
      </c>
      <c r="K909">
        <v>9.5678950670496102E-2</v>
      </c>
      <c r="L909" t="s">
        <v>31</v>
      </c>
    </row>
    <row r="910" spans="9:12" x14ac:dyDescent="0.25">
      <c r="I910" t="s">
        <v>263</v>
      </c>
      <c r="J910" t="s">
        <v>164</v>
      </c>
      <c r="K910">
        <v>1.1360730963371654E-2</v>
      </c>
      <c r="L910" t="s">
        <v>31</v>
      </c>
    </row>
    <row r="911" spans="9:12" x14ac:dyDescent="0.25">
      <c r="I911" t="s">
        <v>263</v>
      </c>
      <c r="J911" t="s">
        <v>165</v>
      </c>
      <c r="K911">
        <v>2.8522958059822207E-2</v>
      </c>
      <c r="L911" t="s">
        <v>31</v>
      </c>
    </row>
    <row r="912" spans="9:12" x14ac:dyDescent="0.25">
      <c r="I912" t="s">
        <v>263</v>
      </c>
      <c r="J912" t="s">
        <v>166</v>
      </c>
      <c r="K912">
        <v>5.7052123452518656E-3</v>
      </c>
      <c r="L912" t="s">
        <v>31</v>
      </c>
    </row>
    <row r="913" spans="9:12" x14ac:dyDescent="0.25">
      <c r="I913" t="s">
        <v>263</v>
      </c>
      <c r="J913" t="s">
        <v>167</v>
      </c>
      <c r="K913">
        <v>3.759875169577953E-3</v>
      </c>
      <c r="L913" t="s">
        <v>31</v>
      </c>
    </row>
    <row r="914" spans="9:12" x14ac:dyDescent="0.25">
      <c r="I914" t="s">
        <v>263</v>
      </c>
      <c r="J914" t="s">
        <v>168</v>
      </c>
      <c r="K914">
        <v>1.7106752169796914E-3</v>
      </c>
      <c r="L914" t="s">
        <v>31</v>
      </c>
    </row>
    <row r="915" spans="9:12" x14ac:dyDescent="0.25">
      <c r="I915" t="s">
        <v>263</v>
      </c>
      <c r="J915" t="s">
        <v>169</v>
      </c>
      <c r="K915">
        <v>2.4623721627657072E-4</v>
      </c>
      <c r="L915" t="s">
        <v>31</v>
      </c>
    </row>
    <row r="916" spans="9:12" x14ac:dyDescent="0.25">
      <c r="I916" t="s">
        <v>263</v>
      </c>
      <c r="J916" t="s">
        <v>170</v>
      </c>
      <c r="K916">
        <v>3.0257525251269927E-3</v>
      </c>
      <c r="L916" t="s">
        <v>31</v>
      </c>
    </row>
    <row r="917" spans="9:12" x14ac:dyDescent="0.25">
      <c r="I917" t="s">
        <v>263</v>
      </c>
      <c r="J917" t="s">
        <v>171</v>
      </c>
      <c r="K917">
        <v>9.4752975594781436E-2</v>
      </c>
      <c r="L917" t="s">
        <v>31</v>
      </c>
    </row>
    <row r="918" spans="9:12" x14ac:dyDescent="0.25">
      <c r="I918" t="s">
        <v>263</v>
      </c>
      <c r="J918" t="s">
        <v>172</v>
      </c>
      <c r="K918">
        <v>1.2010369571695226E-2</v>
      </c>
      <c r="L918" t="s">
        <v>31</v>
      </c>
    </row>
    <row r="919" spans="9:12" x14ac:dyDescent="0.25">
      <c r="I919" t="s">
        <v>263</v>
      </c>
      <c r="J919" t="s">
        <v>173</v>
      </c>
      <c r="K919">
        <v>2.9631842076279963E-2</v>
      </c>
      <c r="L919" t="s">
        <v>31</v>
      </c>
    </row>
    <row r="920" spans="9:12" x14ac:dyDescent="0.25">
      <c r="I920" t="s">
        <v>263</v>
      </c>
      <c r="J920" t="s">
        <v>174</v>
      </c>
      <c r="K920">
        <v>6.6642702424942442E-3</v>
      </c>
      <c r="L920" t="s">
        <v>31</v>
      </c>
    </row>
    <row r="921" spans="9:12" x14ac:dyDescent="0.25">
      <c r="I921" t="s">
        <v>263</v>
      </c>
      <c r="J921" t="s">
        <v>175</v>
      </c>
      <c r="K921">
        <v>4.0788910774191287E-3</v>
      </c>
      <c r="L921" t="s">
        <v>31</v>
      </c>
    </row>
    <row r="922" spans="9:12" x14ac:dyDescent="0.25">
      <c r="I922" t="s">
        <v>263</v>
      </c>
      <c r="J922" t="s">
        <v>176</v>
      </c>
      <c r="K922">
        <v>1.8033283723330696E-3</v>
      </c>
      <c r="L922" t="s">
        <v>31</v>
      </c>
    </row>
    <row r="923" spans="9:12" x14ac:dyDescent="0.25">
      <c r="I923" t="s">
        <v>263</v>
      </c>
      <c r="J923" t="s">
        <v>177</v>
      </c>
      <c r="K923">
        <v>0</v>
      </c>
      <c r="L923" t="s">
        <v>31</v>
      </c>
    </row>
    <row r="924" spans="9:12" x14ac:dyDescent="0.25">
      <c r="I924" t="s">
        <v>263</v>
      </c>
      <c r="J924" t="s">
        <v>178</v>
      </c>
      <c r="K924">
        <v>6.0886653577635742E-4</v>
      </c>
      <c r="L924" t="s">
        <v>31</v>
      </c>
    </row>
    <row r="925" spans="9:12" x14ac:dyDescent="0.25">
      <c r="I925" t="s">
        <v>263</v>
      </c>
      <c r="J925" t="s">
        <v>179</v>
      </c>
      <c r="K925">
        <v>7.9353716330898133E-2</v>
      </c>
      <c r="L925" t="s">
        <v>31</v>
      </c>
    </row>
    <row r="926" spans="9:12" x14ac:dyDescent="0.25">
      <c r="I926" t="s">
        <v>263</v>
      </c>
      <c r="J926" t="s">
        <v>180</v>
      </c>
      <c r="K926">
        <v>1.051366716307979E-2</v>
      </c>
      <c r="L926" t="s">
        <v>31</v>
      </c>
    </row>
    <row r="927" spans="9:12" x14ac:dyDescent="0.25">
      <c r="I927" t="s">
        <v>263</v>
      </c>
      <c r="J927" t="s">
        <v>181</v>
      </c>
      <c r="K927">
        <v>2.5529289669338068E-2</v>
      </c>
      <c r="L927" t="s">
        <v>31</v>
      </c>
    </row>
    <row r="928" spans="9:12" x14ac:dyDescent="0.25">
      <c r="I928" t="s">
        <v>263</v>
      </c>
      <c r="J928" t="s">
        <v>182</v>
      </c>
      <c r="K928">
        <v>4.6391059379533011E-3</v>
      </c>
      <c r="L928" t="s">
        <v>31</v>
      </c>
    </row>
    <row r="929" spans="9:12" x14ac:dyDescent="0.25">
      <c r="I929" t="s">
        <v>263</v>
      </c>
      <c r="J929" t="s">
        <v>183</v>
      </c>
      <c r="K929">
        <v>1.8105606074451286E-3</v>
      </c>
      <c r="L929" t="s">
        <v>31</v>
      </c>
    </row>
    <row r="930" spans="9:12" x14ac:dyDescent="0.25">
      <c r="I930" t="s">
        <v>263</v>
      </c>
      <c r="J930" t="s">
        <v>184</v>
      </c>
      <c r="K930">
        <v>0</v>
      </c>
      <c r="L930" t="s">
        <v>31</v>
      </c>
    </row>
    <row r="931" spans="9:12" x14ac:dyDescent="0.25">
      <c r="I931" t="s">
        <v>263</v>
      </c>
      <c r="J931" t="s">
        <v>185</v>
      </c>
      <c r="K931">
        <v>0</v>
      </c>
      <c r="L931" t="s">
        <v>31</v>
      </c>
    </row>
    <row r="932" spans="9:12" x14ac:dyDescent="0.25">
      <c r="I932" t="s">
        <v>263</v>
      </c>
      <c r="J932" t="s">
        <v>186</v>
      </c>
      <c r="K932">
        <v>0</v>
      </c>
      <c r="L932" t="s">
        <v>31</v>
      </c>
    </row>
    <row r="933" spans="9:12" x14ac:dyDescent="0.25">
      <c r="I933" t="s">
        <v>263</v>
      </c>
      <c r="J933" t="s">
        <v>187</v>
      </c>
      <c r="K933">
        <v>6.4345262171371237E-2</v>
      </c>
      <c r="L933" t="s">
        <v>31</v>
      </c>
    </row>
    <row r="934" spans="9:12" x14ac:dyDescent="0.25">
      <c r="I934" t="s">
        <v>263</v>
      </c>
      <c r="J934" t="s">
        <v>188</v>
      </c>
      <c r="K934">
        <v>8.9574470643704138E-3</v>
      </c>
      <c r="L934" t="s">
        <v>31</v>
      </c>
    </row>
    <row r="935" spans="9:12" x14ac:dyDescent="0.25">
      <c r="I935" t="s">
        <v>263</v>
      </c>
      <c r="J935" t="s">
        <v>189</v>
      </c>
      <c r="K935">
        <v>1.7932625613388081E-2</v>
      </c>
      <c r="L935" t="s">
        <v>31</v>
      </c>
    </row>
    <row r="936" spans="9:12" x14ac:dyDescent="0.25">
      <c r="I936" t="s">
        <v>263</v>
      </c>
      <c r="J936" t="s">
        <v>190</v>
      </c>
      <c r="K936">
        <v>1.1273184373715762E-3</v>
      </c>
      <c r="L936" t="s">
        <v>31</v>
      </c>
    </row>
    <row r="937" spans="9:12" x14ac:dyDescent="0.25">
      <c r="I937" t="s">
        <v>263</v>
      </c>
      <c r="J937" t="s">
        <v>191</v>
      </c>
      <c r="K937">
        <v>0</v>
      </c>
      <c r="L937" t="s">
        <v>31</v>
      </c>
    </row>
    <row r="938" spans="9:12" x14ac:dyDescent="0.25">
      <c r="I938" t="s">
        <v>263</v>
      </c>
      <c r="J938" t="s">
        <v>192</v>
      </c>
      <c r="K938">
        <v>0</v>
      </c>
      <c r="L938" t="s">
        <v>31</v>
      </c>
    </row>
    <row r="939" spans="9:12" x14ac:dyDescent="0.25">
      <c r="I939" t="s">
        <v>263</v>
      </c>
      <c r="J939" t="s">
        <v>193</v>
      </c>
      <c r="K939">
        <v>0</v>
      </c>
      <c r="L939" t="s">
        <v>31</v>
      </c>
    </row>
    <row r="940" spans="9:12" x14ac:dyDescent="0.25">
      <c r="I940" t="s">
        <v>263</v>
      </c>
      <c r="J940" t="s">
        <v>194</v>
      </c>
      <c r="K940">
        <v>0</v>
      </c>
      <c r="L940" t="s">
        <v>31</v>
      </c>
    </row>
    <row r="941" spans="9:12" x14ac:dyDescent="0.25">
      <c r="I941" t="s">
        <v>263</v>
      </c>
      <c r="J941" t="s">
        <v>195</v>
      </c>
      <c r="K941">
        <v>2.8660929714589219E-2</v>
      </c>
      <c r="L941" t="s">
        <v>31</v>
      </c>
    </row>
    <row r="942" spans="9:12" x14ac:dyDescent="0.25">
      <c r="I942" t="s">
        <v>263</v>
      </c>
      <c r="J942" t="s">
        <v>196</v>
      </c>
      <c r="K942">
        <v>4.2748600280489643E-3</v>
      </c>
      <c r="L942" t="s">
        <v>31</v>
      </c>
    </row>
    <row r="943" spans="9:12" x14ac:dyDescent="0.25">
      <c r="I943" t="s">
        <v>263</v>
      </c>
      <c r="J943" t="s">
        <v>197</v>
      </c>
      <c r="K943">
        <v>4.8297163299620303E-3</v>
      </c>
      <c r="L943" t="s">
        <v>31</v>
      </c>
    </row>
    <row r="944" spans="9:12" x14ac:dyDescent="0.25">
      <c r="I944" t="s">
        <v>263</v>
      </c>
      <c r="J944" t="s">
        <v>198</v>
      </c>
      <c r="K944">
        <v>0</v>
      </c>
      <c r="L944" t="s">
        <v>31</v>
      </c>
    </row>
    <row r="945" spans="9:12" x14ac:dyDescent="0.25">
      <c r="I945" t="s">
        <v>263</v>
      </c>
      <c r="J945" t="s">
        <v>199</v>
      </c>
      <c r="K945">
        <v>0</v>
      </c>
      <c r="L945" t="s">
        <v>31</v>
      </c>
    </row>
    <row r="946" spans="9:12" x14ac:dyDescent="0.25">
      <c r="I946" t="s">
        <v>263</v>
      </c>
      <c r="J946" t="s">
        <v>200</v>
      </c>
      <c r="K946">
        <v>0</v>
      </c>
      <c r="L946" t="s">
        <v>31</v>
      </c>
    </row>
    <row r="947" spans="9:12" x14ac:dyDescent="0.25">
      <c r="I947" t="s">
        <v>263</v>
      </c>
      <c r="J947" t="s">
        <v>201</v>
      </c>
      <c r="K947">
        <v>0</v>
      </c>
      <c r="L947" t="s">
        <v>31</v>
      </c>
    </row>
    <row r="948" spans="9:12" x14ac:dyDescent="0.25">
      <c r="I948" t="s">
        <v>263</v>
      </c>
      <c r="J948" t="s">
        <v>202</v>
      </c>
      <c r="K948">
        <v>0</v>
      </c>
      <c r="L948" t="s">
        <v>31</v>
      </c>
    </row>
    <row r="949" spans="9:12" x14ac:dyDescent="0.25">
      <c r="I949" t="s">
        <v>263</v>
      </c>
      <c r="J949" t="s">
        <v>203</v>
      </c>
      <c r="K949">
        <v>1.2092888687475101E-2</v>
      </c>
      <c r="L949" t="s">
        <v>31</v>
      </c>
    </row>
    <row r="950" spans="9:12" x14ac:dyDescent="0.25">
      <c r="I950" t="s">
        <v>263</v>
      </c>
      <c r="J950" t="s">
        <v>204</v>
      </c>
      <c r="K950">
        <v>1.5947187723850151E-3</v>
      </c>
      <c r="L950" t="s">
        <v>31</v>
      </c>
    </row>
    <row r="951" spans="9:12" x14ac:dyDescent="0.25">
      <c r="I951" t="s">
        <v>263</v>
      </c>
      <c r="J951" t="s">
        <v>205</v>
      </c>
      <c r="K951">
        <v>2.5946071685456224E-4</v>
      </c>
      <c r="L951" t="s">
        <v>31</v>
      </c>
    </row>
    <row r="952" spans="9:12" x14ac:dyDescent="0.25">
      <c r="I952" t="s">
        <v>263</v>
      </c>
      <c r="J952" t="s">
        <v>206</v>
      </c>
      <c r="K952">
        <v>0</v>
      </c>
      <c r="L952" t="s">
        <v>31</v>
      </c>
    </row>
    <row r="953" spans="9:12" x14ac:dyDescent="0.25">
      <c r="I953" t="s">
        <v>263</v>
      </c>
      <c r="J953" t="s">
        <v>207</v>
      </c>
      <c r="K953">
        <v>0</v>
      </c>
      <c r="L953" t="s">
        <v>31</v>
      </c>
    </row>
    <row r="954" spans="9:12" x14ac:dyDescent="0.25">
      <c r="I954" t="s">
        <v>263</v>
      </c>
      <c r="J954" t="s">
        <v>208</v>
      </c>
      <c r="K954">
        <v>0</v>
      </c>
      <c r="L954" t="s">
        <v>31</v>
      </c>
    </row>
    <row r="955" spans="9:12" x14ac:dyDescent="0.25">
      <c r="I955" t="s">
        <v>263</v>
      </c>
      <c r="J955" t="s">
        <v>209</v>
      </c>
      <c r="K955">
        <v>0</v>
      </c>
      <c r="L955" t="s">
        <v>31</v>
      </c>
    </row>
    <row r="956" spans="9:12" x14ac:dyDescent="0.25">
      <c r="I956" t="s">
        <v>263</v>
      </c>
      <c r="J956" t="s">
        <v>210</v>
      </c>
      <c r="K956">
        <v>0</v>
      </c>
      <c r="L956" t="s">
        <v>31</v>
      </c>
    </row>
    <row r="957" spans="9:12" x14ac:dyDescent="0.25">
      <c r="I957" t="s">
        <v>263</v>
      </c>
      <c r="J957" t="s">
        <v>211</v>
      </c>
      <c r="K957">
        <v>4.5263023002266442E-3</v>
      </c>
      <c r="L957" t="s">
        <v>31</v>
      </c>
    </row>
    <row r="958" spans="9:12" x14ac:dyDescent="0.25">
      <c r="I958" t="s">
        <v>263</v>
      </c>
      <c r="J958" t="s">
        <v>212</v>
      </c>
      <c r="K958">
        <v>6.3906024040864611E-4</v>
      </c>
      <c r="L958" t="s">
        <v>31</v>
      </c>
    </row>
    <row r="959" spans="9:12" x14ac:dyDescent="0.25">
      <c r="I959" t="s">
        <v>263</v>
      </c>
      <c r="J959" t="s">
        <v>213</v>
      </c>
      <c r="K959">
        <v>0</v>
      </c>
      <c r="L959" t="s">
        <v>31</v>
      </c>
    </row>
    <row r="960" spans="9:12" x14ac:dyDescent="0.25">
      <c r="I960" t="s">
        <v>263</v>
      </c>
      <c r="J960" t="s">
        <v>214</v>
      </c>
      <c r="K960">
        <v>0</v>
      </c>
      <c r="L960" t="s">
        <v>31</v>
      </c>
    </row>
    <row r="961" spans="9:12" x14ac:dyDescent="0.25">
      <c r="I961" t="s">
        <v>263</v>
      </c>
      <c r="J961" t="s">
        <v>215</v>
      </c>
      <c r="K961">
        <v>0</v>
      </c>
      <c r="L961" t="s">
        <v>31</v>
      </c>
    </row>
    <row r="962" spans="9:12" x14ac:dyDescent="0.25">
      <c r="I962" t="s">
        <v>263</v>
      </c>
      <c r="J962" t="s">
        <v>216</v>
      </c>
      <c r="K962">
        <v>0</v>
      </c>
      <c r="L962" t="s">
        <v>31</v>
      </c>
    </row>
    <row r="963" spans="9:12" x14ac:dyDescent="0.25">
      <c r="I963" t="s">
        <v>276</v>
      </c>
      <c r="J963" t="s">
        <v>122</v>
      </c>
      <c r="K963">
        <v>0</v>
      </c>
      <c r="L963" t="s">
        <v>31</v>
      </c>
    </row>
    <row r="964" spans="9:12" x14ac:dyDescent="0.25">
      <c r="I964" t="s">
        <v>276</v>
      </c>
      <c r="J964" t="s">
        <v>123</v>
      </c>
      <c r="K964">
        <v>8.244810902901795E-3</v>
      </c>
      <c r="L964" t="s">
        <v>31</v>
      </c>
    </row>
    <row r="965" spans="9:12" x14ac:dyDescent="0.25">
      <c r="I965" t="s">
        <v>276</v>
      </c>
      <c r="J965" t="s">
        <v>124</v>
      </c>
      <c r="K965">
        <v>1.4127396844557706E-3</v>
      </c>
      <c r="L965" t="s">
        <v>31</v>
      </c>
    </row>
    <row r="966" spans="9:12" x14ac:dyDescent="0.25">
      <c r="I966" t="s">
        <v>276</v>
      </c>
      <c r="J966" t="s">
        <v>125</v>
      </c>
      <c r="K966">
        <v>6.1816345125984083E-4</v>
      </c>
      <c r="L966" t="s">
        <v>31</v>
      </c>
    </row>
    <row r="967" spans="9:12" x14ac:dyDescent="0.25">
      <c r="I967" t="s">
        <v>276</v>
      </c>
      <c r="J967" t="s">
        <v>126</v>
      </c>
      <c r="K967">
        <v>0</v>
      </c>
      <c r="L967" t="s">
        <v>31</v>
      </c>
    </row>
    <row r="968" spans="9:12" x14ac:dyDescent="0.25">
      <c r="I968" t="s">
        <v>276</v>
      </c>
      <c r="J968" t="s">
        <v>127</v>
      </c>
      <c r="K968">
        <v>0</v>
      </c>
      <c r="L968" t="s">
        <v>31</v>
      </c>
    </row>
    <row r="969" spans="9:12" x14ac:dyDescent="0.25">
      <c r="I969" t="s">
        <v>276</v>
      </c>
      <c r="J969" t="s">
        <v>128</v>
      </c>
      <c r="K969">
        <v>0</v>
      </c>
      <c r="L969" t="s">
        <v>31</v>
      </c>
    </row>
    <row r="970" spans="9:12" x14ac:dyDescent="0.25">
      <c r="I970" t="s">
        <v>276</v>
      </c>
      <c r="J970" t="s">
        <v>129</v>
      </c>
      <c r="K970">
        <v>0</v>
      </c>
      <c r="L970" t="s">
        <v>31</v>
      </c>
    </row>
    <row r="971" spans="9:12" x14ac:dyDescent="0.25">
      <c r="I971" t="s">
        <v>276</v>
      </c>
      <c r="J971" t="s">
        <v>130</v>
      </c>
      <c r="K971">
        <v>0</v>
      </c>
      <c r="L971" t="s">
        <v>31</v>
      </c>
    </row>
    <row r="972" spans="9:12" x14ac:dyDescent="0.25">
      <c r="I972" t="s">
        <v>276</v>
      </c>
      <c r="J972" t="s">
        <v>131</v>
      </c>
      <c r="K972">
        <v>2.0491651333539897E-2</v>
      </c>
      <c r="L972" t="s">
        <v>31</v>
      </c>
    </row>
    <row r="973" spans="9:12" x14ac:dyDescent="0.25">
      <c r="I973" t="s">
        <v>276</v>
      </c>
      <c r="J973" t="s">
        <v>132</v>
      </c>
      <c r="K973">
        <v>3.4699017702487403E-3</v>
      </c>
      <c r="L973" t="s">
        <v>31</v>
      </c>
    </row>
    <row r="974" spans="9:12" x14ac:dyDescent="0.25">
      <c r="I974" t="s">
        <v>276</v>
      </c>
      <c r="J974" t="s">
        <v>133</v>
      </c>
      <c r="K974">
        <v>3.6213769630866659E-3</v>
      </c>
      <c r="L974" t="s">
        <v>31</v>
      </c>
    </row>
    <row r="975" spans="9:12" x14ac:dyDescent="0.25">
      <c r="I975" t="s">
        <v>276</v>
      </c>
      <c r="J975" t="s">
        <v>134</v>
      </c>
      <c r="K975">
        <v>0</v>
      </c>
      <c r="L975" t="s">
        <v>31</v>
      </c>
    </row>
    <row r="976" spans="9:12" x14ac:dyDescent="0.25">
      <c r="I976" t="s">
        <v>276</v>
      </c>
      <c r="J976" t="s">
        <v>135</v>
      </c>
      <c r="K976">
        <v>0</v>
      </c>
      <c r="L976" t="s">
        <v>31</v>
      </c>
    </row>
    <row r="977" spans="9:12" x14ac:dyDescent="0.25">
      <c r="I977" t="s">
        <v>276</v>
      </c>
      <c r="J977" t="s">
        <v>136</v>
      </c>
      <c r="K977">
        <v>0</v>
      </c>
      <c r="L977" t="s">
        <v>31</v>
      </c>
    </row>
    <row r="978" spans="9:12" x14ac:dyDescent="0.25">
      <c r="I978" t="s">
        <v>276</v>
      </c>
      <c r="J978" t="s">
        <v>137</v>
      </c>
      <c r="K978">
        <v>0</v>
      </c>
      <c r="L978" t="s">
        <v>31</v>
      </c>
    </row>
    <row r="979" spans="9:12" x14ac:dyDescent="0.25">
      <c r="I979" t="s">
        <v>276</v>
      </c>
      <c r="J979" t="s">
        <v>138</v>
      </c>
      <c r="K979">
        <v>0</v>
      </c>
      <c r="L979" t="s">
        <v>31</v>
      </c>
    </row>
    <row r="980" spans="9:12" x14ac:dyDescent="0.25">
      <c r="I980" t="s">
        <v>276</v>
      </c>
      <c r="J980" t="s">
        <v>139</v>
      </c>
      <c r="K980">
        <v>7.8267129520329284E-2</v>
      </c>
      <c r="L980" t="s">
        <v>31</v>
      </c>
    </row>
    <row r="981" spans="9:12" x14ac:dyDescent="0.25">
      <c r="I981" t="s">
        <v>276</v>
      </c>
      <c r="J981" t="s">
        <v>140</v>
      </c>
      <c r="K981">
        <v>1.2311100614487243E-2</v>
      </c>
      <c r="L981" t="s">
        <v>31</v>
      </c>
    </row>
    <row r="982" spans="9:12" x14ac:dyDescent="0.25">
      <c r="I982" t="s">
        <v>276</v>
      </c>
      <c r="J982" t="s">
        <v>141</v>
      </c>
      <c r="K982">
        <v>2.3495211201224182E-2</v>
      </c>
      <c r="L982" t="s">
        <v>31</v>
      </c>
    </row>
    <row r="983" spans="9:12" x14ac:dyDescent="0.25">
      <c r="I983" t="s">
        <v>276</v>
      </c>
      <c r="J983" t="s">
        <v>142</v>
      </c>
      <c r="K983">
        <v>3.2923404097034135E-4</v>
      </c>
      <c r="L983" t="s">
        <v>31</v>
      </c>
    </row>
    <row r="984" spans="9:12" x14ac:dyDescent="0.25">
      <c r="I984" t="s">
        <v>276</v>
      </c>
      <c r="J984" t="s">
        <v>143</v>
      </c>
      <c r="K984">
        <v>0</v>
      </c>
      <c r="L984" t="s">
        <v>31</v>
      </c>
    </row>
    <row r="985" spans="9:12" x14ac:dyDescent="0.25">
      <c r="I985" t="s">
        <v>276</v>
      </c>
      <c r="J985" t="s">
        <v>144</v>
      </c>
      <c r="K985">
        <v>0</v>
      </c>
      <c r="L985" t="s">
        <v>31</v>
      </c>
    </row>
    <row r="986" spans="9:12" x14ac:dyDescent="0.25">
      <c r="I986" t="s">
        <v>276</v>
      </c>
      <c r="J986" t="s">
        <v>145</v>
      </c>
      <c r="K986">
        <v>0</v>
      </c>
      <c r="L986" t="s">
        <v>31</v>
      </c>
    </row>
    <row r="987" spans="9:12" x14ac:dyDescent="0.25">
      <c r="I987" t="s">
        <v>276</v>
      </c>
      <c r="J987" t="s">
        <v>146</v>
      </c>
      <c r="K987">
        <v>1.5979949420121474E-6</v>
      </c>
      <c r="L987" t="s">
        <v>31</v>
      </c>
    </row>
    <row r="988" spans="9:12" x14ac:dyDescent="0.25">
      <c r="I988" t="s">
        <v>276</v>
      </c>
      <c r="J988" t="s">
        <v>147</v>
      </c>
      <c r="K988">
        <v>8.4198439208002893E-2</v>
      </c>
      <c r="L988" t="s">
        <v>31</v>
      </c>
    </row>
    <row r="989" spans="9:12" x14ac:dyDescent="0.25">
      <c r="I989" t="s">
        <v>276</v>
      </c>
      <c r="J989" t="s">
        <v>148</v>
      </c>
      <c r="K989">
        <v>1.1033520293542749E-2</v>
      </c>
      <c r="L989" t="s">
        <v>31</v>
      </c>
    </row>
    <row r="990" spans="9:12" x14ac:dyDescent="0.25">
      <c r="I990" t="s">
        <v>276</v>
      </c>
      <c r="J990" t="s">
        <v>149</v>
      </c>
      <c r="K990">
        <v>2.4762053859012197E-2</v>
      </c>
      <c r="L990" t="s">
        <v>31</v>
      </c>
    </row>
    <row r="991" spans="9:12" x14ac:dyDescent="0.25">
      <c r="I991" t="s">
        <v>276</v>
      </c>
      <c r="J991" t="s">
        <v>150</v>
      </c>
      <c r="K991">
        <v>3.6423978779708032E-3</v>
      </c>
      <c r="L991" t="s">
        <v>31</v>
      </c>
    </row>
    <row r="992" spans="9:12" x14ac:dyDescent="0.25">
      <c r="I992" t="s">
        <v>276</v>
      </c>
      <c r="J992" t="s">
        <v>151</v>
      </c>
      <c r="K992">
        <v>6.1765608745711453E-4</v>
      </c>
      <c r="L992" t="s">
        <v>31</v>
      </c>
    </row>
    <row r="993" spans="9:12" x14ac:dyDescent="0.25">
      <c r="I993" t="s">
        <v>276</v>
      </c>
      <c r="J993" t="s">
        <v>152</v>
      </c>
      <c r="K993">
        <v>0</v>
      </c>
      <c r="L993" t="s">
        <v>31</v>
      </c>
    </row>
    <row r="994" spans="9:12" x14ac:dyDescent="0.25">
      <c r="I994" t="s">
        <v>276</v>
      </c>
      <c r="J994" t="s">
        <v>153</v>
      </c>
      <c r="K994">
        <v>3.3510082290818144E-5</v>
      </c>
      <c r="L994" t="s">
        <v>31</v>
      </c>
    </row>
    <row r="995" spans="9:12" x14ac:dyDescent="0.25">
      <c r="I995" t="s">
        <v>276</v>
      </c>
      <c r="J995" t="s">
        <v>154</v>
      </c>
      <c r="K995">
        <v>2.2948374389607788E-3</v>
      </c>
      <c r="L995" t="s">
        <v>31</v>
      </c>
    </row>
    <row r="996" spans="9:12" x14ac:dyDescent="0.25">
      <c r="I996" t="s">
        <v>276</v>
      </c>
      <c r="J996" t="s">
        <v>155</v>
      </c>
      <c r="K996">
        <v>9.475183371211636E-2</v>
      </c>
      <c r="L996" t="s">
        <v>31</v>
      </c>
    </row>
    <row r="997" spans="9:12" x14ac:dyDescent="0.25">
      <c r="I997" t="s">
        <v>276</v>
      </c>
      <c r="J997" t="s">
        <v>156</v>
      </c>
      <c r="K997">
        <v>1.2703254570961062E-2</v>
      </c>
      <c r="L997" t="s">
        <v>31</v>
      </c>
    </row>
    <row r="998" spans="9:12" x14ac:dyDescent="0.25">
      <c r="I998" t="s">
        <v>276</v>
      </c>
      <c r="J998" t="s">
        <v>157</v>
      </c>
      <c r="K998">
        <v>2.9488665335698244E-2</v>
      </c>
      <c r="L998" t="s">
        <v>31</v>
      </c>
    </row>
    <row r="999" spans="9:12" x14ac:dyDescent="0.25">
      <c r="I999" t="s">
        <v>276</v>
      </c>
      <c r="J999" t="s">
        <v>158</v>
      </c>
      <c r="K999">
        <v>5.850739322805408E-3</v>
      </c>
      <c r="L999" t="s">
        <v>31</v>
      </c>
    </row>
    <row r="1000" spans="9:12" x14ac:dyDescent="0.25">
      <c r="I1000" t="s">
        <v>276</v>
      </c>
      <c r="J1000" t="s">
        <v>159</v>
      </c>
      <c r="K1000">
        <v>2.9766667103186804E-3</v>
      </c>
      <c r="L1000" t="s">
        <v>31</v>
      </c>
    </row>
    <row r="1001" spans="9:12" x14ac:dyDescent="0.25">
      <c r="I1001" t="s">
        <v>276</v>
      </c>
      <c r="J1001" t="s">
        <v>160</v>
      </c>
      <c r="K1001">
        <v>2.9388975058872575E-4</v>
      </c>
      <c r="L1001" t="s">
        <v>31</v>
      </c>
    </row>
    <row r="1002" spans="9:12" x14ac:dyDescent="0.25">
      <c r="I1002" t="s">
        <v>276</v>
      </c>
      <c r="J1002" t="s">
        <v>161</v>
      </c>
      <c r="K1002">
        <v>1.0864889659409332E-3</v>
      </c>
      <c r="L1002" t="s">
        <v>31</v>
      </c>
    </row>
    <row r="1003" spans="9:12" x14ac:dyDescent="0.25">
      <c r="I1003" t="s">
        <v>276</v>
      </c>
      <c r="J1003" t="s">
        <v>162</v>
      </c>
      <c r="K1003">
        <v>3.3552638840407155E-3</v>
      </c>
      <c r="L1003" t="s">
        <v>31</v>
      </c>
    </row>
    <row r="1004" spans="9:12" x14ac:dyDescent="0.25">
      <c r="I1004" t="s">
        <v>276</v>
      </c>
      <c r="J1004" t="s">
        <v>163</v>
      </c>
      <c r="K1004">
        <v>9.5678950670496102E-2</v>
      </c>
      <c r="L1004" t="s">
        <v>31</v>
      </c>
    </row>
    <row r="1005" spans="9:12" x14ac:dyDescent="0.25">
      <c r="I1005" t="s">
        <v>276</v>
      </c>
      <c r="J1005" t="s">
        <v>164</v>
      </c>
      <c r="K1005">
        <v>1.1360730963371654E-2</v>
      </c>
      <c r="L1005" t="s">
        <v>31</v>
      </c>
    </row>
    <row r="1006" spans="9:12" x14ac:dyDescent="0.25">
      <c r="I1006" t="s">
        <v>276</v>
      </c>
      <c r="J1006" t="s">
        <v>165</v>
      </c>
      <c r="K1006">
        <v>2.8522958059822207E-2</v>
      </c>
      <c r="L1006" t="s">
        <v>31</v>
      </c>
    </row>
    <row r="1007" spans="9:12" x14ac:dyDescent="0.25">
      <c r="I1007" t="s">
        <v>276</v>
      </c>
      <c r="J1007" t="s">
        <v>166</v>
      </c>
      <c r="K1007">
        <v>5.7052123452518656E-3</v>
      </c>
      <c r="L1007" t="s">
        <v>31</v>
      </c>
    </row>
    <row r="1008" spans="9:12" x14ac:dyDescent="0.25">
      <c r="I1008" t="s">
        <v>276</v>
      </c>
      <c r="J1008" t="s">
        <v>167</v>
      </c>
      <c r="K1008">
        <v>3.759875169577953E-3</v>
      </c>
      <c r="L1008" t="s">
        <v>31</v>
      </c>
    </row>
    <row r="1009" spans="9:12" x14ac:dyDescent="0.25">
      <c r="I1009" t="s">
        <v>276</v>
      </c>
      <c r="J1009" t="s">
        <v>168</v>
      </c>
      <c r="K1009">
        <v>1.7106752169796914E-3</v>
      </c>
      <c r="L1009" t="s">
        <v>31</v>
      </c>
    </row>
    <row r="1010" spans="9:12" x14ac:dyDescent="0.25">
      <c r="I1010" t="s">
        <v>276</v>
      </c>
      <c r="J1010" t="s">
        <v>169</v>
      </c>
      <c r="K1010">
        <v>2.4623721627657072E-4</v>
      </c>
      <c r="L1010" t="s">
        <v>31</v>
      </c>
    </row>
    <row r="1011" spans="9:12" x14ac:dyDescent="0.25">
      <c r="I1011" t="s">
        <v>276</v>
      </c>
      <c r="J1011" t="s">
        <v>170</v>
      </c>
      <c r="K1011">
        <v>3.0257525251269927E-3</v>
      </c>
      <c r="L1011" t="s">
        <v>31</v>
      </c>
    </row>
    <row r="1012" spans="9:12" x14ac:dyDescent="0.25">
      <c r="I1012" t="s">
        <v>276</v>
      </c>
      <c r="J1012" t="s">
        <v>171</v>
      </c>
      <c r="K1012">
        <v>9.4752975594781436E-2</v>
      </c>
      <c r="L1012" t="s">
        <v>31</v>
      </c>
    </row>
    <row r="1013" spans="9:12" x14ac:dyDescent="0.25">
      <c r="I1013" t="s">
        <v>276</v>
      </c>
      <c r="J1013" t="s">
        <v>172</v>
      </c>
      <c r="K1013">
        <v>1.2010369571695226E-2</v>
      </c>
      <c r="L1013" t="s">
        <v>31</v>
      </c>
    </row>
    <row r="1014" spans="9:12" x14ac:dyDescent="0.25">
      <c r="I1014" t="s">
        <v>276</v>
      </c>
      <c r="J1014" t="s">
        <v>173</v>
      </c>
      <c r="K1014">
        <v>2.9631842076279963E-2</v>
      </c>
      <c r="L1014" t="s">
        <v>31</v>
      </c>
    </row>
    <row r="1015" spans="9:12" x14ac:dyDescent="0.25">
      <c r="I1015" t="s">
        <v>276</v>
      </c>
      <c r="J1015" t="s">
        <v>174</v>
      </c>
      <c r="K1015">
        <v>6.6642702424942442E-3</v>
      </c>
      <c r="L1015" t="s">
        <v>31</v>
      </c>
    </row>
    <row r="1016" spans="9:12" x14ac:dyDescent="0.25">
      <c r="I1016" t="s">
        <v>276</v>
      </c>
      <c r="J1016" t="s">
        <v>175</v>
      </c>
      <c r="K1016">
        <v>4.0788910774191287E-3</v>
      </c>
      <c r="L1016" t="s">
        <v>31</v>
      </c>
    </row>
    <row r="1017" spans="9:12" x14ac:dyDescent="0.25">
      <c r="I1017" t="s">
        <v>276</v>
      </c>
      <c r="J1017" t="s">
        <v>176</v>
      </c>
      <c r="K1017">
        <v>1.8033283723330696E-3</v>
      </c>
      <c r="L1017" t="s">
        <v>31</v>
      </c>
    </row>
    <row r="1018" spans="9:12" x14ac:dyDescent="0.25">
      <c r="I1018" t="s">
        <v>276</v>
      </c>
      <c r="J1018" t="s">
        <v>177</v>
      </c>
      <c r="K1018">
        <v>0</v>
      </c>
      <c r="L1018" t="s">
        <v>31</v>
      </c>
    </row>
    <row r="1019" spans="9:12" x14ac:dyDescent="0.25">
      <c r="I1019" t="s">
        <v>276</v>
      </c>
      <c r="J1019" t="s">
        <v>178</v>
      </c>
      <c r="K1019">
        <v>6.0886653577635742E-4</v>
      </c>
      <c r="L1019" t="s">
        <v>31</v>
      </c>
    </row>
    <row r="1020" spans="9:12" x14ac:dyDescent="0.25">
      <c r="I1020" t="s">
        <v>276</v>
      </c>
      <c r="J1020" t="s">
        <v>179</v>
      </c>
      <c r="K1020">
        <v>7.9353716330898133E-2</v>
      </c>
      <c r="L1020" t="s">
        <v>31</v>
      </c>
    </row>
    <row r="1021" spans="9:12" x14ac:dyDescent="0.25">
      <c r="I1021" t="s">
        <v>276</v>
      </c>
      <c r="J1021" t="s">
        <v>180</v>
      </c>
      <c r="K1021">
        <v>1.051366716307979E-2</v>
      </c>
      <c r="L1021" t="s">
        <v>31</v>
      </c>
    </row>
    <row r="1022" spans="9:12" x14ac:dyDescent="0.25">
      <c r="I1022" t="s">
        <v>276</v>
      </c>
      <c r="J1022" t="s">
        <v>181</v>
      </c>
      <c r="K1022">
        <v>2.5529289669338068E-2</v>
      </c>
      <c r="L1022" t="s">
        <v>31</v>
      </c>
    </row>
    <row r="1023" spans="9:12" x14ac:dyDescent="0.25">
      <c r="I1023" t="s">
        <v>276</v>
      </c>
      <c r="J1023" t="s">
        <v>182</v>
      </c>
      <c r="K1023">
        <v>4.6391059379533011E-3</v>
      </c>
      <c r="L1023" t="s">
        <v>31</v>
      </c>
    </row>
    <row r="1024" spans="9:12" x14ac:dyDescent="0.25">
      <c r="I1024" t="s">
        <v>276</v>
      </c>
      <c r="J1024" t="s">
        <v>183</v>
      </c>
      <c r="K1024">
        <v>1.8105606074451286E-3</v>
      </c>
      <c r="L1024" t="s">
        <v>31</v>
      </c>
    </row>
    <row r="1025" spans="9:12" x14ac:dyDescent="0.25">
      <c r="I1025" t="s">
        <v>276</v>
      </c>
      <c r="J1025" t="s">
        <v>184</v>
      </c>
      <c r="K1025">
        <v>0</v>
      </c>
      <c r="L1025" t="s">
        <v>31</v>
      </c>
    </row>
    <row r="1026" spans="9:12" x14ac:dyDescent="0.25">
      <c r="I1026" t="s">
        <v>276</v>
      </c>
      <c r="J1026" t="s">
        <v>185</v>
      </c>
      <c r="K1026">
        <v>0</v>
      </c>
      <c r="L1026" t="s">
        <v>31</v>
      </c>
    </row>
    <row r="1027" spans="9:12" x14ac:dyDescent="0.25">
      <c r="I1027" t="s">
        <v>276</v>
      </c>
      <c r="J1027" t="s">
        <v>186</v>
      </c>
      <c r="K1027">
        <v>0</v>
      </c>
      <c r="L1027" t="s">
        <v>31</v>
      </c>
    </row>
    <row r="1028" spans="9:12" x14ac:dyDescent="0.25">
      <c r="I1028" t="s">
        <v>276</v>
      </c>
      <c r="J1028" t="s">
        <v>187</v>
      </c>
      <c r="K1028">
        <v>6.4345262171371237E-2</v>
      </c>
      <c r="L1028" t="s">
        <v>31</v>
      </c>
    </row>
    <row r="1029" spans="9:12" x14ac:dyDescent="0.25">
      <c r="I1029" t="s">
        <v>276</v>
      </c>
      <c r="J1029" t="s">
        <v>188</v>
      </c>
      <c r="K1029">
        <v>8.9574470643704138E-3</v>
      </c>
      <c r="L1029" t="s">
        <v>31</v>
      </c>
    </row>
    <row r="1030" spans="9:12" x14ac:dyDescent="0.25">
      <c r="I1030" t="s">
        <v>276</v>
      </c>
      <c r="J1030" t="s">
        <v>189</v>
      </c>
      <c r="K1030">
        <v>1.7932625613388081E-2</v>
      </c>
      <c r="L1030" t="s">
        <v>31</v>
      </c>
    </row>
    <row r="1031" spans="9:12" x14ac:dyDescent="0.25">
      <c r="I1031" t="s">
        <v>276</v>
      </c>
      <c r="J1031" t="s">
        <v>190</v>
      </c>
      <c r="K1031">
        <v>1.1273184373715762E-3</v>
      </c>
      <c r="L1031" t="s">
        <v>31</v>
      </c>
    </row>
    <row r="1032" spans="9:12" x14ac:dyDescent="0.25">
      <c r="I1032" t="s">
        <v>276</v>
      </c>
      <c r="J1032" t="s">
        <v>191</v>
      </c>
      <c r="K1032">
        <v>0</v>
      </c>
      <c r="L1032" t="s">
        <v>31</v>
      </c>
    </row>
    <row r="1033" spans="9:12" x14ac:dyDescent="0.25">
      <c r="I1033" t="s">
        <v>276</v>
      </c>
      <c r="J1033" t="s">
        <v>192</v>
      </c>
      <c r="K1033">
        <v>0</v>
      </c>
      <c r="L1033" t="s">
        <v>31</v>
      </c>
    </row>
    <row r="1034" spans="9:12" x14ac:dyDescent="0.25">
      <c r="I1034" t="s">
        <v>276</v>
      </c>
      <c r="J1034" t="s">
        <v>193</v>
      </c>
      <c r="K1034">
        <v>0</v>
      </c>
      <c r="L1034" t="s">
        <v>31</v>
      </c>
    </row>
    <row r="1035" spans="9:12" x14ac:dyDescent="0.25">
      <c r="I1035" t="s">
        <v>276</v>
      </c>
      <c r="J1035" t="s">
        <v>194</v>
      </c>
      <c r="K1035">
        <v>0</v>
      </c>
      <c r="L1035" t="s">
        <v>31</v>
      </c>
    </row>
    <row r="1036" spans="9:12" x14ac:dyDescent="0.25">
      <c r="I1036" t="s">
        <v>276</v>
      </c>
      <c r="J1036" t="s">
        <v>195</v>
      </c>
      <c r="K1036">
        <v>2.8660929714589219E-2</v>
      </c>
      <c r="L1036" t="s">
        <v>31</v>
      </c>
    </row>
    <row r="1037" spans="9:12" x14ac:dyDescent="0.25">
      <c r="I1037" t="s">
        <v>276</v>
      </c>
      <c r="J1037" t="s">
        <v>196</v>
      </c>
      <c r="K1037">
        <v>4.2748600280489643E-3</v>
      </c>
      <c r="L1037" t="s">
        <v>31</v>
      </c>
    </row>
    <row r="1038" spans="9:12" x14ac:dyDescent="0.25">
      <c r="I1038" t="s">
        <v>276</v>
      </c>
      <c r="J1038" t="s">
        <v>197</v>
      </c>
      <c r="K1038">
        <v>4.8297163299620303E-3</v>
      </c>
      <c r="L1038" t="s">
        <v>31</v>
      </c>
    </row>
    <row r="1039" spans="9:12" x14ac:dyDescent="0.25">
      <c r="I1039" t="s">
        <v>276</v>
      </c>
      <c r="J1039" t="s">
        <v>198</v>
      </c>
      <c r="K1039">
        <v>0</v>
      </c>
      <c r="L1039" t="s">
        <v>31</v>
      </c>
    </row>
    <row r="1040" spans="9:12" x14ac:dyDescent="0.25">
      <c r="I1040" t="s">
        <v>276</v>
      </c>
      <c r="J1040" t="s">
        <v>199</v>
      </c>
      <c r="K1040">
        <v>0</v>
      </c>
      <c r="L1040" t="s">
        <v>31</v>
      </c>
    </row>
    <row r="1041" spans="9:12" x14ac:dyDescent="0.25">
      <c r="I1041" t="s">
        <v>276</v>
      </c>
      <c r="J1041" t="s">
        <v>200</v>
      </c>
      <c r="K1041">
        <v>0</v>
      </c>
      <c r="L1041" t="s">
        <v>31</v>
      </c>
    </row>
    <row r="1042" spans="9:12" x14ac:dyDescent="0.25">
      <c r="I1042" t="s">
        <v>276</v>
      </c>
      <c r="J1042" t="s">
        <v>201</v>
      </c>
      <c r="K1042">
        <v>0</v>
      </c>
      <c r="L1042" t="s">
        <v>31</v>
      </c>
    </row>
    <row r="1043" spans="9:12" x14ac:dyDescent="0.25">
      <c r="I1043" t="s">
        <v>276</v>
      </c>
      <c r="J1043" t="s">
        <v>202</v>
      </c>
      <c r="K1043">
        <v>0</v>
      </c>
      <c r="L1043" t="s">
        <v>31</v>
      </c>
    </row>
    <row r="1044" spans="9:12" x14ac:dyDescent="0.25">
      <c r="I1044" t="s">
        <v>276</v>
      </c>
      <c r="J1044" t="s">
        <v>203</v>
      </c>
      <c r="K1044">
        <v>1.2092888687475101E-2</v>
      </c>
      <c r="L1044" t="s">
        <v>31</v>
      </c>
    </row>
    <row r="1045" spans="9:12" x14ac:dyDescent="0.25">
      <c r="I1045" t="s">
        <v>276</v>
      </c>
      <c r="J1045" t="s">
        <v>204</v>
      </c>
      <c r="K1045">
        <v>1.5947187723850151E-3</v>
      </c>
      <c r="L1045" t="s">
        <v>31</v>
      </c>
    </row>
    <row r="1046" spans="9:12" x14ac:dyDescent="0.25">
      <c r="I1046" t="s">
        <v>276</v>
      </c>
      <c r="J1046" t="s">
        <v>205</v>
      </c>
      <c r="K1046">
        <v>2.5946071685456224E-4</v>
      </c>
      <c r="L1046" t="s">
        <v>31</v>
      </c>
    </row>
    <row r="1047" spans="9:12" x14ac:dyDescent="0.25">
      <c r="I1047" t="s">
        <v>276</v>
      </c>
      <c r="J1047" t="s">
        <v>206</v>
      </c>
      <c r="K1047">
        <v>0</v>
      </c>
      <c r="L1047" t="s">
        <v>31</v>
      </c>
    </row>
    <row r="1048" spans="9:12" x14ac:dyDescent="0.25">
      <c r="I1048" t="s">
        <v>276</v>
      </c>
      <c r="J1048" t="s">
        <v>207</v>
      </c>
      <c r="K1048">
        <v>0</v>
      </c>
      <c r="L1048" t="s">
        <v>31</v>
      </c>
    </row>
    <row r="1049" spans="9:12" x14ac:dyDescent="0.25">
      <c r="I1049" t="s">
        <v>276</v>
      </c>
      <c r="J1049" t="s">
        <v>208</v>
      </c>
      <c r="K1049">
        <v>0</v>
      </c>
      <c r="L1049" t="s">
        <v>31</v>
      </c>
    </row>
    <row r="1050" spans="9:12" x14ac:dyDescent="0.25">
      <c r="I1050" t="s">
        <v>276</v>
      </c>
      <c r="J1050" t="s">
        <v>209</v>
      </c>
      <c r="K1050">
        <v>0</v>
      </c>
      <c r="L1050" t="s">
        <v>31</v>
      </c>
    </row>
    <row r="1051" spans="9:12" x14ac:dyDescent="0.25">
      <c r="I1051" t="s">
        <v>276</v>
      </c>
      <c r="J1051" t="s">
        <v>210</v>
      </c>
      <c r="K1051">
        <v>0</v>
      </c>
      <c r="L1051" t="s">
        <v>31</v>
      </c>
    </row>
    <row r="1052" spans="9:12" x14ac:dyDescent="0.25">
      <c r="I1052" t="s">
        <v>276</v>
      </c>
      <c r="J1052" t="s">
        <v>211</v>
      </c>
      <c r="K1052">
        <v>4.5263023002266442E-3</v>
      </c>
      <c r="L1052" t="s">
        <v>31</v>
      </c>
    </row>
    <row r="1053" spans="9:12" x14ac:dyDescent="0.25">
      <c r="I1053" t="s">
        <v>276</v>
      </c>
      <c r="J1053" t="s">
        <v>212</v>
      </c>
      <c r="K1053">
        <v>6.3906024040864611E-4</v>
      </c>
      <c r="L1053" t="s">
        <v>31</v>
      </c>
    </row>
    <row r="1054" spans="9:12" x14ac:dyDescent="0.25">
      <c r="I1054" t="s">
        <v>276</v>
      </c>
      <c r="J1054" t="s">
        <v>213</v>
      </c>
      <c r="K1054">
        <v>0</v>
      </c>
      <c r="L1054" t="s">
        <v>31</v>
      </c>
    </row>
    <row r="1055" spans="9:12" x14ac:dyDescent="0.25">
      <c r="I1055" t="s">
        <v>276</v>
      </c>
      <c r="J1055" t="s">
        <v>214</v>
      </c>
      <c r="K1055">
        <v>0</v>
      </c>
      <c r="L1055" t="s">
        <v>31</v>
      </c>
    </row>
    <row r="1056" spans="9:12" x14ac:dyDescent="0.25">
      <c r="I1056" t="s">
        <v>276</v>
      </c>
      <c r="J1056" t="s">
        <v>215</v>
      </c>
      <c r="K1056">
        <v>0</v>
      </c>
      <c r="L1056" t="s">
        <v>31</v>
      </c>
    </row>
    <row r="1057" spans="9:12" x14ac:dyDescent="0.25">
      <c r="I1057" t="s">
        <v>276</v>
      </c>
      <c r="J1057" t="s">
        <v>216</v>
      </c>
      <c r="K1057">
        <v>0</v>
      </c>
      <c r="L1057" t="s">
        <v>31</v>
      </c>
    </row>
    <row r="1058" spans="9:12" x14ac:dyDescent="0.25">
      <c r="I1058" t="s">
        <v>277</v>
      </c>
      <c r="J1058" t="s">
        <v>122</v>
      </c>
      <c r="K1058">
        <v>0</v>
      </c>
      <c r="L1058" t="s">
        <v>31</v>
      </c>
    </row>
    <row r="1059" spans="9:12" x14ac:dyDescent="0.25">
      <c r="I1059" t="s">
        <v>277</v>
      </c>
      <c r="J1059" t="s">
        <v>123</v>
      </c>
      <c r="K1059">
        <v>8.244810902901795E-3</v>
      </c>
      <c r="L1059" t="s">
        <v>31</v>
      </c>
    </row>
    <row r="1060" spans="9:12" x14ac:dyDescent="0.25">
      <c r="I1060" t="s">
        <v>277</v>
      </c>
      <c r="J1060" t="s">
        <v>124</v>
      </c>
      <c r="K1060">
        <v>1.4127396844557706E-3</v>
      </c>
      <c r="L1060" t="s">
        <v>31</v>
      </c>
    </row>
    <row r="1061" spans="9:12" x14ac:dyDescent="0.25">
      <c r="I1061" t="s">
        <v>277</v>
      </c>
      <c r="J1061" t="s">
        <v>125</v>
      </c>
      <c r="K1061">
        <v>6.1816345125984083E-4</v>
      </c>
      <c r="L1061" t="s">
        <v>31</v>
      </c>
    </row>
    <row r="1062" spans="9:12" x14ac:dyDescent="0.25">
      <c r="I1062" t="s">
        <v>277</v>
      </c>
      <c r="J1062" t="s">
        <v>126</v>
      </c>
      <c r="K1062">
        <v>0</v>
      </c>
      <c r="L1062" t="s">
        <v>31</v>
      </c>
    </row>
    <row r="1063" spans="9:12" x14ac:dyDescent="0.25">
      <c r="I1063" t="s">
        <v>277</v>
      </c>
      <c r="J1063" t="s">
        <v>127</v>
      </c>
      <c r="K1063">
        <v>0</v>
      </c>
      <c r="L1063" t="s">
        <v>31</v>
      </c>
    </row>
    <row r="1064" spans="9:12" x14ac:dyDescent="0.25">
      <c r="I1064" t="s">
        <v>277</v>
      </c>
      <c r="J1064" t="s">
        <v>128</v>
      </c>
      <c r="K1064">
        <v>0</v>
      </c>
      <c r="L1064" t="s">
        <v>31</v>
      </c>
    </row>
    <row r="1065" spans="9:12" x14ac:dyDescent="0.25">
      <c r="I1065" t="s">
        <v>277</v>
      </c>
      <c r="J1065" t="s">
        <v>129</v>
      </c>
      <c r="K1065">
        <v>0</v>
      </c>
      <c r="L1065" t="s">
        <v>31</v>
      </c>
    </row>
    <row r="1066" spans="9:12" x14ac:dyDescent="0.25">
      <c r="I1066" t="s">
        <v>277</v>
      </c>
      <c r="J1066" t="s">
        <v>130</v>
      </c>
      <c r="K1066">
        <v>0</v>
      </c>
      <c r="L1066" t="s">
        <v>31</v>
      </c>
    </row>
    <row r="1067" spans="9:12" x14ac:dyDescent="0.25">
      <c r="I1067" t="s">
        <v>277</v>
      </c>
      <c r="J1067" t="s">
        <v>131</v>
      </c>
      <c r="K1067">
        <v>2.0491651333539897E-2</v>
      </c>
      <c r="L1067" t="s">
        <v>31</v>
      </c>
    </row>
    <row r="1068" spans="9:12" x14ac:dyDescent="0.25">
      <c r="I1068" t="s">
        <v>277</v>
      </c>
      <c r="J1068" t="s">
        <v>132</v>
      </c>
      <c r="K1068">
        <v>3.4699017702487403E-3</v>
      </c>
      <c r="L1068" t="s">
        <v>31</v>
      </c>
    </row>
    <row r="1069" spans="9:12" x14ac:dyDescent="0.25">
      <c r="I1069" t="s">
        <v>277</v>
      </c>
      <c r="J1069" t="s">
        <v>133</v>
      </c>
      <c r="K1069">
        <v>3.6213769630866659E-3</v>
      </c>
      <c r="L1069" t="s">
        <v>31</v>
      </c>
    </row>
    <row r="1070" spans="9:12" x14ac:dyDescent="0.25">
      <c r="I1070" t="s">
        <v>277</v>
      </c>
      <c r="J1070" t="s">
        <v>134</v>
      </c>
      <c r="K1070">
        <v>0</v>
      </c>
      <c r="L1070" t="s">
        <v>31</v>
      </c>
    </row>
    <row r="1071" spans="9:12" x14ac:dyDescent="0.25">
      <c r="I1071" t="s">
        <v>277</v>
      </c>
      <c r="J1071" t="s">
        <v>135</v>
      </c>
      <c r="K1071">
        <v>0</v>
      </c>
      <c r="L1071" t="s">
        <v>31</v>
      </c>
    </row>
    <row r="1072" spans="9:12" x14ac:dyDescent="0.25">
      <c r="I1072" t="s">
        <v>277</v>
      </c>
      <c r="J1072" t="s">
        <v>136</v>
      </c>
      <c r="K1072">
        <v>0</v>
      </c>
      <c r="L1072" t="s">
        <v>31</v>
      </c>
    </row>
    <row r="1073" spans="9:12" x14ac:dyDescent="0.25">
      <c r="I1073" t="s">
        <v>277</v>
      </c>
      <c r="J1073" t="s">
        <v>137</v>
      </c>
      <c r="K1073">
        <v>0</v>
      </c>
      <c r="L1073" t="s">
        <v>31</v>
      </c>
    </row>
    <row r="1074" spans="9:12" x14ac:dyDescent="0.25">
      <c r="I1074" t="s">
        <v>277</v>
      </c>
      <c r="J1074" t="s">
        <v>138</v>
      </c>
      <c r="K1074">
        <v>0</v>
      </c>
      <c r="L1074" t="s">
        <v>31</v>
      </c>
    </row>
    <row r="1075" spans="9:12" x14ac:dyDescent="0.25">
      <c r="I1075" t="s">
        <v>277</v>
      </c>
      <c r="J1075" t="s">
        <v>139</v>
      </c>
      <c r="K1075">
        <v>7.8267129520329284E-2</v>
      </c>
      <c r="L1075" t="s">
        <v>31</v>
      </c>
    </row>
    <row r="1076" spans="9:12" x14ac:dyDescent="0.25">
      <c r="I1076" t="s">
        <v>277</v>
      </c>
      <c r="J1076" t="s">
        <v>140</v>
      </c>
      <c r="K1076">
        <v>1.2311100614487243E-2</v>
      </c>
      <c r="L1076" t="s">
        <v>31</v>
      </c>
    </row>
    <row r="1077" spans="9:12" x14ac:dyDescent="0.25">
      <c r="I1077" t="s">
        <v>277</v>
      </c>
      <c r="J1077" t="s">
        <v>141</v>
      </c>
      <c r="K1077">
        <v>2.3495211201224182E-2</v>
      </c>
      <c r="L1077" t="s">
        <v>31</v>
      </c>
    </row>
    <row r="1078" spans="9:12" x14ac:dyDescent="0.25">
      <c r="I1078" t="s">
        <v>277</v>
      </c>
      <c r="J1078" t="s">
        <v>142</v>
      </c>
      <c r="K1078">
        <v>3.2923404097034135E-4</v>
      </c>
      <c r="L1078" t="s">
        <v>31</v>
      </c>
    </row>
    <row r="1079" spans="9:12" x14ac:dyDescent="0.25">
      <c r="I1079" t="s">
        <v>277</v>
      </c>
      <c r="J1079" t="s">
        <v>143</v>
      </c>
      <c r="K1079">
        <v>0</v>
      </c>
      <c r="L1079" t="s">
        <v>31</v>
      </c>
    </row>
    <row r="1080" spans="9:12" x14ac:dyDescent="0.25">
      <c r="I1080" t="s">
        <v>277</v>
      </c>
      <c r="J1080" t="s">
        <v>144</v>
      </c>
      <c r="K1080">
        <v>0</v>
      </c>
      <c r="L1080" t="s">
        <v>31</v>
      </c>
    </row>
    <row r="1081" spans="9:12" x14ac:dyDescent="0.25">
      <c r="I1081" t="s">
        <v>277</v>
      </c>
      <c r="J1081" t="s">
        <v>145</v>
      </c>
      <c r="K1081">
        <v>0</v>
      </c>
      <c r="L1081" t="s">
        <v>31</v>
      </c>
    </row>
    <row r="1082" spans="9:12" x14ac:dyDescent="0.25">
      <c r="I1082" t="s">
        <v>277</v>
      </c>
      <c r="J1082" t="s">
        <v>146</v>
      </c>
      <c r="K1082">
        <v>1.5979949420121474E-6</v>
      </c>
      <c r="L1082" t="s">
        <v>31</v>
      </c>
    </row>
    <row r="1083" spans="9:12" x14ac:dyDescent="0.25">
      <c r="I1083" t="s">
        <v>277</v>
      </c>
      <c r="J1083" t="s">
        <v>147</v>
      </c>
      <c r="K1083">
        <v>8.4198439208002893E-2</v>
      </c>
      <c r="L1083" t="s">
        <v>31</v>
      </c>
    </row>
    <row r="1084" spans="9:12" x14ac:dyDescent="0.25">
      <c r="I1084" t="s">
        <v>277</v>
      </c>
      <c r="J1084" t="s">
        <v>148</v>
      </c>
      <c r="K1084">
        <v>1.1033520293542749E-2</v>
      </c>
      <c r="L1084" t="s">
        <v>31</v>
      </c>
    </row>
    <row r="1085" spans="9:12" x14ac:dyDescent="0.25">
      <c r="I1085" t="s">
        <v>277</v>
      </c>
      <c r="J1085" t="s">
        <v>149</v>
      </c>
      <c r="K1085">
        <v>2.4762053859012197E-2</v>
      </c>
      <c r="L1085" t="s">
        <v>31</v>
      </c>
    </row>
    <row r="1086" spans="9:12" x14ac:dyDescent="0.25">
      <c r="I1086" t="s">
        <v>277</v>
      </c>
      <c r="J1086" t="s">
        <v>150</v>
      </c>
      <c r="K1086">
        <v>3.6423978779708032E-3</v>
      </c>
      <c r="L1086" t="s">
        <v>31</v>
      </c>
    </row>
    <row r="1087" spans="9:12" x14ac:dyDescent="0.25">
      <c r="I1087" t="s">
        <v>277</v>
      </c>
      <c r="J1087" t="s">
        <v>151</v>
      </c>
      <c r="K1087">
        <v>6.1765608745711453E-4</v>
      </c>
      <c r="L1087" t="s">
        <v>31</v>
      </c>
    </row>
    <row r="1088" spans="9:12" x14ac:dyDescent="0.25">
      <c r="I1088" t="s">
        <v>277</v>
      </c>
      <c r="J1088" t="s">
        <v>152</v>
      </c>
      <c r="K1088">
        <v>0</v>
      </c>
      <c r="L1088" t="s">
        <v>31</v>
      </c>
    </row>
    <row r="1089" spans="9:12" x14ac:dyDescent="0.25">
      <c r="I1089" t="s">
        <v>277</v>
      </c>
      <c r="J1089" t="s">
        <v>153</v>
      </c>
      <c r="K1089">
        <v>3.3510082290818144E-5</v>
      </c>
      <c r="L1089" t="s">
        <v>31</v>
      </c>
    </row>
    <row r="1090" spans="9:12" x14ac:dyDescent="0.25">
      <c r="I1090" t="s">
        <v>277</v>
      </c>
      <c r="J1090" t="s">
        <v>154</v>
      </c>
      <c r="K1090">
        <v>2.2948374389607788E-3</v>
      </c>
      <c r="L1090" t="s">
        <v>31</v>
      </c>
    </row>
    <row r="1091" spans="9:12" x14ac:dyDescent="0.25">
      <c r="I1091" t="s">
        <v>277</v>
      </c>
      <c r="J1091" t="s">
        <v>155</v>
      </c>
      <c r="K1091">
        <v>9.475183371211636E-2</v>
      </c>
      <c r="L1091" t="s">
        <v>31</v>
      </c>
    </row>
    <row r="1092" spans="9:12" x14ac:dyDescent="0.25">
      <c r="I1092" t="s">
        <v>277</v>
      </c>
      <c r="J1092" t="s">
        <v>156</v>
      </c>
      <c r="K1092">
        <v>1.2703254570961062E-2</v>
      </c>
      <c r="L1092" t="s">
        <v>31</v>
      </c>
    </row>
    <row r="1093" spans="9:12" x14ac:dyDescent="0.25">
      <c r="I1093" t="s">
        <v>277</v>
      </c>
      <c r="J1093" t="s">
        <v>157</v>
      </c>
      <c r="K1093">
        <v>2.9488665335698244E-2</v>
      </c>
      <c r="L1093" t="s">
        <v>31</v>
      </c>
    </row>
    <row r="1094" spans="9:12" x14ac:dyDescent="0.25">
      <c r="I1094" t="s">
        <v>277</v>
      </c>
      <c r="J1094" t="s">
        <v>158</v>
      </c>
      <c r="K1094">
        <v>5.850739322805408E-3</v>
      </c>
      <c r="L1094" t="s">
        <v>31</v>
      </c>
    </row>
    <row r="1095" spans="9:12" x14ac:dyDescent="0.25">
      <c r="I1095" t="s">
        <v>277</v>
      </c>
      <c r="J1095" t="s">
        <v>159</v>
      </c>
      <c r="K1095">
        <v>2.9766667103186804E-3</v>
      </c>
      <c r="L1095" t="s">
        <v>31</v>
      </c>
    </row>
    <row r="1096" spans="9:12" x14ac:dyDescent="0.25">
      <c r="I1096" t="s">
        <v>277</v>
      </c>
      <c r="J1096" t="s">
        <v>160</v>
      </c>
      <c r="K1096">
        <v>2.9388975058872575E-4</v>
      </c>
      <c r="L1096" t="s">
        <v>31</v>
      </c>
    </row>
    <row r="1097" spans="9:12" x14ac:dyDescent="0.25">
      <c r="I1097" t="s">
        <v>277</v>
      </c>
      <c r="J1097" t="s">
        <v>161</v>
      </c>
      <c r="K1097">
        <v>1.0864889659409332E-3</v>
      </c>
      <c r="L1097" t="s">
        <v>31</v>
      </c>
    </row>
    <row r="1098" spans="9:12" x14ac:dyDescent="0.25">
      <c r="I1098" t="s">
        <v>277</v>
      </c>
      <c r="J1098" t="s">
        <v>162</v>
      </c>
      <c r="K1098">
        <v>3.3552638840407155E-3</v>
      </c>
      <c r="L1098" t="s">
        <v>31</v>
      </c>
    </row>
    <row r="1099" spans="9:12" x14ac:dyDescent="0.25">
      <c r="I1099" t="s">
        <v>277</v>
      </c>
      <c r="J1099" t="s">
        <v>163</v>
      </c>
      <c r="K1099">
        <v>9.5678950670496102E-2</v>
      </c>
      <c r="L1099" t="s">
        <v>31</v>
      </c>
    </row>
    <row r="1100" spans="9:12" x14ac:dyDescent="0.25">
      <c r="I1100" t="s">
        <v>277</v>
      </c>
      <c r="J1100" t="s">
        <v>164</v>
      </c>
      <c r="K1100">
        <v>1.1360730963371654E-2</v>
      </c>
      <c r="L1100" t="s">
        <v>31</v>
      </c>
    </row>
    <row r="1101" spans="9:12" x14ac:dyDescent="0.25">
      <c r="I1101" t="s">
        <v>277</v>
      </c>
      <c r="J1101" t="s">
        <v>165</v>
      </c>
      <c r="K1101">
        <v>2.8522958059822207E-2</v>
      </c>
      <c r="L1101" t="s">
        <v>31</v>
      </c>
    </row>
    <row r="1102" spans="9:12" x14ac:dyDescent="0.25">
      <c r="I1102" t="s">
        <v>277</v>
      </c>
      <c r="J1102" t="s">
        <v>166</v>
      </c>
      <c r="K1102">
        <v>5.7052123452518656E-3</v>
      </c>
      <c r="L1102" t="s">
        <v>31</v>
      </c>
    </row>
    <row r="1103" spans="9:12" x14ac:dyDescent="0.25">
      <c r="I1103" t="s">
        <v>277</v>
      </c>
      <c r="J1103" t="s">
        <v>167</v>
      </c>
      <c r="K1103">
        <v>3.759875169577953E-3</v>
      </c>
      <c r="L1103" t="s">
        <v>31</v>
      </c>
    </row>
    <row r="1104" spans="9:12" x14ac:dyDescent="0.25">
      <c r="I1104" t="s">
        <v>277</v>
      </c>
      <c r="J1104" t="s">
        <v>168</v>
      </c>
      <c r="K1104">
        <v>1.7106752169796914E-3</v>
      </c>
      <c r="L1104" t="s">
        <v>31</v>
      </c>
    </row>
    <row r="1105" spans="9:12" x14ac:dyDescent="0.25">
      <c r="I1105" t="s">
        <v>277</v>
      </c>
      <c r="J1105" t="s">
        <v>169</v>
      </c>
      <c r="K1105">
        <v>2.4623721627657072E-4</v>
      </c>
      <c r="L1105" t="s">
        <v>31</v>
      </c>
    </row>
    <row r="1106" spans="9:12" x14ac:dyDescent="0.25">
      <c r="I1106" t="s">
        <v>277</v>
      </c>
      <c r="J1106" t="s">
        <v>170</v>
      </c>
      <c r="K1106">
        <v>3.0257525251269927E-3</v>
      </c>
      <c r="L1106" t="s">
        <v>31</v>
      </c>
    </row>
    <row r="1107" spans="9:12" x14ac:dyDescent="0.25">
      <c r="I1107" t="s">
        <v>277</v>
      </c>
      <c r="J1107" t="s">
        <v>171</v>
      </c>
      <c r="K1107">
        <v>9.4752975594781436E-2</v>
      </c>
      <c r="L1107" t="s">
        <v>31</v>
      </c>
    </row>
    <row r="1108" spans="9:12" x14ac:dyDescent="0.25">
      <c r="I1108" t="s">
        <v>277</v>
      </c>
      <c r="J1108" t="s">
        <v>172</v>
      </c>
      <c r="K1108">
        <v>1.2010369571695226E-2</v>
      </c>
      <c r="L1108" t="s">
        <v>31</v>
      </c>
    </row>
    <row r="1109" spans="9:12" x14ac:dyDescent="0.25">
      <c r="I1109" t="s">
        <v>277</v>
      </c>
      <c r="J1109" t="s">
        <v>173</v>
      </c>
      <c r="K1109">
        <v>2.9631842076279963E-2</v>
      </c>
      <c r="L1109" t="s">
        <v>31</v>
      </c>
    </row>
    <row r="1110" spans="9:12" x14ac:dyDescent="0.25">
      <c r="I1110" t="s">
        <v>277</v>
      </c>
      <c r="J1110" t="s">
        <v>174</v>
      </c>
      <c r="K1110">
        <v>6.6642702424942442E-3</v>
      </c>
      <c r="L1110" t="s">
        <v>31</v>
      </c>
    </row>
    <row r="1111" spans="9:12" x14ac:dyDescent="0.25">
      <c r="I1111" t="s">
        <v>277</v>
      </c>
      <c r="J1111" t="s">
        <v>175</v>
      </c>
      <c r="K1111">
        <v>4.0788910774191287E-3</v>
      </c>
      <c r="L1111" t="s">
        <v>31</v>
      </c>
    </row>
    <row r="1112" spans="9:12" x14ac:dyDescent="0.25">
      <c r="I1112" t="s">
        <v>277</v>
      </c>
      <c r="J1112" t="s">
        <v>176</v>
      </c>
      <c r="K1112">
        <v>1.8033283723330696E-3</v>
      </c>
      <c r="L1112" t="s">
        <v>31</v>
      </c>
    </row>
    <row r="1113" spans="9:12" x14ac:dyDescent="0.25">
      <c r="I1113" t="s">
        <v>277</v>
      </c>
      <c r="J1113" t="s">
        <v>177</v>
      </c>
      <c r="K1113">
        <v>0</v>
      </c>
      <c r="L1113" t="s">
        <v>31</v>
      </c>
    </row>
    <row r="1114" spans="9:12" x14ac:dyDescent="0.25">
      <c r="I1114" t="s">
        <v>277</v>
      </c>
      <c r="J1114" t="s">
        <v>178</v>
      </c>
      <c r="K1114">
        <v>6.0886653577635742E-4</v>
      </c>
      <c r="L1114" t="s">
        <v>31</v>
      </c>
    </row>
    <row r="1115" spans="9:12" x14ac:dyDescent="0.25">
      <c r="I1115" t="s">
        <v>277</v>
      </c>
      <c r="J1115" t="s">
        <v>179</v>
      </c>
      <c r="K1115">
        <v>7.9353716330898133E-2</v>
      </c>
      <c r="L1115" t="s">
        <v>31</v>
      </c>
    </row>
    <row r="1116" spans="9:12" x14ac:dyDescent="0.25">
      <c r="I1116" t="s">
        <v>277</v>
      </c>
      <c r="J1116" t="s">
        <v>180</v>
      </c>
      <c r="K1116">
        <v>1.051366716307979E-2</v>
      </c>
      <c r="L1116" t="s">
        <v>31</v>
      </c>
    </row>
    <row r="1117" spans="9:12" x14ac:dyDescent="0.25">
      <c r="I1117" t="s">
        <v>277</v>
      </c>
      <c r="J1117" t="s">
        <v>181</v>
      </c>
      <c r="K1117">
        <v>2.5529289669338068E-2</v>
      </c>
      <c r="L1117" t="s">
        <v>31</v>
      </c>
    </row>
    <row r="1118" spans="9:12" x14ac:dyDescent="0.25">
      <c r="I1118" t="s">
        <v>277</v>
      </c>
      <c r="J1118" t="s">
        <v>182</v>
      </c>
      <c r="K1118">
        <v>4.6391059379533011E-3</v>
      </c>
      <c r="L1118" t="s">
        <v>31</v>
      </c>
    </row>
    <row r="1119" spans="9:12" x14ac:dyDescent="0.25">
      <c r="I1119" t="s">
        <v>277</v>
      </c>
      <c r="J1119" t="s">
        <v>183</v>
      </c>
      <c r="K1119">
        <v>1.8105606074451286E-3</v>
      </c>
      <c r="L1119" t="s">
        <v>31</v>
      </c>
    </row>
    <row r="1120" spans="9:12" x14ac:dyDescent="0.25">
      <c r="I1120" t="s">
        <v>277</v>
      </c>
      <c r="J1120" t="s">
        <v>184</v>
      </c>
      <c r="K1120">
        <v>0</v>
      </c>
      <c r="L1120" t="s">
        <v>31</v>
      </c>
    </row>
    <row r="1121" spans="9:12" x14ac:dyDescent="0.25">
      <c r="I1121" t="s">
        <v>277</v>
      </c>
      <c r="J1121" t="s">
        <v>185</v>
      </c>
      <c r="K1121">
        <v>0</v>
      </c>
      <c r="L1121" t="s">
        <v>31</v>
      </c>
    </row>
    <row r="1122" spans="9:12" x14ac:dyDescent="0.25">
      <c r="I1122" t="s">
        <v>277</v>
      </c>
      <c r="J1122" t="s">
        <v>186</v>
      </c>
      <c r="K1122">
        <v>0</v>
      </c>
      <c r="L1122" t="s">
        <v>31</v>
      </c>
    </row>
    <row r="1123" spans="9:12" x14ac:dyDescent="0.25">
      <c r="I1123" t="s">
        <v>277</v>
      </c>
      <c r="J1123" t="s">
        <v>187</v>
      </c>
      <c r="K1123">
        <v>6.4345262171371237E-2</v>
      </c>
      <c r="L1123" t="s">
        <v>31</v>
      </c>
    </row>
    <row r="1124" spans="9:12" x14ac:dyDescent="0.25">
      <c r="I1124" t="s">
        <v>277</v>
      </c>
      <c r="J1124" t="s">
        <v>188</v>
      </c>
      <c r="K1124">
        <v>8.9574470643704138E-3</v>
      </c>
      <c r="L1124" t="s">
        <v>31</v>
      </c>
    </row>
    <row r="1125" spans="9:12" x14ac:dyDescent="0.25">
      <c r="I1125" t="s">
        <v>277</v>
      </c>
      <c r="J1125" t="s">
        <v>189</v>
      </c>
      <c r="K1125">
        <v>1.7932625613388081E-2</v>
      </c>
      <c r="L1125" t="s">
        <v>31</v>
      </c>
    </row>
    <row r="1126" spans="9:12" x14ac:dyDescent="0.25">
      <c r="I1126" t="s">
        <v>277</v>
      </c>
      <c r="J1126" t="s">
        <v>190</v>
      </c>
      <c r="K1126">
        <v>1.1273184373715762E-3</v>
      </c>
      <c r="L1126" t="s">
        <v>31</v>
      </c>
    </row>
    <row r="1127" spans="9:12" x14ac:dyDescent="0.25">
      <c r="I1127" t="s">
        <v>277</v>
      </c>
      <c r="J1127" t="s">
        <v>191</v>
      </c>
      <c r="K1127">
        <v>0</v>
      </c>
      <c r="L1127" t="s">
        <v>31</v>
      </c>
    </row>
    <row r="1128" spans="9:12" x14ac:dyDescent="0.25">
      <c r="I1128" t="s">
        <v>277</v>
      </c>
      <c r="J1128" t="s">
        <v>192</v>
      </c>
      <c r="K1128">
        <v>0</v>
      </c>
      <c r="L1128" t="s">
        <v>31</v>
      </c>
    </row>
    <row r="1129" spans="9:12" x14ac:dyDescent="0.25">
      <c r="I1129" t="s">
        <v>277</v>
      </c>
      <c r="J1129" t="s">
        <v>193</v>
      </c>
      <c r="K1129">
        <v>0</v>
      </c>
      <c r="L1129" t="s">
        <v>31</v>
      </c>
    </row>
    <row r="1130" spans="9:12" x14ac:dyDescent="0.25">
      <c r="I1130" t="s">
        <v>277</v>
      </c>
      <c r="J1130" t="s">
        <v>194</v>
      </c>
      <c r="K1130">
        <v>0</v>
      </c>
      <c r="L1130" t="s">
        <v>31</v>
      </c>
    </row>
    <row r="1131" spans="9:12" x14ac:dyDescent="0.25">
      <c r="I1131" t="s">
        <v>277</v>
      </c>
      <c r="J1131" t="s">
        <v>195</v>
      </c>
      <c r="K1131">
        <v>2.8660929714589219E-2</v>
      </c>
      <c r="L1131" t="s">
        <v>31</v>
      </c>
    </row>
    <row r="1132" spans="9:12" x14ac:dyDescent="0.25">
      <c r="I1132" t="s">
        <v>277</v>
      </c>
      <c r="J1132" t="s">
        <v>196</v>
      </c>
      <c r="K1132">
        <v>4.2748600280489643E-3</v>
      </c>
      <c r="L1132" t="s">
        <v>31</v>
      </c>
    </row>
    <row r="1133" spans="9:12" x14ac:dyDescent="0.25">
      <c r="I1133" t="s">
        <v>277</v>
      </c>
      <c r="J1133" t="s">
        <v>197</v>
      </c>
      <c r="K1133">
        <v>4.8297163299620303E-3</v>
      </c>
      <c r="L1133" t="s">
        <v>31</v>
      </c>
    </row>
    <row r="1134" spans="9:12" x14ac:dyDescent="0.25">
      <c r="I1134" t="s">
        <v>277</v>
      </c>
      <c r="J1134" t="s">
        <v>198</v>
      </c>
      <c r="K1134">
        <v>0</v>
      </c>
      <c r="L1134" t="s">
        <v>31</v>
      </c>
    </row>
    <row r="1135" spans="9:12" x14ac:dyDescent="0.25">
      <c r="I1135" t="s">
        <v>277</v>
      </c>
      <c r="J1135" t="s">
        <v>199</v>
      </c>
      <c r="K1135">
        <v>0</v>
      </c>
      <c r="L1135" t="s">
        <v>31</v>
      </c>
    </row>
    <row r="1136" spans="9:12" x14ac:dyDescent="0.25">
      <c r="I1136" t="s">
        <v>277</v>
      </c>
      <c r="J1136" t="s">
        <v>200</v>
      </c>
      <c r="K1136">
        <v>0</v>
      </c>
      <c r="L1136" t="s">
        <v>31</v>
      </c>
    </row>
    <row r="1137" spans="9:12" x14ac:dyDescent="0.25">
      <c r="I1137" t="s">
        <v>277</v>
      </c>
      <c r="J1137" t="s">
        <v>201</v>
      </c>
      <c r="K1137">
        <v>0</v>
      </c>
      <c r="L1137" t="s">
        <v>31</v>
      </c>
    </row>
    <row r="1138" spans="9:12" x14ac:dyDescent="0.25">
      <c r="I1138" t="s">
        <v>277</v>
      </c>
      <c r="J1138" t="s">
        <v>202</v>
      </c>
      <c r="K1138">
        <v>0</v>
      </c>
      <c r="L1138" t="s">
        <v>31</v>
      </c>
    </row>
    <row r="1139" spans="9:12" x14ac:dyDescent="0.25">
      <c r="I1139" t="s">
        <v>277</v>
      </c>
      <c r="J1139" t="s">
        <v>203</v>
      </c>
      <c r="K1139">
        <v>1.2092888687475101E-2</v>
      </c>
      <c r="L1139" t="s">
        <v>31</v>
      </c>
    </row>
    <row r="1140" spans="9:12" x14ac:dyDescent="0.25">
      <c r="I1140" t="s">
        <v>277</v>
      </c>
      <c r="J1140" t="s">
        <v>204</v>
      </c>
      <c r="K1140">
        <v>1.5947187723850151E-3</v>
      </c>
      <c r="L1140" t="s">
        <v>31</v>
      </c>
    </row>
    <row r="1141" spans="9:12" x14ac:dyDescent="0.25">
      <c r="I1141" t="s">
        <v>277</v>
      </c>
      <c r="J1141" t="s">
        <v>205</v>
      </c>
      <c r="K1141">
        <v>2.5946071685456224E-4</v>
      </c>
      <c r="L1141" t="s">
        <v>31</v>
      </c>
    </row>
    <row r="1142" spans="9:12" x14ac:dyDescent="0.25">
      <c r="I1142" t="s">
        <v>277</v>
      </c>
      <c r="J1142" t="s">
        <v>206</v>
      </c>
      <c r="K1142">
        <v>0</v>
      </c>
      <c r="L1142" t="s">
        <v>31</v>
      </c>
    </row>
    <row r="1143" spans="9:12" x14ac:dyDescent="0.25">
      <c r="I1143" t="s">
        <v>277</v>
      </c>
      <c r="J1143" t="s">
        <v>207</v>
      </c>
      <c r="K1143">
        <v>0</v>
      </c>
      <c r="L1143" t="s">
        <v>31</v>
      </c>
    </row>
    <row r="1144" spans="9:12" x14ac:dyDescent="0.25">
      <c r="I1144" t="s">
        <v>277</v>
      </c>
      <c r="J1144" t="s">
        <v>208</v>
      </c>
      <c r="K1144">
        <v>0</v>
      </c>
      <c r="L1144" t="s">
        <v>31</v>
      </c>
    </row>
    <row r="1145" spans="9:12" x14ac:dyDescent="0.25">
      <c r="I1145" t="s">
        <v>277</v>
      </c>
      <c r="J1145" t="s">
        <v>209</v>
      </c>
      <c r="K1145">
        <v>0</v>
      </c>
      <c r="L1145" t="s">
        <v>31</v>
      </c>
    </row>
    <row r="1146" spans="9:12" x14ac:dyDescent="0.25">
      <c r="I1146" t="s">
        <v>277</v>
      </c>
      <c r="J1146" t="s">
        <v>210</v>
      </c>
      <c r="K1146">
        <v>0</v>
      </c>
      <c r="L1146" t="s">
        <v>31</v>
      </c>
    </row>
    <row r="1147" spans="9:12" x14ac:dyDescent="0.25">
      <c r="I1147" t="s">
        <v>277</v>
      </c>
      <c r="J1147" t="s">
        <v>211</v>
      </c>
      <c r="K1147">
        <v>4.5263023002266442E-3</v>
      </c>
      <c r="L1147" t="s">
        <v>31</v>
      </c>
    </row>
    <row r="1148" spans="9:12" x14ac:dyDescent="0.25">
      <c r="I1148" t="s">
        <v>277</v>
      </c>
      <c r="J1148" t="s">
        <v>212</v>
      </c>
      <c r="K1148">
        <v>6.3906024040864611E-4</v>
      </c>
      <c r="L1148" t="s">
        <v>31</v>
      </c>
    </row>
    <row r="1149" spans="9:12" x14ac:dyDescent="0.25">
      <c r="I1149" t="s">
        <v>277</v>
      </c>
      <c r="J1149" t="s">
        <v>213</v>
      </c>
      <c r="K1149">
        <v>0</v>
      </c>
      <c r="L1149" t="s">
        <v>31</v>
      </c>
    </row>
    <row r="1150" spans="9:12" x14ac:dyDescent="0.25">
      <c r="I1150" t="s">
        <v>277</v>
      </c>
      <c r="J1150" t="s">
        <v>214</v>
      </c>
      <c r="K1150">
        <v>0</v>
      </c>
      <c r="L1150" t="s">
        <v>31</v>
      </c>
    </row>
    <row r="1151" spans="9:12" x14ac:dyDescent="0.25">
      <c r="I1151" t="s">
        <v>277</v>
      </c>
      <c r="J1151" t="s">
        <v>215</v>
      </c>
      <c r="K1151">
        <v>0</v>
      </c>
      <c r="L1151" t="s">
        <v>31</v>
      </c>
    </row>
    <row r="1152" spans="9:12" x14ac:dyDescent="0.25">
      <c r="I1152" t="s">
        <v>277</v>
      </c>
      <c r="J1152" t="s">
        <v>216</v>
      </c>
      <c r="K1152">
        <v>0</v>
      </c>
      <c r="L1152" t="s">
        <v>31</v>
      </c>
    </row>
    <row r="1153" spans="9:12" x14ac:dyDescent="0.25">
      <c r="I1153" t="s">
        <v>278</v>
      </c>
      <c r="J1153" t="s">
        <v>122</v>
      </c>
      <c r="K1153">
        <v>0</v>
      </c>
      <c r="L1153" t="s">
        <v>31</v>
      </c>
    </row>
    <row r="1154" spans="9:12" x14ac:dyDescent="0.25">
      <c r="I1154" t="s">
        <v>278</v>
      </c>
      <c r="J1154" t="s">
        <v>123</v>
      </c>
      <c r="K1154">
        <v>8.244810902901795E-3</v>
      </c>
      <c r="L1154" t="s">
        <v>31</v>
      </c>
    </row>
    <row r="1155" spans="9:12" x14ac:dyDescent="0.25">
      <c r="I1155" t="s">
        <v>278</v>
      </c>
      <c r="J1155" t="s">
        <v>124</v>
      </c>
      <c r="K1155">
        <v>1.4127396844557706E-3</v>
      </c>
      <c r="L1155" t="s">
        <v>31</v>
      </c>
    </row>
    <row r="1156" spans="9:12" x14ac:dyDescent="0.25">
      <c r="I1156" t="s">
        <v>278</v>
      </c>
      <c r="J1156" t="s">
        <v>125</v>
      </c>
      <c r="K1156">
        <v>6.1816345125984083E-4</v>
      </c>
      <c r="L1156" t="s">
        <v>31</v>
      </c>
    </row>
    <row r="1157" spans="9:12" x14ac:dyDescent="0.25">
      <c r="I1157" t="s">
        <v>278</v>
      </c>
      <c r="J1157" t="s">
        <v>126</v>
      </c>
      <c r="K1157">
        <v>0</v>
      </c>
      <c r="L1157" t="s">
        <v>31</v>
      </c>
    </row>
    <row r="1158" spans="9:12" x14ac:dyDescent="0.25">
      <c r="I1158" t="s">
        <v>278</v>
      </c>
      <c r="J1158" t="s">
        <v>127</v>
      </c>
      <c r="K1158">
        <v>0</v>
      </c>
      <c r="L1158" t="s">
        <v>31</v>
      </c>
    </row>
    <row r="1159" spans="9:12" x14ac:dyDescent="0.25">
      <c r="I1159" t="s">
        <v>278</v>
      </c>
      <c r="J1159" t="s">
        <v>128</v>
      </c>
      <c r="K1159">
        <v>0</v>
      </c>
      <c r="L1159" t="s">
        <v>31</v>
      </c>
    </row>
    <row r="1160" spans="9:12" x14ac:dyDescent="0.25">
      <c r="I1160" t="s">
        <v>278</v>
      </c>
      <c r="J1160" t="s">
        <v>129</v>
      </c>
      <c r="K1160">
        <v>0</v>
      </c>
      <c r="L1160" t="s">
        <v>31</v>
      </c>
    </row>
    <row r="1161" spans="9:12" x14ac:dyDescent="0.25">
      <c r="I1161" t="s">
        <v>278</v>
      </c>
      <c r="J1161" t="s">
        <v>130</v>
      </c>
      <c r="K1161">
        <v>0</v>
      </c>
      <c r="L1161" t="s">
        <v>31</v>
      </c>
    </row>
    <row r="1162" spans="9:12" x14ac:dyDescent="0.25">
      <c r="I1162" t="s">
        <v>278</v>
      </c>
      <c r="J1162" t="s">
        <v>131</v>
      </c>
      <c r="K1162">
        <v>2.0491651333539897E-2</v>
      </c>
      <c r="L1162" t="s">
        <v>31</v>
      </c>
    </row>
    <row r="1163" spans="9:12" x14ac:dyDescent="0.25">
      <c r="I1163" t="s">
        <v>278</v>
      </c>
      <c r="J1163" t="s">
        <v>132</v>
      </c>
      <c r="K1163">
        <v>3.4699017702487403E-3</v>
      </c>
      <c r="L1163" t="s">
        <v>31</v>
      </c>
    </row>
    <row r="1164" spans="9:12" x14ac:dyDescent="0.25">
      <c r="I1164" t="s">
        <v>278</v>
      </c>
      <c r="J1164" t="s">
        <v>133</v>
      </c>
      <c r="K1164">
        <v>3.6213769630866659E-3</v>
      </c>
      <c r="L1164" t="s">
        <v>31</v>
      </c>
    </row>
    <row r="1165" spans="9:12" x14ac:dyDescent="0.25">
      <c r="I1165" t="s">
        <v>278</v>
      </c>
      <c r="J1165" t="s">
        <v>134</v>
      </c>
      <c r="K1165">
        <v>0</v>
      </c>
      <c r="L1165" t="s">
        <v>31</v>
      </c>
    </row>
    <row r="1166" spans="9:12" x14ac:dyDescent="0.25">
      <c r="I1166" t="s">
        <v>278</v>
      </c>
      <c r="J1166" t="s">
        <v>135</v>
      </c>
      <c r="K1166">
        <v>0</v>
      </c>
      <c r="L1166" t="s">
        <v>31</v>
      </c>
    </row>
    <row r="1167" spans="9:12" x14ac:dyDescent="0.25">
      <c r="I1167" t="s">
        <v>278</v>
      </c>
      <c r="J1167" t="s">
        <v>136</v>
      </c>
      <c r="K1167">
        <v>0</v>
      </c>
      <c r="L1167" t="s">
        <v>31</v>
      </c>
    </row>
    <row r="1168" spans="9:12" x14ac:dyDescent="0.25">
      <c r="I1168" t="s">
        <v>278</v>
      </c>
      <c r="J1168" t="s">
        <v>137</v>
      </c>
      <c r="K1168">
        <v>0</v>
      </c>
      <c r="L1168" t="s">
        <v>31</v>
      </c>
    </row>
    <row r="1169" spans="9:12" x14ac:dyDescent="0.25">
      <c r="I1169" t="s">
        <v>278</v>
      </c>
      <c r="J1169" t="s">
        <v>138</v>
      </c>
      <c r="K1169">
        <v>0</v>
      </c>
      <c r="L1169" t="s">
        <v>31</v>
      </c>
    </row>
    <row r="1170" spans="9:12" x14ac:dyDescent="0.25">
      <c r="I1170" t="s">
        <v>278</v>
      </c>
      <c r="J1170" t="s">
        <v>139</v>
      </c>
      <c r="K1170">
        <v>7.8267129520329284E-2</v>
      </c>
      <c r="L1170" t="s">
        <v>31</v>
      </c>
    </row>
    <row r="1171" spans="9:12" x14ac:dyDescent="0.25">
      <c r="I1171" t="s">
        <v>278</v>
      </c>
      <c r="J1171" t="s">
        <v>140</v>
      </c>
      <c r="K1171">
        <v>1.2311100614487243E-2</v>
      </c>
      <c r="L1171" t="s">
        <v>31</v>
      </c>
    </row>
    <row r="1172" spans="9:12" x14ac:dyDescent="0.25">
      <c r="I1172" t="s">
        <v>278</v>
      </c>
      <c r="J1172" t="s">
        <v>141</v>
      </c>
      <c r="K1172">
        <v>2.3495211201224182E-2</v>
      </c>
      <c r="L1172" t="s">
        <v>31</v>
      </c>
    </row>
    <row r="1173" spans="9:12" x14ac:dyDescent="0.25">
      <c r="I1173" t="s">
        <v>278</v>
      </c>
      <c r="J1173" t="s">
        <v>142</v>
      </c>
      <c r="K1173">
        <v>3.2923404097034135E-4</v>
      </c>
      <c r="L1173" t="s">
        <v>31</v>
      </c>
    </row>
    <row r="1174" spans="9:12" x14ac:dyDescent="0.25">
      <c r="I1174" t="s">
        <v>278</v>
      </c>
      <c r="J1174" t="s">
        <v>143</v>
      </c>
      <c r="K1174">
        <v>0</v>
      </c>
      <c r="L1174" t="s">
        <v>31</v>
      </c>
    </row>
    <row r="1175" spans="9:12" x14ac:dyDescent="0.25">
      <c r="I1175" t="s">
        <v>278</v>
      </c>
      <c r="J1175" t="s">
        <v>144</v>
      </c>
      <c r="K1175">
        <v>0</v>
      </c>
      <c r="L1175" t="s">
        <v>31</v>
      </c>
    </row>
    <row r="1176" spans="9:12" x14ac:dyDescent="0.25">
      <c r="I1176" t="s">
        <v>278</v>
      </c>
      <c r="J1176" t="s">
        <v>145</v>
      </c>
      <c r="K1176">
        <v>0</v>
      </c>
      <c r="L1176" t="s">
        <v>31</v>
      </c>
    </row>
    <row r="1177" spans="9:12" x14ac:dyDescent="0.25">
      <c r="I1177" t="s">
        <v>278</v>
      </c>
      <c r="J1177" t="s">
        <v>146</v>
      </c>
      <c r="K1177">
        <v>1.5979949420121474E-6</v>
      </c>
      <c r="L1177" t="s">
        <v>31</v>
      </c>
    </row>
    <row r="1178" spans="9:12" x14ac:dyDescent="0.25">
      <c r="I1178" t="s">
        <v>278</v>
      </c>
      <c r="J1178" t="s">
        <v>147</v>
      </c>
      <c r="K1178">
        <v>8.4198439208002893E-2</v>
      </c>
      <c r="L1178" t="s">
        <v>31</v>
      </c>
    </row>
    <row r="1179" spans="9:12" x14ac:dyDescent="0.25">
      <c r="I1179" t="s">
        <v>278</v>
      </c>
      <c r="J1179" t="s">
        <v>148</v>
      </c>
      <c r="K1179">
        <v>1.1033520293542749E-2</v>
      </c>
      <c r="L1179" t="s">
        <v>31</v>
      </c>
    </row>
    <row r="1180" spans="9:12" x14ac:dyDescent="0.25">
      <c r="I1180" t="s">
        <v>278</v>
      </c>
      <c r="J1180" t="s">
        <v>149</v>
      </c>
      <c r="K1180">
        <v>2.4762053859012197E-2</v>
      </c>
      <c r="L1180" t="s">
        <v>31</v>
      </c>
    </row>
    <row r="1181" spans="9:12" x14ac:dyDescent="0.25">
      <c r="I1181" t="s">
        <v>278</v>
      </c>
      <c r="J1181" t="s">
        <v>150</v>
      </c>
      <c r="K1181">
        <v>3.6423978779708032E-3</v>
      </c>
      <c r="L1181" t="s">
        <v>31</v>
      </c>
    </row>
    <row r="1182" spans="9:12" x14ac:dyDescent="0.25">
      <c r="I1182" t="s">
        <v>278</v>
      </c>
      <c r="J1182" t="s">
        <v>151</v>
      </c>
      <c r="K1182">
        <v>6.1765608745711453E-4</v>
      </c>
      <c r="L1182" t="s">
        <v>31</v>
      </c>
    </row>
    <row r="1183" spans="9:12" x14ac:dyDescent="0.25">
      <c r="I1183" t="s">
        <v>278</v>
      </c>
      <c r="J1183" t="s">
        <v>152</v>
      </c>
      <c r="K1183">
        <v>0</v>
      </c>
      <c r="L1183" t="s">
        <v>31</v>
      </c>
    </row>
    <row r="1184" spans="9:12" x14ac:dyDescent="0.25">
      <c r="I1184" t="s">
        <v>278</v>
      </c>
      <c r="J1184" t="s">
        <v>153</v>
      </c>
      <c r="K1184">
        <v>3.3510082290818144E-5</v>
      </c>
      <c r="L1184" t="s">
        <v>31</v>
      </c>
    </row>
    <row r="1185" spans="9:12" x14ac:dyDescent="0.25">
      <c r="I1185" t="s">
        <v>278</v>
      </c>
      <c r="J1185" t="s">
        <v>154</v>
      </c>
      <c r="K1185">
        <v>2.2948374389607788E-3</v>
      </c>
      <c r="L1185" t="s">
        <v>31</v>
      </c>
    </row>
    <row r="1186" spans="9:12" x14ac:dyDescent="0.25">
      <c r="I1186" t="s">
        <v>278</v>
      </c>
      <c r="J1186" t="s">
        <v>155</v>
      </c>
      <c r="K1186">
        <v>9.475183371211636E-2</v>
      </c>
      <c r="L1186" t="s">
        <v>31</v>
      </c>
    </row>
    <row r="1187" spans="9:12" x14ac:dyDescent="0.25">
      <c r="I1187" t="s">
        <v>278</v>
      </c>
      <c r="J1187" t="s">
        <v>156</v>
      </c>
      <c r="K1187">
        <v>1.2703254570961062E-2</v>
      </c>
      <c r="L1187" t="s">
        <v>31</v>
      </c>
    </row>
    <row r="1188" spans="9:12" x14ac:dyDescent="0.25">
      <c r="I1188" t="s">
        <v>278</v>
      </c>
      <c r="J1188" t="s">
        <v>157</v>
      </c>
      <c r="K1188">
        <v>2.9488665335698244E-2</v>
      </c>
      <c r="L1188" t="s">
        <v>31</v>
      </c>
    </row>
    <row r="1189" spans="9:12" x14ac:dyDescent="0.25">
      <c r="I1189" t="s">
        <v>278</v>
      </c>
      <c r="J1189" t="s">
        <v>158</v>
      </c>
      <c r="K1189">
        <v>5.850739322805408E-3</v>
      </c>
      <c r="L1189" t="s">
        <v>31</v>
      </c>
    </row>
    <row r="1190" spans="9:12" x14ac:dyDescent="0.25">
      <c r="I1190" t="s">
        <v>278</v>
      </c>
      <c r="J1190" t="s">
        <v>159</v>
      </c>
      <c r="K1190">
        <v>2.9766667103186804E-3</v>
      </c>
      <c r="L1190" t="s">
        <v>31</v>
      </c>
    </row>
    <row r="1191" spans="9:12" x14ac:dyDescent="0.25">
      <c r="I1191" t="s">
        <v>278</v>
      </c>
      <c r="J1191" t="s">
        <v>160</v>
      </c>
      <c r="K1191">
        <v>2.9388975058872575E-4</v>
      </c>
      <c r="L1191" t="s">
        <v>31</v>
      </c>
    </row>
    <row r="1192" spans="9:12" x14ac:dyDescent="0.25">
      <c r="I1192" t="s">
        <v>278</v>
      </c>
      <c r="J1192" t="s">
        <v>161</v>
      </c>
      <c r="K1192">
        <v>1.0864889659409332E-3</v>
      </c>
      <c r="L1192" t="s">
        <v>31</v>
      </c>
    </row>
    <row r="1193" spans="9:12" x14ac:dyDescent="0.25">
      <c r="I1193" t="s">
        <v>278</v>
      </c>
      <c r="J1193" t="s">
        <v>162</v>
      </c>
      <c r="K1193">
        <v>3.3552638840407155E-3</v>
      </c>
      <c r="L1193" t="s">
        <v>31</v>
      </c>
    </row>
    <row r="1194" spans="9:12" x14ac:dyDescent="0.25">
      <c r="I1194" t="s">
        <v>278</v>
      </c>
      <c r="J1194" t="s">
        <v>163</v>
      </c>
      <c r="K1194">
        <v>9.5678950670496102E-2</v>
      </c>
      <c r="L1194" t="s">
        <v>31</v>
      </c>
    </row>
    <row r="1195" spans="9:12" x14ac:dyDescent="0.25">
      <c r="I1195" t="s">
        <v>278</v>
      </c>
      <c r="J1195" t="s">
        <v>164</v>
      </c>
      <c r="K1195">
        <v>1.1360730963371654E-2</v>
      </c>
      <c r="L1195" t="s">
        <v>31</v>
      </c>
    </row>
    <row r="1196" spans="9:12" x14ac:dyDescent="0.25">
      <c r="I1196" t="s">
        <v>278</v>
      </c>
      <c r="J1196" t="s">
        <v>165</v>
      </c>
      <c r="K1196">
        <v>2.8522958059822207E-2</v>
      </c>
      <c r="L1196" t="s">
        <v>31</v>
      </c>
    </row>
    <row r="1197" spans="9:12" x14ac:dyDescent="0.25">
      <c r="I1197" t="s">
        <v>278</v>
      </c>
      <c r="J1197" t="s">
        <v>166</v>
      </c>
      <c r="K1197">
        <v>5.7052123452518656E-3</v>
      </c>
      <c r="L1197" t="s">
        <v>31</v>
      </c>
    </row>
    <row r="1198" spans="9:12" x14ac:dyDescent="0.25">
      <c r="I1198" t="s">
        <v>278</v>
      </c>
      <c r="J1198" t="s">
        <v>167</v>
      </c>
      <c r="K1198">
        <v>3.759875169577953E-3</v>
      </c>
      <c r="L1198" t="s">
        <v>31</v>
      </c>
    </row>
    <row r="1199" spans="9:12" x14ac:dyDescent="0.25">
      <c r="I1199" t="s">
        <v>278</v>
      </c>
      <c r="J1199" t="s">
        <v>168</v>
      </c>
      <c r="K1199">
        <v>1.7106752169796914E-3</v>
      </c>
      <c r="L1199" t="s">
        <v>31</v>
      </c>
    </row>
    <row r="1200" spans="9:12" x14ac:dyDescent="0.25">
      <c r="I1200" t="s">
        <v>278</v>
      </c>
      <c r="J1200" t="s">
        <v>169</v>
      </c>
      <c r="K1200">
        <v>2.4623721627657072E-4</v>
      </c>
      <c r="L1200" t="s">
        <v>31</v>
      </c>
    </row>
    <row r="1201" spans="9:12" x14ac:dyDescent="0.25">
      <c r="I1201" t="s">
        <v>278</v>
      </c>
      <c r="J1201" t="s">
        <v>170</v>
      </c>
      <c r="K1201">
        <v>3.0257525251269927E-3</v>
      </c>
      <c r="L1201" t="s">
        <v>31</v>
      </c>
    </row>
    <row r="1202" spans="9:12" x14ac:dyDescent="0.25">
      <c r="I1202" t="s">
        <v>278</v>
      </c>
      <c r="J1202" t="s">
        <v>171</v>
      </c>
      <c r="K1202">
        <v>9.4752975594781436E-2</v>
      </c>
      <c r="L1202" t="s">
        <v>31</v>
      </c>
    </row>
    <row r="1203" spans="9:12" x14ac:dyDescent="0.25">
      <c r="I1203" t="s">
        <v>278</v>
      </c>
      <c r="J1203" t="s">
        <v>172</v>
      </c>
      <c r="K1203">
        <v>1.2010369571695226E-2</v>
      </c>
      <c r="L1203" t="s">
        <v>31</v>
      </c>
    </row>
    <row r="1204" spans="9:12" x14ac:dyDescent="0.25">
      <c r="I1204" t="s">
        <v>278</v>
      </c>
      <c r="J1204" t="s">
        <v>173</v>
      </c>
      <c r="K1204">
        <v>2.9631842076279963E-2</v>
      </c>
      <c r="L1204" t="s">
        <v>31</v>
      </c>
    </row>
    <row r="1205" spans="9:12" x14ac:dyDescent="0.25">
      <c r="I1205" t="s">
        <v>278</v>
      </c>
      <c r="J1205" t="s">
        <v>174</v>
      </c>
      <c r="K1205">
        <v>6.6642702424942442E-3</v>
      </c>
      <c r="L1205" t="s">
        <v>31</v>
      </c>
    </row>
    <row r="1206" spans="9:12" x14ac:dyDescent="0.25">
      <c r="I1206" t="s">
        <v>278</v>
      </c>
      <c r="J1206" t="s">
        <v>175</v>
      </c>
      <c r="K1206">
        <v>4.0788910774191287E-3</v>
      </c>
      <c r="L1206" t="s">
        <v>31</v>
      </c>
    </row>
    <row r="1207" spans="9:12" x14ac:dyDescent="0.25">
      <c r="I1207" t="s">
        <v>278</v>
      </c>
      <c r="J1207" t="s">
        <v>176</v>
      </c>
      <c r="K1207">
        <v>1.8033283723330696E-3</v>
      </c>
      <c r="L1207" t="s">
        <v>31</v>
      </c>
    </row>
    <row r="1208" spans="9:12" x14ac:dyDescent="0.25">
      <c r="I1208" t="s">
        <v>278</v>
      </c>
      <c r="J1208" t="s">
        <v>177</v>
      </c>
      <c r="K1208">
        <v>0</v>
      </c>
      <c r="L1208" t="s">
        <v>31</v>
      </c>
    </row>
    <row r="1209" spans="9:12" x14ac:dyDescent="0.25">
      <c r="I1209" t="s">
        <v>278</v>
      </c>
      <c r="J1209" t="s">
        <v>178</v>
      </c>
      <c r="K1209">
        <v>6.0886653577635742E-4</v>
      </c>
      <c r="L1209" t="s">
        <v>31</v>
      </c>
    </row>
    <row r="1210" spans="9:12" x14ac:dyDescent="0.25">
      <c r="I1210" t="s">
        <v>278</v>
      </c>
      <c r="J1210" t="s">
        <v>179</v>
      </c>
      <c r="K1210">
        <v>7.9353716330898133E-2</v>
      </c>
      <c r="L1210" t="s">
        <v>31</v>
      </c>
    </row>
    <row r="1211" spans="9:12" x14ac:dyDescent="0.25">
      <c r="I1211" t="s">
        <v>278</v>
      </c>
      <c r="J1211" t="s">
        <v>180</v>
      </c>
      <c r="K1211">
        <v>1.051366716307979E-2</v>
      </c>
      <c r="L1211" t="s">
        <v>31</v>
      </c>
    </row>
    <row r="1212" spans="9:12" x14ac:dyDescent="0.25">
      <c r="I1212" t="s">
        <v>278</v>
      </c>
      <c r="J1212" t="s">
        <v>181</v>
      </c>
      <c r="K1212">
        <v>2.5529289669338068E-2</v>
      </c>
      <c r="L1212" t="s">
        <v>31</v>
      </c>
    </row>
    <row r="1213" spans="9:12" x14ac:dyDescent="0.25">
      <c r="I1213" t="s">
        <v>278</v>
      </c>
      <c r="J1213" t="s">
        <v>182</v>
      </c>
      <c r="K1213">
        <v>4.6391059379533011E-3</v>
      </c>
      <c r="L1213" t="s">
        <v>31</v>
      </c>
    </row>
    <row r="1214" spans="9:12" x14ac:dyDescent="0.25">
      <c r="I1214" t="s">
        <v>278</v>
      </c>
      <c r="J1214" t="s">
        <v>183</v>
      </c>
      <c r="K1214">
        <v>1.8105606074451286E-3</v>
      </c>
      <c r="L1214" t="s">
        <v>31</v>
      </c>
    </row>
    <row r="1215" spans="9:12" x14ac:dyDescent="0.25">
      <c r="I1215" t="s">
        <v>278</v>
      </c>
      <c r="J1215" t="s">
        <v>184</v>
      </c>
      <c r="K1215">
        <v>0</v>
      </c>
      <c r="L1215" t="s">
        <v>31</v>
      </c>
    </row>
    <row r="1216" spans="9:12" x14ac:dyDescent="0.25">
      <c r="I1216" t="s">
        <v>278</v>
      </c>
      <c r="J1216" t="s">
        <v>185</v>
      </c>
      <c r="K1216">
        <v>0</v>
      </c>
      <c r="L1216" t="s">
        <v>31</v>
      </c>
    </row>
    <row r="1217" spans="9:12" x14ac:dyDescent="0.25">
      <c r="I1217" t="s">
        <v>278</v>
      </c>
      <c r="J1217" t="s">
        <v>186</v>
      </c>
      <c r="K1217">
        <v>0</v>
      </c>
      <c r="L1217" t="s">
        <v>31</v>
      </c>
    </row>
    <row r="1218" spans="9:12" x14ac:dyDescent="0.25">
      <c r="I1218" t="s">
        <v>278</v>
      </c>
      <c r="J1218" t="s">
        <v>187</v>
      </c>
      <c r="K1218">
        <v>6.4345262171371237E-2</v>
      </c>
      <c r="L1218" t="s">
        <v>31</v>
      </c>
    </row>
    <row r="1219" spans="9:12" x14ac:dyDescent="0.25">
      <c r="I1219" t="s">
        <v>278</v>
      </c>
      <c r="J1219" t="s">
        <v>188</v>
      </c>
      <c r="K1219">
        <v>8.9574470643704138E-3</v>
      </c>
      <c r="L1219" t="s">
        <v>31</v>
      </c>
    </row>
    <row r="1220" spans="9:12" x14ac:dyDescent="0.25">
      <c r="I1220" t="s">
        <v>278</v>
      </c>
      <c r="J1220" t="s">
        <v>189</v>
      </c>
      <c r="K1220">
        <v>1.7932625613388081E-2</v>
      </c>
      <c r="L1220" t="s">
        <v>31</v>
      </c>
    </row>
    <row r="1221" spans="9:12" x14ac:dyDescent="0.25">
      <c r="I1221" t="s">
        <v>278</v>
      </c>
      <c r="J1221" t="s">
        <v>190</v>
      </c>
      <c r="K1221">
        <v>1.1273184373715762E-3</v>
      </c>
      <c r="L1221" t="s">
        <v>31</v>
      </c>
    </row>
    <row r="1222" spans="9:12" x14ac:dyDescent="0.25">
      <c r="I1222" t="s">
        <v>278</v>
      </c>
      <c r="J1222" t="s">
        <v>191</v>
      </c>
      <c r="K1222">
        <v>0</v>
      </c>
      <c r="L1222" t="s">
        <v>31</v>
      </c>
    </row>
    <row r="1223" spans="9:12" x14ac:dyDescent="0.25">
      <c r="I1223" t="s">
        <v>278</v>
      </c>
      <c r="J1223" t="s">
        <v>192</v>
      </c>
      <c r="K1223">
        <v>0</v>
      </c>
      <c r="L1223" t="s">
        <v>31</v>
      </c>
    </row>
    <row r="1224" spans="9:12" x14ac:dyDescent="0.25">
      <c r="I1224" t="s">
        <v>278</v>
      </c>
      <c r="J1224" t="s">
        <v>193</v>
      </c>
      <c r="K1224">
        <v>0</v>
      </c>
      <c r="L1224" t="s">
        <v>31</v>
      </c>
    </row>
    <row r="1225" spans="9:12" x14ac:dyDescent="0.25">
      <c r="I1225" t="s">
        <v>278</v>
      </c>
      <c r="J1225" t="s">
        <v>194</v>
      </c>
      <c r="K1225">
        <v>0</v>
      </c>
      <c r="L1225" t="s">
        <v>31</v>
      </c>
    </row>
    <row r="1226" spans="9:12" x14ac:dyDescent="0.25">
      <c r="I1226" t="s">
        <v>278</v>
      </c>
      <c r="J1226" t="s">
        <v>195</v>
      </c>
      <c r="K1226">
        <v>2.8660929714589219E-2</v>
      </c>
      <c r="L1226" t="s">
        <v>31</v>
      </c>
    </row>
    <row r="1227" spans="9:12" x14ac:dyDescent="0.25">
      <c r="I1227" t="s">
        <v>278</v>
      </c>
      <c r="J1227" t="s">
        <v>196</v>
      </c>
      <c r="K1227">
        <v>4.2748600280489643E-3</v>
      </c>
      <c r="L1227" t="s">
        <v>31</v>
      </c>
    </row>
    <row r="1228" spans="9:12" x14ac:dyDescent="0.25">
      <c r="I1228" t="s">
        <v>278</v>
      </c>
      <c r="J1228" t="s">
        <v>197</v>
      </c>
      <c r="K1228">
        <v>4.8297163299620303E-3</v>
      </c>
      <c r="L1228" t="s">
        <v>31</v>
      </c>
    </row>
    <row r="1229" spans="9:12" x14ac:dyDescent="0.25">
      <c r="I1229" t="s">
        <v>278</v>
      </c>
      <c r="J1229" t="s">
        <v>198</v>
      </c>
      <c r="K1229">
        <v>0</v>
      </c>
      <c r="L1229" t="s">
        <v>31</v>
      </c>
    </row>
    <row r="1230" spans="9:12" x14ac:dyDescent="0.25">
      <c r="I1230" t="s">
        <v>278</v>
      </c>
      <c r="J1230" t="s">
        <v>199</v>
      </c>
      <c r="K1230">
        <v>0</v>
      </c>
      <c r="L1230" t="s">
        <v>31</v>
      </c>
    </row>
    <row r="1231" spans="9:12" x14ac:dyDescent="0.25">
      <c r="I1231" t="s">
        <v>278</v>
      </c>
      <c r="J1231" t="s">
        <v>200</v>
      </c>
      <c r="K1231">
        <v>0</v>
      </c>
      <c r="L1231" t="s">
        <v>31</v>
      </c>
    </row>
    <row r="1232" spans="9:12" x14ac:dyDescent="0.25">
      <c r="I1232" t="s">
        <v>278</v>
      </c>
      <c r="J1232" t="s">
        <v>201</v>
      </c>
      <c r="K1232">
        <v>0</v>
      </c>
      <c r="L1232" t="s">
        <v>31</v>
      </c>
    </row>
    <row r="1233" spans="9:12" x14ac:dyDescent="0.25">
      <c r="I1233" t="s">
        <v>278</v>
      </c>
      <c r="J1233" t="s">
        <v>202</v>
      </c>
      <c r="K1233">
        <v>0</v>
      </c>
      <c r="L1233" t="s">
        <v>31</v>
      </c>
    </row>
    <row r="1234" spans="9:12" x14ac:dyDescent="0.25">
      <c r="I1234" t="s">
        <v>278</v>
      </c>
      <c r="J1234" t="s">
        <v>203</v>
      </c>
      <c r="K1234">
        <v>1.2092888687475101E-2</v>
      </c>
      <c r="L1234" t="s">
        <v>31</v>
      </c>
    </row>
    <row r="1235" spans="9:12" x14ac:dyDescent="0.25">
      <c r="I1235" t="s">
        <v>278</v>
      </c>
      <c r="J1235" t="s">
        <v>204</v>
      </c>
      <c r="K1235">
        <v>1.5947187723850151E-3</v>
      </c>
      <c r="L1235" t="s">
        <v>31</v>
      </c>
    </row>
    <row r="1236" spans="9:12" x14ac:dyDescent="0.25">
      <c r="I1236" t="s">
        <v>278</v>
      </c>
      <c r="J1236" t="s">
        <v>205</v>
      </c>
      <c r="K1236">
        <v>2.5946071685456224E-4</v>
      </c>
      <c r="L1236" t="s">
        <v>31</v>
      </c>
    </row>
    <row r="1237" spans="9:12" x14ac:dyDescent="0.25">
      <c r="I1237" t="s">
        <v>278</v>
      </c>
      <c r="J1237" t="s">
        <v>206</v>
      </c>
      <c r="K1237">
        <v>0</v>
      </c>
      <c r="L1237" t="s">
        <v>31</v>
      </c>
    </row>
    <row r="1238" spans="9:12" x14ac:dyDescent="0.25">
      <c r="I1238" t="s">
        <v>278</v>
      </c>
      <c r="J1238" t="s">
        <v>207</v>
      </c>
      <c r="K1238">
        <v>0</v>
      </c>
      <c r="L1238" t="s">
        <v>31</v>
      </c>
    </row>
    <row r="1239" spans="9:12" x14ac:dyDescent="0.25">
      <c r="I1239" t="s">
        <v>278</v>
      </c>
      <c r="J1239" t="s">
        <v>208</v>
      </c>
      <c r="K1239">
        <v>0</v>
      </c>
      <c r="L1239" t="s">
        <v>31</v>
      </c>
    </row>
    <row r="1240" spans="9:12" x14ac:dyDescent="0.25">
      <c r="I1240" t="s">
        <v>278</v>
      </c>
      <c r="J1240" t="s">
        <v>209</v>
      </c>
      <c r="K1240">
        <v>0</v>
      </c>
      <c r="L1240" t="s">
        <v>31</v>
      </c>
    </row>
    <row r="1241" spans="9:12" x14ac:dyDescent="0.25">
      <c r="I1241" t="s">
        <v>278</v>
      </c>
      <c r="J1241" t="s">
        <v>210</v>
      </c>
      <c r="K1241">
        <v>0</v>
      </c>
      <c r="L1241" t="s">
        <v>31</v>
      </c>
    </row>
    <row r="1242" spans="9:12" x14ac:dyDescent="0.25">
      <c r="I1242" t="s">
        <v>278</v>
      </c>
      <c r="J1242" t="s">
        <v>211</v>
      </c>
      <c r="K1242">
        <v>4.5263023002266442E-3</v>
      </c>
      <c r="L1242" t="s">
        <v>31</v>
      </c>
    </row>
    <row r="1243" spans="9:12" x14ac:dyDescent="0.25">
      <c r="I1243" t="s">
        <v>278</v>
      </c>
      <c r="J1243" t="s">
        <v>212</v>
      </c>
      <c r="K1243">
        <v>6.3906024040864611E-4</v>
      </c>
      <c r="L1243" t="s">
        <v>31</v>
      </c>
    </row>
    <row r="1244" spans="9:12" x14ac:dyDescent="0.25">
      <c r="I1244" t="s">
        <v>278</v>
      </c>
      <c r="J1244" t="s">
        <v>213</v>
      </c>
      <c r="K1244">
        <v>0</v>
      </c>
      <c r="L1244" t="s">
        <v>31</v>
      </c>
    </row>
    <row r="1245" spans="9:12" x14ac:dyDescent="0.25">
      <c r="I1245" t="s">
        <v>278</v>
      </c>
      <c r="J1245" t="s">
        <v>214</v>
      </c>
      <c r="K1245">
        <v>0</v>
      </c>
      <c r="L1245" t="s">
        <v>31</v>
      </c>
    </row>
    <row r="1246" spans="9:12" x14ac:dyDescent="0.25">
      <c r="I1246" t="s">
        <v>278</v>
      </c>
      <c r="J1246" t="s">
        <v>215</v>
      </c>
      <c r="K1246">
        <v>0</v>
      </c>
      <c r="L1246" t="s">
        <v>31</v>
      </c>
    </row>
    <row r="1247" spans="9:12" x14ac:dyDescent="0.25">
      <c r="I1247" t="s">
        <v>278</v>
      </c>
      <c r="J1247" t="s">
        <v>216</v>
      </c>
      <c r="K1247">
        <v>0</v>
      </c>
      <c r="L1247" t="s">
        <v>31</v>
      </c>
    </row>
    <row r="1248" spans="9:12" x14ac:dyDescent="0.25">
      <c r="I1248" t="s">
        <v>279</v>
      </c>
      <c r="J1248" t="s">
        <v>122</v>
      </c>
      <c r="K1248">
        <v>0</v>
      </c>
      <c r="L1248" t="s">
        <v>31</v>
      </c>
    </row>
    <row r="1249" spans="9:12" x14ac:dyDescent="0.25">
      <c r="I1249" t="s">
        <v>279</v>
      </c>
      <c r="J1249" t="s">
        <v>123</v>
      </c>
      <c r="K1249">
        <v>8.244810902901795E-3</v>
      </c>
      <c r="L1249" t="s">
        <v>31</v>
      </c>
    </row>
    <row r="1250" spans="9:12" x14ac:dyDescent="0.25">
      <c r="I1250" t="s">
        <v>279</v>
      </c>
      <c r="J1250" t="s">
        <v>124</v>
      </c>
      <c r="K1250">
        <v>1.4127396844557706E-3</v>
      </c>
      <c r="L1250" t="s">
        <v>31</v>
      </c>
    </row>
    <row r="1251" spans="9:12" x14ac:dyDescent="0.25">
      <c r="I1251" t="s">
        <v>279</v>
      </c>
      <c r="J1251" t="s">
        <v>125</v>
      </c>
      <c r="K1251">
        <v>6.1816345125984083E-4</v>
      </c>
      <c r="L1251" t="s">
        <v>31</v>
      </c>
    </row>
    <row r="1252" spans="9:12" x14ac:dyDescent="0.25">
      <c r="I1252" t="s">
        <v>279</v>
      </c>
      <c r="J1252" t="s">
        <v>126</v>
      </c>
      <c r="K1252">
        <v>0</v>
      </c>
      <c r="L1252" t="s">
        <v>31</v>
      </c>
    </row>
    <row r="1253" spans="9:12" x14ac:dyDescent="0.25">
      <c r="I1253" t="s">
        <v>279</v>
      </c>
      <c r="J1253" t="s">
        <v>127</v>
      </c>
      <c r="K1253">
        <v>0</v>
      </c>
      <c r="L1253" t="s">
        <v>31</v>
      </c>
    </row>
    <row r="1254" spans="9:12" x14ac:dyDescent="0.25">
      <c r="I1254" t="s">
        <v>279</v>
      </c>
      <c r="J1254" t="s">
        <v>128</v>
      </c>
      <c r="K1254">
        <v>0</v>
      </c>
      <c r="L1254" t="s">
        <v>31</v>
      </c>
    </row>
    <row r="1255" spans="9:12" x14ac:dyDescent="0.25">
      <c r="I1255" t="s">
        <v>279</v>
      </c>
      <c r="J1255" t="s">
        <v>129</v>
      </c>
      <c r="K1255">
        <v>0</v>
      </c>
      <c r="L1255" t="s">
        <v>31</v>
      </c>
    </row>
    <row r="1256" spans="9:12" x14ac:dyDescent="0.25">
      <c r="I1256" t="s">
        <v>279</v>
      </c>
      <c r="J1256" t="s">
        <v>130</v>
      </c>
      <c r="K1256">
        <v>0</v>
      </c>
      <c r="L1256" t="s">
        <v>31</v>
      </c>
    </row>
    <row r="1257" spans="9:12" x14ac:dyDescent="0.25">
      <c r="I1257" t="s">
        <v>279</v>
      </c>
      <c r="J1257" t="s">
        <v>131</v>
      </c>
      <c r="K1257">
        <v>2.0491651333539897E-2</v>
      </c>
      <c r="L1257" t="s">
        <v>31</v>
      </c>
    </row>
    <row r="1258" spans="9:12" x14ac:dyDescent="0.25">
      <c r="I1258" t="s">
        <v>279</v>
      </c>
      <c r="J1258" t="s">
        <v>132</v>
      </c>
      <c r="K1258">
        <v>3.4699017702487403E-3</v>
      </c>
      <c r="L1258" t="s">
        <v>31</v>
      </c>
    </row>
    <row r="1259" spans="9:12" x14ac:dyDescent="0.25">
      <c r="I1259" t="s">
        <v>279</v>
      </c>
      <c r="J1259" t="s">
        <v>133</v>
      </c>
      <c r="K1259">
        <v>3.6213769630866659E-3</v>
      </c>
      <c r="L1259" t="s">
        <v>31</v>
      </c>
    </row>
    <row r="1260" spans="9:12" x14ac:dyDescent="0.25">
      <c r="I1260" t="s">
        <v>279</v>
      </c>
      <c r="J1260" t="s">
        <v>134</v>
      </c>
      <c r="K1260">
        <v>0</v>
      </c>
      <c r="L1260" t="s">
        <v>31</v>
      </c>
    </row>
    <row r="1261" spans="9:12" x14ac:dyDescent="0.25">
      <c r="I1261" t="s">
        <v>279</v>
      </c>
      <c r="J1261" t="s">
        <v>135</v>
      </c>
      <c r="K1261">
        <v>0</v>
      </c>
      <c r="L1261" t="s">
        <v>31</v>
      </c>
    </row>
    <row r="1262" spans="9:12" x14ac:dyDescent="0.25">
      <c r="I1262" t="s">
        <v>279</v>
      </c>
      <c r="J1262" t="s">
        <v>136</v>
      </c>
      <c r="K1262">
        <v>0</v>
      </c>
      <c r="L1262" t="s">
        <v>31</v>
      </c>
    </row>
    <row r="1263" spans="9:12" x14ac:dyDescent="0.25">
      <c r="I1263" t="s">
        <v>279</v>
      </c>
      <c r="J1263" t="s">
        <v>137</v>
      </c>
      <c r="K1263">
        <v>0</v>
      </c>
      <c r="L1263" t="s">
        <v>31</v>
      </c>
    </row>
    <row r="1264" spans="9:12" x14ac:dyDescent="0.25">
      <c r="I1264" t="s">
        <v>279</v>
      </c>
      <c r="J1264" t="s">
        <v>138</v>
      </c>
      <c r="K1264">
        <v>0</v>
      </c>
      <c r="L1264" t="s">
        <v>31</v>
      </c>
    </row>
    <row r="1265" spans="9:12" x14ac:dyDescent="0.25">
      <c r="I1265" t="s">
        <v>279</v>
      </c>
      <c r="J1265" t="s">
        <v>139</v>
      </c>
      <c r="K1265">
        <v>7.8267129520329284E-2</v>
      </c>
      <c r="L1265" t="s">
        <v>31</v>
      </c>
    </row>
    <row r="1266" spans="9:12" x14ac:dyDescent="0.25">
      <c r="I1266" t="s">
        <v>279</v>
      </c>
      <c r="J1266" t="s">
        <v>140</v>
      </c>
      <c r="K1266">
        <v>1.2311100614487243E-2</v>
      </c>
      <c r="L1266" t="s">
        <v>31</v>
      </c>
    </row>
    <row r="1267" spans="9:12" x14ac:dyDescent="0.25">
      <c r="I1267" t="s">
        <v>279</v>
      </c>
      <c r="J1267" t="s">
        <v>141</v>
      </c>
      <c r="K1267">
        <v>2.3495211201224182E-2</v>
      </c>
      <c r="L1267" t="s">
        <v>31</v>
      </c>
    </row>
    <row r="1268" spans="9:12" x14ac:dyDescent="0.25">
      <c r="I1268" t="s">
        <v>279</v>
      </c>
      <c r="J1268" t="s">
        <v>142</v>
      </c>
      <c r="K1268">
        <v>3.2923404097034135E-4</v>
      </c>
      <c r="L1268" t="s">
        <v>31</v>
      </c>
    </row>
    <row r="1269" spans="9:12" x14ac:dyDescent="0.25">
      <c r="I1269" t="s">
        <v>279</v>
      </c>
      <c r="J1269" t="s">
        <v>143</v>
      </c>
      <c r="K1269">
        <v>0</v>
      </c>
      <c r="L1269" t="s">
        <v>31</v>
      </c>
    </row>
    <row r="1270" spans="9:12" x14ac:dyDescent="0.25">
      <c r="I1270" t="s">
        <v>279</v>
      </c>
      <c r="J1270" t="s">
        <v>144</v>
      </c>
      <c r="K1270">
        <v>0</v>
      </c>
      <c r="L1270" t="s">
        <v>31</v>
      </c>
    </row>
    <row r="1271" spans="9:12" x14ac:dyDescent="0.25">
      <c r="I1271" t="s">
        <v>279</v>
      </c>
      <c r="J1271" t="s">
        <v>145</v>
      </c>
      <c r="K1271">
        <v>0</v>
      </c>
      <c r="L1271" t="s">
        <v>31</v>
      </c>
    </row>
    <row r="1272" spans="9:12" x14ac:dyDescent="0.25">
      <c r="I1272" t="s">
        <v>279</v>
      </c>
      <c r="J1272" t="s">
        <v>146</v>
      </c>
      <c r="K1272">
        <v>1.5979949420121474E-6</v>
      </c>
      <c r="L1272" t="s">
        <v>31</v>
      </c>
    </row>
    <row r="1273" spans="9:12" x14ac:dyDescent="0.25">
      <c r="I1273" t="s">
        <v>279</v>
      </c>
      <c r="J1273" t="s">
        <v>147</v>
      </c>
      <c r="K1273">
        <v>8.4198439208002893E-2</v>
      </c>
      <c r="L1273" t="s">
        <v>31</v>
      </c>
    </row>
    <row r="1274" spans="9:12" x14ac:dyDescent="0.25">
      <c r="I1274" t="s">
        <v>279</v>
      </c>
      <c r="J1274" t="s">
        <v>148</v>
      </c>
      <c r="K1274">
        <v>1.1033520293542749E-2</v>
      </c>
      <c r="L1274" t="s">
        <v>31</v>
      </c>
    </row>
    <row r="1275" spans="9:12" x14ac:dyDescent="0.25">
      <c r="I1275" t="s">
        <v>279</v>
      </c>
      <c r="J1275" t="s">
        <v>149</v>
      </c>
      <c r="K1275">
        <v>2.4762053859012197E-2</v>
      </c>
      <c r="L1275" t="s">
        <v>31</v>
      </c>
    </row>
    <row r="1276" spans="9:12" x14ac:dyDescent="0.25">
      <c r="I1276" t="s">
        <v>279</v>
      </c>
      <c r="J1276" t="s">
        <v>150</v>
      </c>
      <c r="K1276">
        <v>3.6423978779708032E-3</v>
      </c>
      <c r="L1276" t="s">
        <v>31</v>
      </c>
    </row>
    <row r="1277" spans="9:12" x14ac:dyDescent="0.25">
      <c r="I1277" t="s">
        <v>279</v>
      </c>
      <c r="J1277" t="s">
        <v>151</v>
      </c>
      <c r="K1277">
        <v>6.1765608745711453E-4</v>
      </c>
      <c r="L1277" t="s">
        <v>31</v>
      </c>
    </row>
    <row r="1278" spans="9:12" x14ac:dyDescent="0.25">
      <c r="I1278" t="s">
        <v>279</v>
      </c>
      <c r="J1278" t="s">
        <v>152</v>
      </c>
      <c r="K1278">
        <v>0</v>
      </c>
      <c r="L1278" t="s">
        <v>31</v>
      </c>
    </row>
    <row r="1279" spans="9:12" x14ac:dyDescent="0.25">
      <c r="I1279" t="s">
        <v>279</v>
      </c>
      <c r="J1279" t="s">
        <v>153</v>
      </c>
      <c r="K1279">
        <v>3.3510082290818144E-5</v>
      </c>
      <c r="L1279" t="s">
        <v>31</v>
      </c>
    </row>
    <row r="1280" spans="9:12" x14ac:dyDescent="0.25">
      <c r="I1280" t="s">
        <v>279</v>
      </c>
      <c r="J1280" t="s">
        <v>154</v>
      </c>
      <c r="K1280">
        <v>2.2948374389607788E-3</v>
      </c>
      <c r="L1280" t="s">
        <v>31</v>
      </c>
    </row>
    <row r="1281" spans="9:12" x14ac:dyDescent="0.25">
      <c r="I1281" t="s">
        <v>279</v>
      </c>
      <c r="J1281" t="s">
        <v>155</v>
      </c>
      <c r="K1281">
        <v>9.475183371211636E-2</v>
      </c>
      <c r="L1281" t="s">
        <v>31</v>
      </c>
    </row>
    <row r="1282" spans="9:12" x14ac:dyDescent="0.25">
      <c r="I1282" t="s">
        <v>279</v>
      </c>
      <c r="J1282" t="s">
        <v>156</v>
      </c>
      <c r="K1282">
        <v>1.2703254570961062E-2</v>
      </c>
      <c r="L1282" t="s">
        <v>31</v>
      </c>
    </row>
    <row r="1283" spans="9:12" x14ac:dyDescent="0.25">
      <c r="I1283" t="s">
        <v>279</v>
      </c>
      <c r="J1283" t="s">
        <v>157</v>
      </c>
      <c r="K1283">
        <v>2.9488665335698244E-2</v>
      </c>
      <c r="L1283" t="s">
        <v>31</v>
      </c>
    </row>
    <row r="1284" spans="9:12" x14ac:dyDescent="0.25">
      <c r="I1284" t="s">
        <v>279</v>
      </c>
      <c r="J1284" t="s">
        <v>158</v>
      </c>
      <c r="K1284">
        <v>5.850739322805408E-3</v>
      </c>
      <c r="L1284" t="s">
        <v>31</v>
      </c>
    </row>
    <row r="1285" spans="9:12" x14ac:dyDescent="0.25">
      <c r="I1285" t="s">
        <v>279</v>
      </c>
      <c r="J1285" t="s">
        <v>159</v>
      </c>
      <c r="K1285">
        <v>2.9766667103186804E-3</v>
      </c>
      <c r="L1285" t="s">
        <v>31</v>
      </c>
    </row>
    <row r="1286" spans="9:12" x14ac:dyDescent="0.25">
      <c r="I1286" t="s">
        <v>279</v>
      </c>
      <c r="J1286" t="s">
        <v>160</v>
      </c>
      <c r="K1286">
        <v>2.9388975058872575E-4</v>
      </c>
      <c r="L1286" t="s">
        <v>31</v>
      </c>
    </row>
    <row r="1287" spans="9:12" x14ac:dyDescent="0.25">
      <c r="I1287" t="s">
        <v>279</v>
      </c>
      <c r="J1287" t="s">
        <v>161</v>
      </c>
      <c r="K1287">
        <v>1.0864889659409332E-3</v>
      </c>
      <c r="L1287" t="s">
        <v>31</v>
      </c>
    </row>
    <row r="1288" spans="9:12" x14ac:dyDescent="0.25">
      <c r="I1288" t="s">
        <v>279</v>
      </c>
      <c r="J1288" t="s">
        <v>162</v>
      </c>
      <c r="K1288">
        <v>3.3552638840407155E-3</v>
      </c>
      <c r="L1288" t="s">
        <v>31</v>
      </c>
    </row>
    <row r="1289" spans="9:12" x14ac:dyDescent="0.25">
      <c r="I1289" t="s">
        <v>279</v>
      </c>
      <c r="J1289" t="s">
        <v>163</v>
      </c>
      <c r="K1289">
        <v>9.5678950670496102E-2</v>
      </c>
      <c r="L1289" t="s">
        <v>31</v>
      </c>
    </row>
    <row r="1290" spans="9:12" x14ac:dyDescent="0.25">
      <c r="I1290" t="s">
        <v>279</v>
      </c>
      <c r="J1290" t="s">
        <v>164</v>
      </c>
      <c r="K1290">
        <v>1.1360730963371654E-2</v>
      </c>
      <c r="L1290" t="s">
        <v>31</v>
      </c>
    </row>
    <row r="1291" spans="9:12" x14ac:dyDescent="0.25">
      <c r="I1291" t="s">
        <v>279</v>
      </c>
      <c r="J1291" t="s">
        <v>165</v>
      </c>
      <c r="K1291">
        <v>2.8522958059822207E-2</v>
      </c>
      <c r="L1291" t="s">
        <v>31</v>
      </c>
    </row>
    <row r="1292" spans="9:12" x14ac:dyDescent="0.25">
      <c r="I1292" t="s">
        <v>279</v>
      </c>
      <c r="J1292" t="s">
        <v>166</v>
      </c>
      <c r="K1292">
        <v>5.7052123452518656E-3</v>
      </c>
      <c r="L1292" t="s">
        <v>31</v>
      </c>
    </row>
    <row r="1293" spans="9:12" x14ac:dyDescent="0.25">
      <c r="I1293" t="s">
        <v>279</v>
      </c>
      <c r="J1293" t="s">
        <v>167</v>
      </c>
      <c r="K1293">
        <v>3.759875169577953E-3</v>
      </c>
      <c r="L1293" t="s">
        <v>31</v>
      </c>
    </row>
    <row r="1294" spans="9:12" x14ac:dyDescent="0.25">
      <c r="I1294" t="s">
        <v>279</v>
      </c>
      <c r="J1294" t="s">
        <v>168</v>
      </c>
      <c r="K1294">
        <v>1.7106752169796914E-3</v>
      </c>
      <c r="L1294" t="s">
        <v>31</v>
      </c>
    </row>
    <row r="1295" spans="9:12" x14ac:dyDescent="0.25">
      <c r="I1295" t="s">
        <v>279</v>
      </c>
      <c r="J1295" t="s">
        <v>169</v>
      </c>
      <c r="K1295">
        <v>2.4623721627657072E-4</v>
      </c>
      <c r="L1295" t="s">
        <v>31</v>
      </c>
    </row>
    <row r="1296" spans="9:12" x14ac:dyDescent="0.25">
      <c r="I1296" t="s">
        <v>279</v>
      </c>
      <c r="J1296" t="s">
        <v>170</v>
      </c>
      <c r="K1296">
        <v>3.0257525251269927E-3</v>
      </c>
      <c r="L1296" t="s">
        <v>31</v>
      </c>
    </row>
    <row r="1297" spans="9:12" x14ac:dyDescent="0.25">
      <c r="I1297" t="s">
        <v>279</v>
      </c>
      <c r="J1297" t="s">
        <v>171</v>
      </c>
      <c r="K1297">
        <v>9.4752975594781436E-2</v>
      </c>
      <c r="L1297" t="s">
        <v>31</v>
      </c>
    </row>
    <row r="1298" spans="9:12" x14ac:dyDescent="0.25">
      <c r="I1298" t="s">
        <v>279</v>
      </c>
      <c r="J1298" t="s">
        <v>172</v>
      </c>
      <c r="K1298">
        <v>1.2010369571695226E-2</v>
      </c>
      <c r="L1298" t="s">
        <v>31</v>
      </c>
    </row>
    <row r="1299" spans="9:12" x14ac:dyDescent="0.25">
      <c r="I1299" t="s">
        <v>279</v>
      </c>
      <c r="J1299" t="s">
        <v>173</v>
      </c>
      <c r="K1299">
        <v>2.9631842076279963E-2</v>
      </c>
      <c r="L1299" t="s">
        <v>31</v>
      </c>
    </row>
    <row r="1300" spans="9:12" x14ac:dyDescent="0.25">
      <c r="I1300" t="s">
        <v>279</v>
      </c>
      <c r="J1300" t="s">
        <v>174</v>
      </c>
      <c r="K1300">
        <v>6.6642702424942442E-3</v>
      </c>
      <c r="L1300" t="s">
        <v>31</v>
      </c>
    </row>
    <row r="1301" spans="9:12" x14ac:dyDescent="0.25">
      <c r="I1301" t="s">
        <v>279</v>
      </c>
      <c r="J1301" t="s">
        <v>175</v>
      </c>
      <c r="K1301">
        <v>4.0788910774191287E-3</v>
      </c>
      <c r="L1301" t="s">
        <v>31</v>
      </c>
    </row>
    <row r="1302" spans="9:12" x14ac:dyDescent="0.25">
      <c r="I1302" t="s">
        <v>279</v>
      </c>
      <c r="J1302" t="s">
        <v>176</v>
      </c>
      <c r="K1302">
        <v>1.8033283723330696E-3</v>
      </c>
      <c r="L1302" t="s">
        <v>31</v>
      </c>
    </row>
    <row r="1303" spans="9:12" x14ac:dyDescent="0.25">
      <c r="I1303" t="s">
        <v>279</v>
      </c>
      <c r="J1303" t="s">
        <v>177</v>
      </c>
      <c r="K1303">
        <v>0</v>
      </c>
      <c r="L1303" t="s">
        <v>31</v>
      </c>
    </row>
    <row r="1304" spans="9:12" x14ac:dyDescent="0.25">
      <c r="I1304" t="s">
        <v>279</v>
      </c>
      <c r="J1304" t="s">
        <v>178</v>
      </c>
      <c r="K1304">
        <v>6.0886653577635742E-4</v>
      </c>
      <c r="L1304" t="s">
        <v>31</v>
      </c>
    </row>
    <row r="1305" spans="9:12" x14ac:dyDescent="0.25">
      <c r="I1305" t="s">
        <v>279</v>
      </c>
      <c r="J1305" t="s">
        <v>179</v>
      </c>
      <c r="K1305">
        <v>7.9353716330898133E-2</v>
      </c>
      <c r="L1305" t="s">
        <v>31</v>
      </c>
    </row>
    <row r="1306" spans="9:12" x14ac:dyDescent="0.25">
      <c r="I1306" t="s">
        <v>279</v>
      </c>
      <c r="J1306" t="s">
        <v>180</v>
      </c>
      <c r="K1306">
        <v>1.051366716307979E-2</v>
      </c>
      <c r="L1306" t="s">
        <v>31</v>
      </c>
    </row>
    <row r="1307" spans="9:12" x14ac:dyDescent="0.25">
      <c r="I1307" t="s">
        <v>279</v>
      </c>
      <c r="J1307" t="s">
        <v>181</v>
      </c>
      <c r="K1307">
        <v>2.5529289669338068E-2</v>
      </c>
      <c r="L1307" t="s">
        <v>31</v>
      </c>
    </row>
    <row r="1308" spans="9:12" x14ac:dyDescent="0.25">
      <c r="I1308" t="s">
        <v>279</v>
      </c>
      <c r="J1308" t="s">
        <v>182</v>
      </c>
      <c r="K1308">
        <v>4.6391059379533011E-3</v>
      </c>
      <c r="L1308" t="s">
        <v>31</v>
      </c>
    </row>
    <row r="1309" spans="9:12" x14ac:dyDescent="0.25">
      <c r="I1309" t="s">
        <v>279</v>
      </c>
      <c r="J1309" t="s">
        <v>183</v>
      </c>
      <c r="K1309">
        <v>1.8105606074451286E-3</v>
      </c>
      <c r="L1309" t="s">
        <v>31</v>
      </c>
    </row>
    <row r="1310" spans="9:12" x14ac:dyDescent="0.25">
      <c r="I1310" t="s">
        <v>279</v>
      </c>
      <c r="J1310" t="s">
        <v>184</v>
      </c>
      <c r="K1310">
        <v>0</v>
      </c>
      <c r="L1310" t="s">
        <v>31</v>
      </c>
    </row>
    <row r="1311" spans="9:12" x14ac:dyDescent="0.25">
      <c r="I1311" t="s">
        <v>279</v>
      </c>
      <c r="J1311" t="s">
        <v>185</v>
      </c>
      <c r="K1311">
        <v>0</v>
      </c>
      <c r="L1311" t="s">
        <v>31</v>
      </c>
    </row>
    <row r="1312" spans="9:12" x14ac:dyDescent="0.25">
      <c r="I1312" t="s">
        <v>279</v>
      </c>
      <c r="J1312" t="s">
        <v>186</v>
      </c>
      <c r="K1312">
        <v>0</v>
      </c>
      <c r="L1312" t="s">
        <v>31</v>
      </c>
    </row>
    <row r="1313" spans="9:12" x14ac:dyDescent="0.25">
      <c r="I1313" t="s">
        <v>279</v>
      </c>
      <c r="J1313" t="s">
        <v>187</v>
      </c>
      <c r="K1313">
        <v>6.4345262171371237E-2</v>
      </c>
      <c r="L1313" t="s">
        <v>31</v>
      </c>
    </row>
    <row r="1314" spans="9:12" x14ac:dyDescent="0.25">
      <c r="I1314" t="s">
        <v>279</v>
      </c>
      <c r="J1314" t="s">
        <v>188</v>
      </c>
      <c r="K1314">
        <v>8.9574470643704138E-3</v>
      </c>
      <c r="L1314" t="s">
        <v>31</v>
      </c>
    </row>
    <row r="1315" spans="9:12" x14ac:dyDescent="0.25">
      <c r="I1315" t="s">
        <v>279</v>
      </c>
      <c r="J1315" t="s">
        <v>189</v>
      </c>
      <c r="K1315">
        <v>1.7932625613388081E-2</v>
      </c>
      <c r="L1315" t="s">
        <v>31</v>
      </c>
    </row>
    <row r="1316" spans="9:12" x14ac:dyDescent="0.25">
      <c r="I1316" t="s">
        <v>279</v>
      </c>
      <c r="J1316" t="s">
        <v>190</v>
      </c>
      <c r="K1316">
        <v>1.1273184373715762E-3</v>
      </c>
      <c r="L1316" t="s">
        <v>31</v>
      </c>
    </row>
    <row r="1317" spans="9:12" x14ac:dyDescent="0.25">
      <c r="I1317" t="s">
        <v>279</v>
      </c>
      <c r="J1317" t="s">
        <v>191</v>
      </c>
      <c r="K1317">
        <v>0</v>
      </c>
      <c r="L1317" t="s">
        <v>31</v>
      </c>
    </row>
    <row r="1318" spans="9:12" x14ac:dyDescent="0.25">
      <c r="I1318" t="s">
        <v>279</v>
      </c>
      <c r="J1318" t="s">
        <v>192</v>
      </c>
      <c r="K1318">
        <v>0</v>
      </c>
      <c r="L1318" t="s">
        <v>31</v>
      </c>
    </row>
    <row r="1319" spans="9:12" x14ac:dyDescent="0.25">
      <c r="I1319" t="s">
        <v>279</v>
      </c>
      <c r="J1319" t="s">
        <v>193</v>
      </c>
      <c r="K1319">
        <v>0</v>
      </c>
      <c r="L1319" t="s">
        <v>31</v>
      </c>
    </row>
    <row r="1320" spans="9:12" x14ac:dyDescent="0.25">
      <c r="I1320" t="s">
        <v>279</v>
      </c>
      <c r="J1320" t="s">
        <v>194</v>
      </c>
      <c r="K1320">
        <v>0</v>
      </c>
      <c r="L1320" t="s">
        <v>31</v>
      </c>
    </row>
    <row r="1321" spans="9:12" x14ac:dyDescent="0.25">
      <c r="I1321" t="s">
        <v>279</v>
      </c>
      <c r="J1321" t="s">
        <v>195</v>
      </c>
      <c r="K1321">
        <v>2.8660929714589219E-2</v>
      </c>
      <c r="L1321" t="s">
        <v>31</v>
      </c>
    </row>
    <row r="1322" spans="9:12" x14ac:dyDescent="0.25">
      <c r="I1322" t="s">
        <v>279</v>
      </c>
      <c r="J1322" t="s">
        <v>196</v>
      </c>
      <c r="K1322">
        <v>4.2748600280489643E-3</v>
      </c>
      <c r="L1322" t="s">
        <v>31</v>
      </c>
    </row>
    <row r="1323" spans="9:12" x14ac:dyDescent="0.25">
      <c r="I1323" t="s">
        <v>279</v>
      </c>
      <c r="J1323" t="s">
        <v>197</v>
      </c>
      <c r="K1323">
        <v>4.8297163299620303E-3</v>
      </c>
      <c r="L1323" t="s">
        <v>31</v>
      </c>
    </row>
    <row r="1324" spans="9:12" x14ac:dyDescent="0.25">
      <c r="I1324" t="s">
        <v>279</v>
      </c>
      <c r="J1324" t="s">
        <v>198</v>
      </c>
      <c r="K1324">
        <v>0</v>
      </c>
      <c r="L1324" t="s">
        <v>31</v>
      </c>
    </row>
    <row r="1325" spans="9:12" x14ac:dyDescent="0.25">
      <c r="I1325" t="s">
        <v>279</v>
      </c>
      <c r="J1325" t="s">
        <v>199</v>
      </c>
      <c r="K1325">
        <v>0</v>
      </c>
      <c r="L1325" t="s">
        <v>31</v>
      </c>
    </row>
    <row r="1326" spans="9:12" x14ac:dyDescent="0.25">
      <c r="I1326" t="s">
        <v>279</v>
      </c>
      <c r="J1326" t="s">
        <v>200</v>
      </c>
      <c r="K1326">
        <v>0</v>
      </c>
      <c r="L1326" t="s">
        <v>31</v>
      </c>
    </row>
    <row r="1327" spans="9:12" x14ac:dyDescent="0.25">
      <c r="I1327" t="s">
        <v>279</v>
      </c>
      <c r="J1327" t="s">
        <v>201</v>
      </c>
      <c r="K1327">
        <v>0</v>
      </c>
      <c r="L1327" t="s">
        <v>31</v>
      </c>
    </row>
    <row r="1328" spans="9:12" x14ac:dyDescent="0.25">
      <c r="I1328" t="s">
        <v>279</v>
      </c>
      <c r="J1328" t="s">
        <v>202</v>
      </c>
      <c r="K1328">
        <v>0</v>
      </c>
      <c r="L1328" t="s">
        <v>31</v>
      </c>
    </row>
    <row r="1329" spans="9:12" x14ac:dyDescent="0.25">
      <c r="I1329" t="s">
        <v>279</v>
      </c>
      <c r="J1329" t="s">
        <v>203</v>
      </c>
      <c r="K1329">
        <v>1.2092888687475101E-2</v>
      </c>
      <c r="L1329" t="s">
        <v>31</v>
      </c>
    </row>
    <row r="1330" spans="9:12" x14ac:dyDescent="0.25">
      <c r="I1330" t="s">
        <v>279</v>
      </c>
      <c r="J1330" t="s">
        <v>204</v>
      </c>
      <c r="K1330">
        <v>1.5947187723850151E-3</v>
      </c>
      <c r="L1330" t="s">
        <v>31</v>
      </c>
    </row>
    <row r="1331" spans="9:12" x14ac:dyDescent="0.25">
      <c r="I1331" t="s">
        <v>279</v>
      </c>
      <c r="J1331" t="s">
        <v>205</v>
      </c>
      <c r="K1331">
        <v>2.5946071685456224E-4</v>
      </c>
      <c r="L1331" t="s">
        <v>31</v>
      </c>
    </row>
    <row r="1332" spans="9:12" x14ac:dyDescent="0.25">
      <c r="I1332" t="s">
        <v>279</v>
      </c>
      <c r="J1332" t="s">
        <v>206</v>
      </c>
      <c r="K1332">
        <v>0</v>
      </c>
      <c r="L1332" t="s">
        <v>31</v>
      </c>
    </row>
    <row r="1333" spans="9:12" x14ac:dyDescent="0.25">
      <c r="I1333" t="s">
        <v>279</v>
      </c>
      <c r="J1333" t="s">
        <v>207</v>
      </c>
      <c r="K1333">
        <v>0</v>
      </c>
      <c r="L1333" t="s">
        <v>31</v>
      </c>
    </row>
    <row r="1334" spans="9:12" x14ac:dyDescent="0.25">
      <c r="I1334" t="s">
        <v>279</v>
      </c>
      <c r="J1334" t="s">
        <v>208</v>
      </c>
      <c r="K1334">
        <v>0</v>
      </c>
      <c r="L1334" t="s">
        <v>31</v>
      </c>
    </row>
    <row r="1335" spans="9:12" x14ac:dyDescent="0.25">
      <c r="I1335" t="s">
        <v>279</v>
      </c>
      <c r="J1335" t="s">
        <v>209</v>
      </c>
      <c r="K1335">
        <v>0</v>
      </c>
      <c r="L1335" t="s">
        <v>31</v>
      </c>
    </row>
    <row r="1336" spans="9:12" x14ac:dyDescent="0.25">
      <c r="I1336" t="s">
        <v>279</v>
      </c>
      <c r="J1336" t="s">
        <v>210</v>
      </c>
      <c r="K1336">
        <v>0</v>
      </c>
      <c r="L1336" t="s">
        <v>31</v>
      </c>
    </row>
    <row r="1337" spans="9:12" x14ac:dyDescent="0.25">
      <c r="I1337" t="s">
        <v>279</v>
      </c>
      <c r="J1337" t="s">
        <v>211</v>
      </c>
      <c r="K1337">
        <v>4.5263023002266442E-3</v>
      </c>
      <c r="L1337" t="s">
        <v>31</v>
      </c>
    </row>
    <row r="1338" spans="9:12" x14ac:dyDescent="0.25">
      <c r="I1338" t="s">
        <v>279</v>
      </c>
      <c r="J1338" t="s">
        <v>212</v>
      </c>
      <c r="K1338">
        <v>6.3906024040864611E-4</v>
      </c>
      <c r="L1338" t="s">
        <v>31</v>
      </c>
    </row>
    <row r="1339" spans="9:12" x14ac:dyDescent="0.25">
      <c r="I1339" t="s">
        <v>279</v>
      </c>
      <c r="J1339" t="s">
        <v>213</v>
      </c>
      <c r="K1339">
        <v>0</v>
      </c>
      <c r="L1339" t="s">
        <v>31</v>
      </c>
    </row>
    <row r="1340" spans="9:12" x14ac:dyDescent="0.25">
      <c r="I1340" t="s">
        <v>279</v>
      </c>
      <c r="J1340" t="s">
        <v>214</v>
      </c>
      <c r="K1340">
        <v>0</v>
      </c>
      <c r="L1340" t="s">
        <v>31</v>
      </c>
    </row>
    <row r="1341" spans="9:12" x14ac:dyDescent="0.25">
      <c r="I1341" t="s">
        <v>279</v>
      </c>
      <c r="J1341" t="s">
        <v>215</v>
      </c>
      <c r="K1341">
        <v>0</v>
      </c>
      <c r="L1341" t="s">
        <v>31</v>
      </c>
    </row>
    <row r="1342" spans="9:12" x14ac:dyDescent="0.25">
      <c r="I1342" t="s">
        <v>279</v>
      </c>
      <c r="J1342" t="s">
        <v>216</v>
      </c>
      <c r="K1342">
        <v>0</v>
      </c>
      <c r="L1342" t="s">
        <v>31</v>
      </c>
    </row>
    <row r="1343" spans="9:12" x14ac:dyDescent="0.25">
      <c r="I1343" t="s">
        <v>280</v>
      </c>
      <c r="J1343" t="s">
        <v>122</v>
      </c>
      <c r="K1343">
        <v>0</v>
      </c>
      <c r="L1343" t="s">
        <v>31</v>
      </c>
    </row>
    <row r="1344" spans="9:12" x14ac:dyDescent="0.25">
      <c r="I1344" t="s">
        <v>280</v>
      </c>
      <c r="J1344" t="s">
        <v>123</v>
      </c>
      <c r="K1344">
        <v>8.244810902901795E-3</v>
      </c>
      <c r="L1344" t="s">
        <v>31</v>
      </c>
    </row>
    <row r="1345" spans="9:12" x14ac:dyDescent="0.25">
      <c r="I1345" t="s">
        <v>280</v>
      </c>
      <c r="J1345" t="s">
        <v>124</v>
      </c>
      <c r="K1345">
        <v>1.4127396844557706E-3</v>
      </c>
      <c r="L1345" t="s">
        <v>31</v>
      </c>
    </row>
    <row r="1346" spans="9:12" x14ac:dyDescent="0.25">
      <c r="I1346" t="s">
        <v>280</v>
      </c>
      <c r="J1346" t="s">
        <v>125</v>
      </c>
      <c r="K1346">
        <v>6.1816345125984083E-4</v>
      </c>
      <c r="L1346" t="s">
        <v>31</v>
      </c>
    </row>
    <row r="1347" spans="9:12" x14ac:dyDescent="0.25">
      <c r="I1347" t="s">
        <v>280</v>
      </c>
      <c r="J1347" t="s">
        <v>126</v>
      </c>
      <c r="K1347">
        <v>0</v>
      </c>
      <c r="L1347" t="s">
        <v>31</v>
      </c>
    </row>
    <row r="1348" spans="9:12" x14ac:dyDescent="0.25">
      <c r="I1348" t="s">
        <v>280</v>
      </c>
      <c r="J1348" t="s">
        <v>127</v>
      </c>
      <c r="K1348">
        <v>0</v>
      </c>
      <c r="L1348" t="s">
        <v>31</v>
      </c>
    </row>
    <row r="1349" spans="9:12" x14ac:dyDescent="0.25">
      <c r="I1349" t="s">
        <v>280</v>
      </c>
      <c r="J1349" t="s">
        <v>128</v>
      </c>
      <c r="K1349">
        <v>0</v>
      </c>
      <c r="L1349" t="s">
        <v>31</v>
      </c>
    </row>
    <row r="1350" spans="9:12" x14ac:dyDescent="0.25">
      <c r="I1350" t="s">
        <v>280</v>
      </c>
      <c r="J1350" t="s">
        <v>129</v>
      </c>
      <c r="K1350">
        <v>0</v>
      </c>
      <c r="L1350" t="s">
        <v>31</v>
      </c>
    </row>
    <row r="1351" spans="9:12" x14ac:dyDescent="0.25">
      <c r="I1351" t="s">
        <v>280</v>
      </c>
      <c r="J1351" t="s">
        <v>130</v>
      </c>
      <c r="K1351">
        <v>0</v>
      </c>
      <c r="L1351" t="s">
        <v>31</v>
      </c>
    </row>
    <row r="1352" spans="9:12" x14ac:dyDescent="0.25">
      <c r="I1352" t="s">
        <v>280</v>
      </c>
      <c r="J1352" t="s">
        <v>131</v>
      </c>
      <c r="K1352">
        <v>2.0491651333539897E-2</v>
      </c>
      <c r="L1352" t="s">
        <v>31</v>
      </c>
    </row>
    <row r="1353" spans="9:12" x14ac:dyDescent="0.25">
      <c r="I1353" t="s">
        <v>280</v>
      </c>
      <c r="J1353" t="s">
        <v>132</v>
      </c>
      <c r="K1353">
        <v>3.4699017702487403E-3</v>
      </c>
      <c r="L1353" t="s">
        <v>31</v>
      </c>
    </row>
    <row r="1354" spans="9:12" x14ac:dyDescent="0.25">
      <c r="I1354" t="s">
        <v>280</v>
      </c>
      <c r="J1354" t="s">
        <v>133</v>
      </c>
      <c r="K1354">
        <v>3.6213769630866659E-3</v>
      </c>
      <c r="L1354" t="s">
        <v>31</v>
      </c>
    </row>
    <row r="1355" spans="9:12" x14ac:dyDescent="0.25">
      <c r="I1355" t="s">
        <v>280</v>
      </c>
      <c r="J1355" t="s">
        <v>134</v>
      </c>
      <c r="K1355">
        <v>0</v>
      </c>
      <c r="L1355" t="s">
        <v>31</v>
      </c>
    </row>
    <row r="1356" spans="9:12" x14ac:dyDescent="0.25">
      <c r="I1356" t="s">
        <v>280</v>
      </c>
      <c r="J1356" t="s">
        <v>135</v>
      </c>
      <c r="K1356">
        <v>0</v>
      </c>
      <c r="L1356" t="s">
        <v>31</v>
      </c>
    </row>
    <row r="1357" spans="9:12" x14ac:dyDescent="0.25">
      <c r="I1357" t="s">
        <v>280</v>
      </c>
      <c r="J1357" t="s">
        <v>136</v>
      </c>
      <c r="K1357">
        <v>0</v>
      </c>
      <c r="L1357" t="s">
        <v>31</v>
      </c>
    </row>
    <row r="1358" spans="9:12" x14ac:dyDescent="0.25">
      <c r="I1358" t="s">
        <v>280</v>
      </c>
      <c r="J1358" t="s">
        <v>137</v>
      </c>
      <c r="K1358">
        <v>0</v>
      </c>
      <c r="L1358" t="s">
        <v>31</v>
      </c>
    </row>
    <row r="1359" spans="9:12" x14ac:dyDescent="0.25">
      <c r="I1359" t="s">
        <v>280</v>
      </c>
      <c r="J1359" t="s">
        <v>138</v>
      </c>
      <c r="K1359">
        <v>0</v>
      </c>
      <c r="L1359" t="s">
        <v>31</v>
      </c>
    </row>
    <row r="1360" spans="9:12" x14ac:dyDescent="0.25">
      <c r="I1360" t="s">
        <v>280</v>
      </c>
      <c r="J1360" t="s">
        <v>139</v>
      </c>
      <c r="K1360">
        <v>7.8267129520329284E-2</v>
      </c>
      <c r="L1360" t="s">
        <v>31</v>
      </c>
    </row>
    <row r="1361" spans="9:12" x14ac:dyDescent="0.25">
      <c r="I1361" t="s">
        <v>280</v>
      </c>
      <c r="J1361" t="s">
        <v>140</v>
      </c>
      <c r="K1361">
        <v>1.2311100614487243E-2</v>
      </c>
      <c r="L1361" t="s">
        <v>31</v>
      </c>
    </row>
    <row r="1362" spans="9:12" x14ac:dyDescent="0.25">
      <c r="I1362" t="s">
        <v>280</v>
      </c>
      <c r="J1362" t="s">
        <v>141</v>
      </c>
      <c r="K1362">
        <v>2.3495211201224182E-2</v>
      </c>
      <c r="L1362" t="s">
        <v>31</v>
      </c>
    </row>
    <row r="1363" spans="9:12" x14ac:dyDescent="0.25">
      <c r="I1363" t="s">
        <v>280</v>
      </c>
      <c r="J1363" t="s">
        <v>142</v>
      </c>
      <c r="K1363">
        <v>3.2923404097034135E-4</v>
      </c>
      <c r="L1363" t="s">
        <v>31</v>
      </c>
    </row>
    <row r="1364" spans="9:12" x14ac:dyDescent="0.25">
      <c r="I1364" t="s">
        <v>280</v>
      </c>
      <c r="J1364" t="s">
        <v>143</v>
      </c>
      <c r="K1364">
        <v>0</v>
      </c>
      <c r="L1364" t="s">
        <v>31</v>
      </c>
    </row>
    <row r="1365" spans="9:12" x14ac:dyDescent="0.25">
      <c r="I1365" t="s">
        <v>280</v>
      </c>
      <c r="J1365" t="s">
        <v>144</v>
      </c>
      <c r="K1365">
        <v>0</v>
      </c>
      <c r="L1365" t="s">
        <v>31</v>
      </c>
    </row>
    <row r="1366" spans="9:12" x14ac:dyDescent="0.25">
      <c r="I1366" t="s">
        <v>280</v>
      </c>
      <c r="J1366" t="s">
        <v>145</v>
      </c>
      <c r="K1366">
        <v>0</v>
      </c>
      <c r="L1366" t="s">
        <v>31</v>
      </c>
    </row>
    <row r="1367" spans="9:12" x14ac:dyDescent="0.25">
      <c r="I1367" t="s">
        <v>280</v>
      </c>
      <c r="J1367" t="s">
        <v>146</v>
      </c>
      <c r="K1367">
        <v>1.5979949420121474E-6</v>
      </c>
      <c r="L1367" t="s">
        <v>31</v>
      </c>
    </row>
    <row r="1368" spans="9:12" x14ac:dyDescent="0.25">
      <c r="I1368" t="s">
        <v>280</v>
      </c>
      <c r="J1368" t="s">
        <v>147</v>
      </c>
      <c r="K1368">
        <v>8.4198439208002893E-2</v>
      </c>
      <c r="L1368" t="s">
        <v>31</v>
      </c>
    </row>
    <row r="1369" spans="9:12" x14ac:dyDescent="0.25">
      <c r="I1369" t="s">
        <v>280</v>
      </c>
      <c r="J1369" t="s">
        <v>148</v>
      </c>
      <c r="K1369">
        <v>1.1033520293542749E-2</v>
      </c>
      <c r="L1369" t="s">
        <v>31</v>
      </c>
    </row>
    <row r="1370" spans="9:12" x14ac:dyDescent="0.25">
      <c r="I1370" t="s">
        <v>280</v>
      </c>
      <c r="J1370" t="s">
        <v>149</v>
      </c>
      <c r="K1370">
        <v>2.4762053859012197E-2</v>
      </c>
      <c r="L1370" t="s">
        <v>31</v>
      </c>
    </row>
    <row r="1371" spans="9:12" x14ac:dyDescent="0.25">
      <c r="I1371" t="s">
        <v>280</v>
      </c>
      <c r="J1371" t="s">
        <v>150</v>
      </c>
      <c r="K1371">
        <v>3.6423978779708032E-3</v>
      </c>
      <c r="L1371" t="s">
        <v>31</v>
      </c>
    </row>
    <row r="1372" spans="9:12" x14ac:dyDescent="0.25">
      <c r="I1372" t="s">
        <v>280</v>
      </c>
      <c r="J1372" t="s">
        <v>151</v>
      </c>
      <c r="K1372">
        <v>6.1765608745711453E-4</v>
      </c>
      <c r="L1372" t="s">
        <v>31</v>
      </c>
    </row>
    <row r="1373" spans="9:12" x14ac:dyDescent="0.25">
      <c r="I1373" t="s">
        <v>280</v>
      </c>
      <c r="J1373" t="s">
        <v>152</v>
      </c>
      <c r="K1373">
        <v>0</v>
      </c>
      <c r="L1373" t="s">
        <v>31</v>
      </c>
    </row>
    <row r="1374" spans="9:12" x14ac:dyDescent="0.25">
      <c r="I1374" t="s">
        <v>280</v>
      </c>
      <c r="J1374" t="s">
        <v>153</v>
      </c>
      <c r="K1374">
        <v>3.3510082290818144E-5</v>
      </c>
      <c r="L1374" t="s">
        <v>31</v>
      </c>
    </row>
    <row r="1375" spans="9:12" x14ac:dyDescent="0.25">
      <c r="I1375" t="s">
        <v>280</v>
      </c>
      <c r="J1375" t="s">
        <v>154</v>
      </c>
      <c r="K1375">
        <v>2.2948374389607788E-3</v>
      </c>
      <c r="L1375" t="s">
        <v>31</v>
      </c>
    </row>
    <row r="1376" spans="9:12" x14ac:dyDescent="0.25">
      <c r="I1376" t="s">
        <v>280</v>
      </c>
      <c r="J1376" t="s">
        <v>155</v>
      </c>
      <c r="K1376">
        <v>9.475183371211636E-2</v>
      </c>
      <c r="L1376" t="s">
        <v>31</v>
      </c>
    </row>
    <row r="1377" spans="9:12" x14ac:dyDescent="0.25">
      <c r="I1377" t="s">
        <v>280</v>
      </c>
      <c r="J1377" t="s">
        <v>156</v>
      </c>
      <c r="K1377">
        <v>1.2703254570961062E-2</v>
      </c>
      <c r="L1377" t="s">
        <v>31</v>
      </c>
    </row>
    <row r="1378" spans="9:12" x14ac:dyDescent="0.25">
      <c r="I1378" t="s">
        <v>280</v>
      </c>
      <c r="J1378" t="s">
        <v>157</v>
      </c>
      <c r="K1378">
        <v>2.9488665335698244E-2</v>
      </c>
      <c r="L1378" t="s">
        <v>31</v>
      </c>
    </row>
    <row r="1379" spans="9:12" x14ac:dyDescent="0.25">
      <c r="I1379" t="s">
        <v>280</v>
      </c>
      <c r="J1379" t="s">
        <v>158</v>
      </c>
      <c r="K1379">
        <v>5.850739322805408E-3</v>
      </c>
      <c r="L1379" t="s">
        <v>31</v>
      </c>
    </row>
    <row r="1380" spans="9:12" x14ac:dyDescent="0.25">
      <c r="I1380" t="s">
        <v>280</v>
      </c>
      <c r="J1380" t="s">
        <v>159</v>
      </c>
      <c r="K1380">
        <v>2.9766667103186804E-3</v>
      </c>
      <c r="L1380" t="s">
        <v>31</v>
      </c>
    </row>
    <row r="1381" spans="9:12" x14ac:dyDescent="0.25">
      <c r="I1381" t="s">
        <v>280</v>
      </c>
      <c r="J1381" t="s">
        <v>160</v>
      </c>
      <c r="K1381">
        <v>2.9388975058872575E-4</v>
      </c>
      <c r="L1381" t="s">
        <v>31</v>
      </c>
    </row>
    <row r="1382" spans="9:12" x14ac:dyDescent="0.25">
      <c r="I1382" t="s">
        <v>280</v>
      </c>
      <c r="J1382" t="s">
        <v>161</v>
      </c>
      <c r="K1382">
        <v>1.0864889659409332E-3</v>
      </c>
      <c r="L1382" t="s">
        <v>31</v>
      </c>
    </row>
    <row r="1383" spans="9:12" x14ac:dyDescent="0.25">
      <c r="I1383" t="s">
        <v>280</v>
      </c>
      <c r="J1383" t="s">
        <v>162</v>
      </c>
      <c r="K1383">
        <v>3.3552638840407155E-3</v>
      </c>
      <c r="L1383" t="s">
        <v>31</v>
      </c>
    </row>
    <row r="1384" spans="9:12" x14ac:dyDescent="0.25">
      <c r="I1384" t="s">
        <v>280</v>
      </c>
      <c r="J1384" t="s">
        <v>163</v>
      </c>
      <c r="K1384">
        <v>9.5678950670496102E-2</v>
      </c>
      <c r="L1384" t="s">
        <v>31</v>
      </c>
    </row>
    <row r="1385" spans="9:12" x14ac:dyDescent="0.25">
      <c r="I1385" t="s">
        <v>280</v>
      </c>
      <c r="J1385" t="s">
        <v>164</v>
      </c>
      <c r="K1385">
        <v>1.1360730963371654E-2</v>
      </c>
      <c r="L1385" t="s">
        <v>31</v>
      </c>
    </row>
    <row r="1386" spans="9:12" x14ac:dyDescent="0.25">
      <c r="I1386" t="s">
        <v>280</v>
      </c>
      <c r="J1386" t="s">
        <v>165</v>
      </c>
      <c r="K1386">
        <v>2.8522958059822207E-2</v>
      </c>
      <c r="L1386" t="s">
        <v>31</v>
      </c>
    </row>
    <row r="1387" spans="9:12" x14ac:dyDescent="0.25">
      <c r="I1387" t="s">
        <v>280</v>
      </c>
      <c r="J1387" t="s">
        <v>166</v>
      </c>
      <c r="K1387">
        <v>5.7052123452518656E-3</v>
      </c>
      <c r="L1387" t="s">
        <v>31</v>
      </c>
    </row>
    <row r="1388" spans="9:12" x14ac:dyDescent="0.25">
      <c r="I1388" t="s">
        <v>280</v>
      </c>
      <c r="J1388" t="s">
        <v>167</v>
      </c>
      <c r="K1388">
        <v>3.759875169577953E-3</v>
      </c>
      <c r="L1388" t="s">
        <v>31</v>
      </c>
    </row>
    <row r="1389" spans="9:12" x14ac:dyDescent="0.25">
      <c r="I1389" t="s">
        <v>280</v>
      </c>
      <c r="J1389" t="s">
        <v>168</v>
      </c>
      <c r="K1389">
        <v>1.7106752169796914E-3</v>
      </c>
      <c r="L1389" t="s">
        <v>31</v>
      </c>
    </row>
    <row r="1390" spans="9:12" x14ac:dyDescent="0.25">
      <c r="I1390" t="s">
        <v>280</v>
      </c>
      <c r="J1390" t="s">
        <v>169</v>
      </c>
      <c r="K1390">
        <v>2.4623721627657072E-4</v>
      </c>
      <c r="L1390" t="s">
        <v>31</v>
      </c>
    </row>
    <row r="1391" spans="9:12" x14ac:dyDescent="0.25">
      <c r="I1391" t="s">
        <v>280</v>
      </c>
      <c r="J1391" t="s">
        <v>170</v>
      </c>
      <c r="K1391">
        <v>3.0257525251269927E-3</v>
      </c>
      <c r="L1391" t="s">
        <v>31</v>
      </c>
    </row>
    <row r="1392" spans="9:12" x14ac:dyDescent="0.25">
      <c r="I1392" t="s">
        <v>280</v>
      </c>
      <c r="J1392" t="s">
        <v>171</v>
      </c>
      <c r="K1392">
        <v>9.4752975594781436E-2</v>
      </c>
      <c r="L1392" t="s">
        <v>31</v>
      </c>
    </row>
    <row r="1393" spans="9:12" x14ac:dyDescent="0.25">
      <c r="I1393" t="s">
        <v>280</v>
      </c>
      <c r="J1393" t="s">
        <v>172</v>
      </c>
      <c r="K1393">
        <v>1.2010369571695226E-2</v>
      </c>
      <c r="L1393" t="s">
        <v>31</v>
      </c>
    </row>
    <row r="1394" spans="9:12" x14ac:dyDescent="0.25">
      <c r="I1394" t="s">
        <v>280</v>
      </c>
      <c r="J1394" t="s">
        <v>173</v>
      </c>
      <c r="K1394">
        <v>2.9631842076279963E-2</v>
      </c>
      <c r="L1394" t="s">
        <v>31</v>
      </c>
    </row>
    <row r="1395" spans="9:12" x14ac:dyDescent="0.25">
      <c r="I1395" t="s">
        <v>280</v>
      </c>
      <c r="J1395" t="s">
        <v>174</v>
      </c>
      <c r="K1395">
        <v>6.6642702424942442E-3</v>
      </c>
      <c r="L1395" t="s">
        <v>31</v>
      </c>
    </row>
    <row r="1396" spans="9:12" x14ac:dyDescent="0.25">
      <c r="I1396" t="s">
        <v>280</v>
      </c>
      <c r="J1396" t="s">
        <v>175</v>
      </c>
      <c r="K1396">
        <v>4.0788910774191287E-3</v>
      </c>
      <c r="L1396" t="s">
        <v>31</v>
      </c>
    </row>
    <row r="1397" spans="9:12" x14ac:dyDescent="0.25">
      <c r="I1397" t="s">
        <v>280</v>
      </c>
      <c r="J1397" t="s">
        <v>176</v>
      </c>
      <c r="K1397">
        <v>1.8033283723330696E-3</v>
      </c>
      <c r="L1397" t="s">
        <v>31</v>
      </c>
    </row>
    <row r="1398" spans="9:12" x14ac:dyDescent="0.25">
      <c r="I1398" t="s">
        <v>280</v>
      </c>
      <c r="J1398" t="s">
        <v>177</v>
      </c>
      <c r="K1398">
        <v>0</v>
      </c>
      <c r="L1398" t="s">
        <v>31</v>
      </c>
    </row>
    <row r="1399" spans="9:12" x14ac:dyDescent="0.25">
      <c r="I1399" t="s">
        <v>280</v>
      </c>
      <c r="J1399" t="s">
        <v>178</v>
      </c>
      <c r="K1399">
        <v>6.0886653577635742E-4</v>
      </c>
      <c r="L1399" t="s">
        <v>31</v>
      </c>
    </row>
    <row r="1400" spans="9:12" x14ac:dyDescent="0.25">
      <c r="I1400" t="s">
        <v>280</v>
      </c>
      <c r="J1400" t="s">
        <v>179</v>
      </c>
      <c r="K1400">
        <v>7.9353716330898133E-2</v>
      </c>
      <c r="L1400" t="s">
        <v>31</v>
      </c>
    </row>
    <row r="1401" spans="9:12" x14ac:dyDescent="0.25">
      <c r="I1401" t="s">
        <v>280</v>
      </c>
      <c r="J1401" t="s">
        <v>180</v>
      </c>
      <c r="K1401">
        <v>1.051366716307979E-2</v>
      </c>
      <c r="L1401" t="s">
        <v>31</v>
      </c>
    </row>
    <row r="1402" spans="9:12" x14ac:dyDescent="0.25">
      <c r="I1402" t="s">
        <v>280</v>
      </c>
      <c r="J1402" t="s">
        <v>181</v>
      </c>
      <c r="K1402">
        <v>2.5529289669338068E-2</v>
      </c>
      <c r="L1402" t="s">
        <v>31</v>
      </c>
    </row>
    <row r="1403" spans="9:12" x14ac:dyDescent="0.25">
      <c r="I1403" t="s">
        <v>280</v>
      </c>
      <c r="J1403" t="s">
        <v>182</v>
      </c>
      <c r="K1403">
        <v>4.6391059379533011E-3</v>
      </c>
      <c r="L1403" t="s">
        <v>31</v>
      </c>
    </row>
    <row r="1404" spans="9:12" x14ac:dyDescent="0.25">
      <c r="I1404" t="s">
        <v>280</v>
      </c>
      <c r="J1404" t="s">
        <v>183</v>
      </c>
      <c r="K1404">
        <v>1.8105606074451286E-3</v>
      </c>
      <c r="L1404" t="s">
        <v>31</v>
      </c>
    </row>
    <row r="1405" spans="9:12" x14ac:dyDescent="0.25">
      <c r="I1405" t="s">
        <v>280</v>
      </c>
      <c r="J1405" t="s">
        <v>184</v>
      </c>
      <c r="K1405">
        <v>0</v>
      </c>
      <c r="L1405" t="s">
        <v>31</v>
      </c>
    </row>
    <row r="1406" spans="9:12" x14ac:dyDescent="0.25">
      <c r="I1406" t="s">
        <v>280</v>
      </c>
      <c r="J1406" t="s">
        <v>185</v>
      </c>
      <c r="K1406">
        <v>0</v>
      </c>
      <c r="L1406" t="s">
        <v>31</v>
      </c>
    </row>
    <row r="1407" spans="9:12" x14ac:dyDescent="0.25">
      <c r="I1407" t="s">
        <v>280</v>
      </c>
      <c r="J1407" t="s">
        <v>186</v>
      </c>
      <c r="K1407">
        <v>0</v>
      </c>
      <c r="L1407" t="s">
        <v>31</v>
      </c>
    </row>
    <row r="1408" spans="9:12" x14ac:dyDescent="0.25">
      <c r="I1408" t="s">
        <v>280</v>
      </c>
      <c r="J1408" t="s">
        <v>187</v>
      </c>
      <c r="K1408">
        <v>6.4345262171371237E-2</v>
      </c>
      <c r="L1408" t="s">
        <v>31</v>
      </c>
    </row>
    <row r="1409" spans="9:12" x14ac:dyDescent="0.25">
      <c r="I1409" t="s">
        <v>280</v>
      </c>
      <c r="J1409" t="s">
        <v>188</v>
      </c>
      <c r="K1409">
        <v>8.9574470643704138E-3</v>
      </c>
      <c r="L1409" t="s">
        <v>31</v>
      </c>
    </row>
    <row r="1410" spans="9:12" x14ac:dyDescent="0.25">
      <c r="I1410" t="s">
        <v>280</v>
      </c>
      <c r="J1410" t="s">
        <v>189</v>
      </c>
      <c r="K1410">
        <v>1.7932625613388081E-2</v>
      </c>
      <c r="L1410" t="s">
        <v>31</v>
      </c>
    </row>
    <row r="1411" spans="9:12" x14ac:dyDescent="0.25">
      <c r="I1411" t="s">
        <v>280</v>
      </c>
      <c r="J1411" t="s">
        <v>190</v>
      </c>
      <c r="K1411">
        <v>1.1273184373715762E-3</v>
      </c>
      <c r="L1411" t="s">
        <v>31</v>
      </c>
    </row>
    <row r="1412" spans="9:12" x14ac:dyDescent="0.25">
      <c r="I1412" t="s">
        <v>280</v>
      </c>
      <c r="J1412" t="s">
        <v>191</v>
      </c>
      <c r="K1412">
        <v>0</v>
      </c>
      <c r="L1412" t="s">
        <v>31</v>
      </c>
    </row>
    <row r="1413" spans="9:12" x14ac:dyDescent="0.25">
      <c r="I1413" t="s">
        <v>280</v>
      </c>
      <c r="J1413" t="s">
        <v>192</v>
      </c>
      <c r="K1413">
        <v>0</v>
      </c>
      <c r="L1413" t="s">
        <v>31</v>
      </c>
    </row>
    <row r="1414" spans="9:12" x14ac:dyDescent="0.25">
      <c r="I1414" t="s">
        <v>280</v>
      </c>
      <c r="J1414" t="s">
        <v>193</v>
      </c>
      <c r="K1414">
        <v>0</v>
      </c>
      <c r="L1414" t="s">
        <v>31</v>
      </c>
    </row>
    <row r="1415" spans="9:12" x14ac:dyDescent="0.25">
      <c r="I1415" t="s">
        <v>280</v>
      </c>
      <c r="J1415" t="s">
        <v>194</v>
      </c>
      <c r="K1415">
        <v>0</v>
      </c>
      <c r="L1415" t="s">
        <v>31</v>
      </c>
    </row>
    <row r="1416" spans="9:12" x14ac:dyDescent="0.25">
      <c r="I1416" t="s">
        <v>280</v>
      </c>
      <c r="J1416" t="s">
        <v>195</v>
      </c>
      <c r="K1416">
        <v>2.8660929714589219E-2</v>
      </c>
      <c r="L1416" t="s">
        <v>31</v>
      </c>
    </row>
    <row r="1417" spans="9:12" x14ac:dyDescent="0.25">
      <c r="I1417" t="s">
        <v>280</v>
      </c>
      <c r="J1417" t="s">
        <v>196</v>
      </c>
      <c r="K1417">
        <v>4.2748600280489643E-3</v>
      </c>
      <c r="L1417" t="s">
        <v>31</v>
      </c>
    </row>
    <row r="1418" spans="9:12" x14ac:dyDescent="0.25">
      <c r="I1418" t="s">
        <v>280</v>
      </c>
      <c r="J1418" t="s">
        <v>197</v>
      </c>
      <c r="K1418">
        <v>4.8297163299620303E-3</v>
      </c>
      <c r="L1418" t="s">
        <v>31</v>
      </c>
    </row>
    <row r="1419" spans="9:12" x14ac:dyDescent="0.25">
      <c r="I1419" t="s">
        <v>280</v>
      </c>
      <c r="J1419" t="s">
        <v>198</v>
      </c>
      <c r="K1419">
        <v>0</v>
      </c>
      <c r="L1419" t="s">
        <v>31</v>
      </c>
    </row>
    <row r="1420" spans="9:12" x14ac:dyDescent="0.25">
      <c r="I1420" t="s">
        <v>280</v>
      </c>
      <c r="J1420" t="s">
        <v>199</v>
      </c>
      <c r="K1420">
        <v>0</v>
      </c>
      <c r="L1420" t="s">
        <v>31</v>
      </c>
    </row>
    <row r="1421" spans="9:12" x14ac:dyDescent="0.25">
      <c r="I1421" t="s">
        <v>280</v>
      </c>
      <c r="J1421" t="s">
        <v>200</v>
      </c>
      <c r="K1421">
        <v>0</v>
      </c>
      <c r="L1421" t="s">
        <v>31</v>
      </c>
    </row>
    <row r="1422" spans="9:12" x14ac:dyDescent="0.25">
      <c r="I1422" t="s">
        <v>280</v>
      </c>
      <c r="J1422" t="s">
        <v>201</v>
      </c>
      <c r="K1422">
        <v>0</v>
      </c>
      <c r="L1422" t="s">
        <v>31</v>
      </c>
    </row>
    <row r="1423" spans="9:12" x14ac:dyDescent="0.25">
      <c r="I1423" t="s">
        <v>280</v>
      </c>
      <c r="J1423" t="s">
        <v>202</v>
      </c>
      <c r="K1423">
        <v>0</v>
      </c>
      <c r="L1423" t="s">
        <v>31</v>
      </c>
    </row>
    <row r="1424" spans="9:12" x14ac:dyDescent="0.25">
      <c r="I1424" t="s">
        <v>280</v>
      </c>
      <c r="J1424" t="s">
        <v>203</v>
      </c>
      <c r="K1424">
        <v>1.2092888687475101E-2</v>
      </c>
      <c r="L1424" t="s">
        <v>31</v>
      </c>
    </row>
    <row r="1425" spans="9:12" x14ac:dyDescent="0.25">
      <c r="I1425" t="s">
        <v>280</v>
      </c>
      <c r="J1425" t="s">
        <v>204</v>
      </c>
      <c r="K1425">
        <v>1.5947187723850151E-3</v>
      </c>
      <c r="L1425" t="s">
        <v>31</v>
      </c>
    </row>
    <row r="1426" spans="9:12" x14ac:dyDescent="0.25">
      <c r="I1426" t="s">
        <v>280</v>
      </c>
      <c r="J1426" t="s">
        <v>205</v>
      </c>
      <c r="K1426">
        <v>2.5946071685456224E-4</v>
      </c>
      <c r="L1426" t="s">
        <v>31</v>
      </c>
    </row>
    <row r="1427" spans="9:12" x14ac:dyDescent="0.25">
      <c r="I1427" t="s">
        <v>280</v>
      </c>
      <c r="J1427" t="s">
        <v>206</v>
      </c>
      <c r="K1427">
        <v>0</v>
      </c>
      <c r="L1427" t="s">
        <v>31</v>
      </c>
    </row>
    <row r="1428" spans="9:12" x14ac:dyDescent="0.25">
      <c r="I1428" t="s">
        <v>280</v>
      </c>
      <c r="J1428" t="s">
        <v>207</v>
      </c>
      <c r="K1428">
        <v>0</v>
      </c>
      <c r="L1428" t="s">
        <v>31</v>
      </c>
    </row>
    <row r="1429" spans="9:12" x14ac:dyDescent="0.25">
      <c r="I1429" t="s">
        <v>280</v>
      </c>
      <c r="J1429" t="s">
        <v>208</v>
      </c>
      <c r="K1429">
        <v>0</v>
      </c>
      <c r="L1429" t="s">
        <v>31</v>
      </c>
    </row>
    <row r="1430" spans="9:12" x14ac:dyDescent="0.25">
      <c r="I1430" t="s">
        <v>280</v>
      </c>
      <c r="J1430" t="s">
        <v>209</v>
      </c>
      <c r="K1430">
        <v>0</v>
      </c>
      <c r="L1430" t="s">
        <v>31</v>
      </c>
    </row>
    <row r="1431" spans="9:12" x14ac:dyDescent="0.25">
      <c r="I1431" t="s">
        <v>280</v>
      </c>
      <c r="J1431" t="s">
        <v>210</v>
      </c>
      <c r="K1431">
        <v>0</v>
      </c>
      <c r="L1431" t="s">
        <v>31</v>
      </c>
    </row>
    <row r="1432" spans="9:12" x14ac:dyDescent="0.25">
      <c r="I1432" t="s">
        <v>280</v>
      </c>
      <c r="J1432" t="s">
        <v>211</v>
      </c>
      <c r="K1432">
        <v>4.5263023002266442E-3</v>
      </c>
      <c r="L1432" t="s">
        <v>31</v>
      </c>
    </row>
    <row r="1433" spans="9:12" x14ac:dyDescent="0.25">
      <c r="I1433" t="s">
        <v>280</v>
      </c>
      <c r="J1433" t="s">
        <v>212</v>
      </c>
      <c r="K1433">
        <v>6.3906024040864611E-4</v>
      </c>
      <c r="L1433" t="s">
        <v>31</v>
      </c>
    </row>
    <row r="1434" spans="9:12" x14ac:dyDescent="0.25">
      <c r="I1434" t="s">
        <v>280</v>
      </c>
      <c r="J1434" t="s">
        <v>213</v>
      </c>
      <c r="K1434">
        <v>0</v>
      </c>
      <c r="L1434" t="s">
        <v>31</v>
      </c>
    </row>
    <row r="1435" spans="9:12" x14ac:dyDescent="0.25">
      <c r="I1435" t="s">
        <v>280</v>
      </c>
      <c r="J1435" t="s">
        <v>214</v>
      </c>
      <c r="K1435">
        <v>0</v>
      </c>
      <c r="L1435" t="s">
        <v>31</v>
      </c>
    </row>
    <row r="1436" spans="9:12" x14ac:dyDescent="0.25">
      <c r="I1436" t="s">
        <v>280</v>
      </c>
      <c r="J1436" t="s">
        <v>215</v>
      </c>
      <c r="K1436">
        <v>0</v>
      </c>
      <c r="L1436" t="s">
        <v>31</v>
      </c>
    </row>
    <row r="1437" spans="9:12" x14ac:dyDescent="0.25">
      <c r="I1437" t="s">
        <v>280</v>
      </c>
      <c r="J1437" t="s">
        <v>216</v>
      </c>
      <c r="K1437">
        <v>0</v>
      </c>
      <c r="L1437" t="s">
        <v>31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S20"/>
  <sheetViews>
    <sheetView workbookViewId="0">
      <selection activeCell="H22" sqref="H22"/>
    </sheetView>
  </sheetViews>
  <sheetFormatPr defaultRowHeight="15" x14ac:dyDescent="0.25"/>
  <cols>
    <col min="1" max="1" width="8" bestFit="1" customWidth="1"/>
    <col min="2" max="2" width="24.140625" bestFit="1" customWidth="1"/>
    <col min="3" max="3" width="13.7109375" bestFit="1" customWidth="1"/>
    <col min="4" max="4" width="12.5703125" bestFit="1" customWidth="1"/>
  </cols>
  <sheetData>
    <row r="1" spans="1:10" x14ac:dyDescent="0.25">
      <c r="B1" s="13" t="s">
        <v>235</v>
      </c>
    </row>
    <row r="3" spans="1:10" x14ac:dyDescent="0.25">
      <c r="C3" s="14" t="s">
        <v>281</v>
      </c>
    </row>
    <row r="4" spans="1:10" ht="15.75" thickBot="1" x14ac:dyDescent="0.3">
      <c r="A4" t="s">
        <v>9</v>
      </c>
      <c r="B4" s="15" t="s">
        <v>51</v>
      </c>
      <c r="C4" s="15" t="s">
        <v>29</v>
      </c>
      <c r="D4" s="16" t="s">
        <v>52</v>
      </c>
      <c r="E4" s="16" t="s">
        <v>53</v>
      </c>
      <c r="F4" s="16">
        <v>2030</v>
      </c>
      <c r="G4" s="16">
        <v>2040</v>
      </c>
      <c r="H4" s="16">
        <v>2045</v>
      </c>
      <c r="I4" s="16">
        <v>2050</v>
      </c>
      <c r="J4" s="16">
        <v>0</v>
      </c>
    </row>
    <row r="5" spans="1:10" x14ac:dyDescent="0.25">
      <c r="A5" t="s">
        <v>62</v>
      </c>
      <c r="B5" t="s">
        <v>64</v>
      </c>
      <c r="C5" t="s">
        <v>62</v>
      </c>
      <c r="D5" t="s">
        <v>55</v>
      </c>
      <c r="E5">
        <v>0.5</v>
      </c>
      <c r="F5">
        <v>0.5</v>
      </c>
      <c r="G5">
        <v>0.8</v>
      </c>
      <c r="H5">
        <v>1</v>
      </c>
      <c r="I5">
        <v>1</v>
      </c>
      <c r="J5">
        <v>4</v>
      </c>
    </row>
    <row r="9" spans="1:10" x14ac:dyDescent="0.25">
      <c r="A9" t="s">
        <v>54</v>
      </c>
      <c r="B9" t="s">
        <v>57</v>
      </c>
      <c r="C9" t="s">
        <v>54</v>
      </c>
      <c r="D9" t="s">
        <v>55</v>
      </c>
      <c r="E9">
        <v>0.5</v>
      </c>
      <c r="F9">
        <v>0.2</v>
      </c>
      <c r="G9">
        <v>0.1</v>
      </c>
      <c r="J9">
        <v>4</v>
      </c>
    </row>
    <row r="10" spans="1:10" x14ac:dyDescent="0.25">
      <c r="A10" t="s">
        <v>61</v>
      </c>
      <c r="B10" t="s">
        <v>63</v>
      </c>
      <c r="C10" t="s">
        <v>61</v>
      </c>
      <c r="D10" t="s">
        <v>55</v>
      </c>
      <c r="E10">
        <v>0.1</v>
      </c>
      <c r="F10">
        <v>0.05</v>
      </c>
      <c r="G10">
        <v>1E-3</v>
      </c>
      <c r="J10">
        <v>4</v>
      </c>
    </row>
    <row r="12" spans="1:10" x14ac:dyDescent="0.25">
      <c r="A12" t="s">
        <v>33</v>
      </c>
      <c r="B12" t="s">
        <v>58</v>
      </c>
      <c r="C12" t="s">
        <v>33</v>
      </c>
      <c r="D12" t="s">
        <v>55</v>
      </c>
      <c r="E12">
        <v>1</v>
      </c>
      <c r="F12">
        <v>0</v>
      </c>
      <c r="G12">
        <v>0</v>
      </c>
      <c r="J12">
        <v>4</v>
      </c>
    </row>
    <row r="13" spans="1:10" x14ac:dyDescent="0.25">
      <c r="A13" t="s">
        <v>56</v>
      </c>
      <c r="B13" t="s">
        <v>59</v>
      </c>
      <c r="C13" t="s">
        <v>56</v>
      </c>
      <c r="D13" t="s">
        <v>55</v>
      </c>
      <c r="E13">
        <v>1</v>
      </c>
      <c r="F13">
        <v>0</v>
      </c>
      <c r="G13">
        <v>0</v>
      </c>
      <c r="J13">
        <v>4</v>
      </c>
    </row>
    <row r="19" spans="16:19" x14ac:dyDescent="0.25">
      <c r="P19">
        <v>3.5</v>
      </c>
      <c r="Q19">
        <v>10</v>
      </c>
    </row>
    <row r="20" spans="16:19" x14ac:dyDescent="0.25">
      <c r="P20">
        <v>0.5</v>
      </c>
      <c r="R20">
        <f>P19/P20</f>
        <v>7</v>
      </c>
      <c r="S20">
        <f>1/(Q19/P19)</f>
        <v>0.35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F14"/>
  <sheetViews>
    <sheetView workbookViewId="0">
      <selection activeCell="F20" sqref="F20"/>
    </sheetView>
  </sheetViews>
  <sheetFormatPr defaultRowHeight="15" x14ac:dyDescent="0.25"/>
  <cols>
    <col min="1" max="1" width="24.28515625" bestFit="1" customWidth="1"/>
    <col min="2" max="2" width="37.140625" bestFit="1" customWidth="1"/>
    <col min="5" max="5" width="12" bestFit="1" customWidth="1"/>
  </cols>
  <sheetData>
    <row r="3" spans="1:6" x14ac:dyDescent="0.25">
      <c r="B3" s="17" t="s">
        <v>36</v>
      </c>
      <c r="C3" s="18"/>
    </row>
    <row r="4" spans="1:6" ht="15.75" thickBot="1" x14ac:dyDescent="0.3">
      <c r="B4" s="19" t="s">
        <v>2</v>
      </c>
      <c r="C4" s="19" t="s">
        <v>39</v>
      </c>
      <c r="D4" s="19" t="s">
        <v>11</v>
      </c>
    </row>
    <row r="5" spans="1:6" x14ac:dyDescent="0.25">
      <c r="B5" t="s">
        <v>65</v>
      </c>
      <c r="C5">
        <v>2100</v>
      </c>
      <c r="D5" t="s">
        <v>66</v>
      </c>
    </row>
    <row r="7" spans="1:6" x14ac:dyDescent="0.25">
      <c r="A7" s="13" t="s">
        <v>60</v>
      </c>
    </row>
    <row r="9" spans="1:6" x14ac:dyDescent="0.25">
      <c r="D9" s="14" t="s">
        <v>227</v>
      </c>
    </row>
    <row r="10" spans="1:6" ht="24.75" thickBot="1" x14ac:dyDescent="0.3">
      <c r="B10" s="15" t="s">
        <v>86</v>
      </c>
      <c r="C10" s="15" t="s">
        <v>228</v>
      </c>
      <c r="D10" s="15" t="s">
        <v>29</v>
      </c>
      <c r="E10" s="16" t="s">
        <v>89</v>
      </c>
      <c r="F10" s="16" t="s">
        <v>91</v>
      </c>
    </row>
    <row r="11" spans="1:6" x14ac:dyDescent="0.25">
      <c r="B11" t="s">
        <v>229</v>
      </c>
      <c r="C11" t="s">
        <v>230</v>
      </c>
      <c r="E11">
        <v>1</v>
      </c>
      <c r="F11">
        <v>2</v>
      </c>
    </row>
    <row r="12" spans="1:6" x14ac:dyDescent="0.25">
      <c r="D12" t="s">
        <v>54</v>
      </c>
      <c r="E12">
        <v>-1</v>
      </c>
    </row>
    <row r="13" spans="1:6" x14ac:dyDescent="0.25">
      <c r="B13" t="s">
        <v>231</v>
      </c>
      <c r="C13" t="s">
        <v>232</v>
      </c>
      <c r="E13">
        <v>1</v>
      </c>
      <c r="F13">
        <v>2</v>
      </c>
    </row>
    <row r="14" spans="1:6" x14ac:dyDescent="0.25">
      <c r="D14" t="s">
        <v>233</v>
      </c>
      <c r="E14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AA36"/>
  <sheetViews>
    <sheetView tabSelected="1" workbookViewId="0">
      <selection activeCell="G23" sqref="G23"/>
    </sheetView>
  </sheetViews>
  <sheetFormatPr defaultRowHeight="15" x14ac:dyDescent="0.25"/>
  <cols>
    <col min="2" max="2" width="23.140625" bestFit="1" customWidth="1"/>
    <col min="3" max="4" width="23.140625" customWidth="1"/>
    <col min="19" max="19" width="43.42578125" bestFit="1" customWidth="1"/>
  </cols>
  <sheetData>
    <row r="4" spans="2:27" x14ac:dyDescent="0.25">
      <c r="B4" s="6" t="s">
        <v>0</v>
      </c>
      <c r="C4" s="6"/>
      <c r="D4" s="6"/>
      <c r="G4">
        <v>0.04</v>
      </c>
      <c r="Z4">
        <v>2022</v>
      </c>
    </row>
    <row r="5" spans="2:27" ht="15.75" thickBot="1" x14ac:dyDescent="0.3">
      <c r="B5" s="8" t="s">
        <v>11</v>
      </c>
      <c r="C5" s="8" t="s">
        <v>12</v>
      </c>
      <c r="D5" s="8" t="s">
        <v>2</v>
      </c>
      <c r="E5" s="9">
        <v>2022</v>
      </c>
      <c r="F5" s="9">
        <v>2025</v>
      </c>
      <c r="G5" s="9">
        <v>2030</v>
      </c>
      <c r="H5" s="9">
        <v>2035</v>
      </c>
      <c r="I5" s="9">
        <v>2040</v>
      </c>
      <c r="J5" s="9">
        <v>2045</v>
      </c>
      <c r="K5" s="9">
        <v>2050</v>
      </c>
      <c r="L5" s="8" t="s">
        <v>242</v>
      </c>
      <c r="S5" t="s">
        <v>217</v>
      </c>
      <c r="T5" t="s">
        <v>218</v>
      </c>
      <c r="U5" t="s">
        <v>219</v>
      </c>
      <c r="V5" t="s">
        <v>220</v>
      </c>
      <c r="W5" t="s">
        <v>221</v>
      </c>
      <c r="X5" t="s">
        <v>222</v>
      </c>
      <c r="Z5" t="s">
        <v>221</v>
      </c>
      <c r="AA5" t="s">
        <v>222</v>
      </c>
    </row>
    <row r="6" spans="2:27" x14ac:dyDescent="0.25">
      <c r="B6" t="s">
        <v>238</v>
      </c>
      <c r="C6" t="s">
        <v>253</v>
      </c>
      <c r="D6" t="s">
        <v>13</v>
      </c>
      <c r="E6">
        <v>6.86</v>
      </c>
      <c r="F6">
        <v>4.68</v>
      </c>
      <c r="G6">
        <f>F6-(F6*$G$4)</f>
        <v>4.4927999999999999</v>
      </c>
      <c r="H6">
        <f t="shared" ref="H6:K6" si="0">G6-(G6*$G$4)</f>
        <v>4.3130879999999996</v>
      </c>
      <c r="I6">
        <f t="shared" si="0"/>
        <v>4.1405644799999992</v>
      </c>
      <c r="J6">
        <f t="shared" si="0"/>
        <v>3.9749419007999993</v>
      </c>
      <c r="K6">
        <f t="shared" si="0"/>
        <v>3.8159442247679993</v>
      </c>
      <c r="S6" t="s">
        <v>223</v>
      </c>
      <c r="T6">
        <v>1147</v>
      </c>
      <c r="U6">
        <v>1259</v>
      </c>
      <c r="V6">
        <v>1016</v>
      </c>
      <c r="W6">
        <v>0</v>
      </c>
      <c r="X6">
        <v>0</v>
      </c>
      <c r="Z6">
        <v>910</v>
      </c>
      <c r="AA6">
        <v>910</v>
      </c>
    </row>
    <row r="7" spans="2:27" x14ac:dyDescent="0.25">
      <c r="B7" t="s">
        <v>239</v>
      </c>
      <c r="C7" t="s">
        <v>253</v>
      </c>
      <c r="D7" t="s">
        <v>13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S7" t="s">
        <v>224</v>
      </c>
      <c r="T7">
        <v>850</v>
      </c>
      <c r="U7">
        <v>1149</v>
      </c>
      <c r="V7">
        <v>1016</v>
      </c>
      <c r="W7">
        <v>0</v>
      </c>
      <c r="X7">
        <v>0</v>
      </c>
      <c r="Z7">
        <v>350</v>
      </c>
      <c r="AA7">
        <v>360</v>
      </c>
    </row>
    <row r="8" spans="2:27" x14ac:dyDescent="0.25">
      <c r="B8" t="s">
        <v>240</v>
      </c>
      <c r="C8" t="s">
        <v>252</v>
      </c>
      <c r="D8" t="s">
        <v>13</v>
      </c>
      <c r="E8">
        <v>0</v>
      </c>
      <c r="F8">
        <v>0</v>
      </c>
      <c r="S8" t="s">
        <v>225</v>
      </c>
      <c r="T8">
        <f>SUM(T6:T7)/COUNT(T6:T7)</f>
        <v>998.5</v>
      </c>
      <c r="U8">
        <f t="shared" ref="U8:AA8" si="1">SUM(U6:U7)/COUNT(U6:U7)</f>
        <v>1204</v>
      </c>
      <c r="V8">
        <f t="shared" si="1"/>
        <v>1016</v>
      </c>
      <c r="W8">
        <f t="shared" si="1"/>
        <v>0</v>
      </c>
      <c r="X8">
        <f t="shared" si="1"/>
        <v>0</v>
      </c>
      <c r="Z8">
        <f t="shared" si="1"/>
        <v>630</v>
      </c>
      <c r="AA8">
        <f t="shared" si="1"/>
        <v>635</v>
      </c>
    </row>
    <row r="9" spans="2:27" x14ac:dyDescent="0.25">
      <c r="B9" t="s">
        <v>241</v>
      </c>
      <c r="C9" t="s">
        <v>252</v>
      </c>
      <c r="D9" t="s">
        <v>13</v>
      </c>
      <c r="E9">
        <v>3.76</v>
      </c>
      <c r="F9">
        <v>1.64</v>
      </c>
      <c r="G9">
        <v>1.64</v>
      </c>
      <c r="H9">
        <v>1.64</v>
      </c>
      <c r="I9">
        <v>1.64</v>
      </c>
      <c r="J9">
        <v>1.64</v>
      </c>
      <c r="K9">
        <v>1.64</v>
      </c>
      <c r="S9" t="s">
        <v>226</v>
      </c>
      <c r="T9">
        <f>SUM(T8:V8)</f>
        <v>3218.5</v>
      </c>
    </row>
    <row r="14" spans="2:27" x14ac:dyDescent="0.25">
      <c r="B14" t="s">
        <v>243</v>
      </c>
      <c r="C14" t="s">
        <v>99</v>
      </c>
      <c r="D14" t="s">
        <v>244</v>
      </c>
      <c r="E14">
        <v>1.016</v>
      </c>
      <c r="F14">
        <v>1.016</v>
      </c>
      <c r="G14">
        <v>1.016</v>
      </c>
      <c r="H14">
        <v>1.016</v>
      </c>
      <c r="I14">
        <v>1.016</v>
      </c>
      <c r="J14">
        <v>1.016</v>
      </c>
      <c r="K14">
        <v>1.016</v>
      </c>
      <c r="L14" t="s">
        <v>245</v>
      </c>
    </row>
    <row r="15" spans="2:27" x14ac:dyDescent="0.25">
      <c r="B15" t="s">
        <v>246</v>
      </c>
      <c r="C15" t="s">
        <v>99</v>
      </c>
      <c r="D15" t="s">
        <v>244</v>
      </c>
      <c r="E15">
        <v>1.204</v>
      </c>
      <c r="F15">
        <v>1.204</v>
      </c>
      <c r="G15">
        <v>1.204</v>
      </c>
      <c r="H15">
        <v>1.204</v>
      </c>
      <c r="I15">
        <v>1.204</v>
      </c>
      <c r="J15">
        <v>1.204</v>
      </c>
      <c r="K15">
        <v>1.204</v>
      </c>
      <c r="L15" t="s">
        <v>247</v>
      </c>
    </row>
    <row r="16" spans="2:27" x14ac:dyDescent="0.25">
      <c r="B16" t="s">
        <v>248</v>
      </c>
      <c r="C16" t="s">
        <v>99</v>
      </c>
      <c r="D16" t="s">
        <v>244</v>
      </c>
      <c r="E16">
        <v>1.016</v>
      </c>
      <c r="F16">
        <v>1.016</v>
      </c>
      <c r="G16">
        <v>1.016</v>
      </c>
      <c r="H16">
        <v>1.016</v>
      </c>
      <c r="I16">
        <v>1.016</v>
      </c>
      <c r="J16">
        <v>1.016</v>
      </c>
      <c r="K16">
        <v>1.016</v>
      </c>
      <c r="L16" t="s">
        <v>249</v>
      </c>
    </row>
    <row r="17" spans="2:12" x14ac:dyDescent="0.25">
      <c r="B17" t="s">
        <v>250</v>
      </c>
      <c r="C17" t="s">
        <v>99</v>
      </c>
      <c r="D17" t="s">
        <v>244</v>
      </c>
      <c r="E17">
        <v>0.99850000000000005</v>
      </c>
      <c r="F17">
        <v>0.99850000000000005</v>
      </c>
      <c r="G17">
        <v>0.99850000000000005</v>
      </c>
      <c r="H17">
        <v>0.99850000000000005</v>
      </c>
      <c r="I17">
        <v>0.99850000000000005</v>
      </c>
      <c r="J17">
        <v>0.99850000000000005</v>
      </c>
      <c r="K17">
        <v>0.99850000000000005</v>
      </c>
      <c r="L17" t="s">
        <v>251</v>
      </c>
    </row>
    <row r="35" spans="15:25" x14ac:dyDescent="0.25">
      <c r="O35" s="6"/>
      <c r="P35" s="7"/>
      <c r="Q35" s="7"/>
      <c r="R35" s="7"/>
    </row>
    <row r="36" spans="15:25" x14ac:dyDescent="0.25"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zoomScale="85" workbookViewId="0">
      <selection activeCell="D23" sqref="D23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235</v>
      </c>
    </row>
    <row r="5" spans="1:9" x14ac:dyDescent="0.25">
      <c r="D5" t="s">
        <v>234</v>
      </c>
    </row>
    <row r="6" spans="1:9" x14ac:dyDescent="0.25">
      <c r="A6" t="s">
        <v>86</v>
      </c>
      <c r="B6" t="s">
        <v>87</v>
      </c>
      <c r="C6" t="s">
        <v>29</v>
      </c>
      <c r="D6" s="4" t="s">
        <v>50</v>
      </c>
      <c r="E6" t="s">
        <v>88</v>
      </c>
      <c r="F6" t="s">
        <v>89</v>
      </c>
      <c r="G6" t="s">
        <v>90</v>
      </c>
      <c r="H6" t="s">
        <v>91</v>
      </c>
      <c r="I6" t="s">
        <v>92</v>
      </c>
    </row>
    <row r="7" spans="1:9" x14ac:dyDescent="0.25">
      <c r="A7" t="s">
        <v>97</v>
      </c>
      <c r="B7" t="s">
        <v>98</v>
      </c>
      <c r="D7">
        <v>2050</v>
      </c>
      <c r="E7" t="s">
        <v>99</v>
      </c>
      <c r="F7">
        <v>1</v>
      </c>
      <c r="G7">
        <v>0</v>
      </c>
    </row>
    <row r="8" spans="1:9" x14ac:dyDescent="0.25">
      <c r="B8" t="s">
        <v>98</v>
      </c>
      <c r="D8">
        <v>0</v>
      </c>
      <c r="E8" t="s">
        <v>99</v>
      </c>
      <c r="G8">
        <v>5</v>
      </c>
    </row>
    <row r="14" spans="1:9" x14ac:dyDescent="0.25">
      <c r="B14" t="s">
        <v>94</v>
      </c>
      <c r="D14">
        <v>2030</v>
      </c>
      <c r="E14" t="s">
        <v>95</v>
      </c>
      <c r="F14">
        <v>1</v>
      </c>
      <c r="G14">
        <v>2</v>
      </c>
    </row>
    <row r="15" spans="1:9" x14ac:dyDescent="0.25">
      <c r="A15" t="s">
        <v>93</v>
      </c>
      <c r="B15" t="s">
        <v>94</v>
      </c>
      <c r="D15">
        <v>2035</v>
      </c>
      <c r="E15" t="s">
        <v>95</v>
      </c>
      <c r="F15">
        <v>1</v>
      </c>
      <c r="G15">
        <v>2.1</v>
      </c>
      <c r="I15" t="s">
        <v>96</v>
      </c>
    </row>
    <row r="16" spans="1:9" x14ac:dyDescent="0.25">
      <c r="B16" t="s">
        <v>94</v>
      </c>
      <c r="D16">
        <v>0</v>
      </c>
      <c r="E16" t="s">
        <v>95</v>
      </c>
      <c r="G16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H46" sqref="H46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68</v>
      </c>
    </row>
    <row r="6" spans="2:23" x14ac:dyDescent="0.25">
      <c r="B6" t="s">
        <v>85</v>
      </c>
    </row>
    <row r="7" spans="2:23" x14ac:dyDescent="0.25">
      <c r="B7" t="s">
        <v>1</v>
      </c>
      <c r="C7" t="s">
        <v>14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15</v>
      </c>
      <c r="C8" t="s">
        <v>15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16</v>
      </c>
      <c r="C9" t="s">
        <v>16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17</v>
      </c>
      <c r="C10" t="s">
        <v>17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18</v>
      </c>
      <c r="C11" t="s">
        <v>18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83</v>
      </c>
      <c r="L16" t="s">
        <v>82</v>
      </c>
      <c r="M16" t="s">
        <v>77</v>
      </c>
      <c r="N16" t="s">
        <v>78</v>
      </c>
      <c r="O16" t="s">
        <v>80</v>
      </c>
      <c r="Q16" t="s">
        <v>73</v>
      </c>
      <c r="S16" t="s">
        <v>70</v>
      </c>
      <c r="T16" t="s">
        <v>71</v>
      </c>
      <c r="U16" t="s">
        <v>76</v>
      </c>
      <c r="V16" t="s">
        <v>79</v>
      </c>
      <c r="W16" t="s">
        <v>72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69</v>
      </c>
      <c r="Q17">
        <v>3412142</v>
      </c>
      <c r="S17" t="s">
        <v>17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74</v>
      </c>
      <c r="Q18" s="1">
        <v>588235</v>
      </c>
      <c r="S18" t="s">
        <v>81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75</v>
      </c>
      <c r="Q19">
        <v>150000</v>
      </c>
      <c r="S19" t="s">
        <v>16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84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constraints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2026-05-28T13:38:31Z</dcterms:modified>
</cp:coreProperties>
</file>