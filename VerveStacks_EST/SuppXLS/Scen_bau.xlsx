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14B19A1B-38D2-4818-A3A1-6EBC4EB639F1}" xr6:coauthVersionLast="47" xr6:coauthVersionMax="47" xr10:uidLastSave="{00000000-0000-0000-0000-000000000000}"/>
  <bookViews>
    <workbookView xWindow="-38520" yWindow="-5220" windowWidth="38640" windowHeight="21120" activeTab="3" xr2:uid="{00000000-000D-0000-FFFF-FFFF00000000}"/>
  </bookViews>
  <sheets>
    <sheet name="Demand" sheetId="1" r:id="rId1"/>
    <sheet name="timeslices" sheetId="4" r:id="rId2"/>
    <sheet name="build rates" sheetId="5" r:id="rId3"/>
    <sheet name="necessary_for_some_reason" sheetId="6" r:id="rId4"/>
    <sheet name="trade" sheetId="2" r:id="rId5"/>
    <sheet name="fuel_costs" sheetId="3" r:id="rId6"/>
    <sheet name="constraints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2" l="1"/>
  <c r="T8" i="2"/>
  <c r="R8" i="2"/>
  <c r="R9" i="2" s="1"/>
  <c r="E8" i="3" l="1"/>
  <c r="F8" i="3" s="1"/>
  <c r="G8" i="3" s="1"/>
  <c r="H8" i="3" s="1"/>
  <c r="I8" i="3" s="1"/>
  <c r="E9" i="3"/>
  <c r="F9" i="3" s="1"/>
  <c r="G9" i="3" s="1"/>
  <c r="H9" i="3" s="1"/>
  <c r="I9" i="3" s="1"/>
  <c r="V20" i="3"/>
  <c r="U19" i="3"/>
  <c r="W19" i="3" s="1"/>
  <c r="U18" i="3"/>
  <c r="W18" i="3" s="1"/>
  <c r="U17" i="3"/>
  <c r="V17" i="3" s="1"/>
  <c r="V19" i="3" l="1"/>
  <c r="V18" i="3"/>
  <c r="W17" i="3"/>
  <c r="A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tc={AFB77902-2BF7-4C69-9161-7580EA129EA2}</author>
    <author>tc={9DF122A9-B9D7-4483-8432-EA1928D70201}</author>
  </authors>
  <commentList>
    <comment ref="S4" authorId="0" shapeId="0" xr:uid="{AFB77902-2BF7-4C69-9161-7580EA129E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Suvaline arv
</t>
      </text>
    </comment>
    <comment ref="T4" authorId="1" shapeId="0" xr:uid="{9DF122A9-B9D7-4483-8432-EA1928D70201}">
      <text>
        <t>[Threaded comment]
Your version of Excel allows you to read this threaded comment; however, any edits to it will get removed if the file is opened in a newer version of Excel. Learn more: https://go.microsoft.com/fwlink/?linkid=870924
Comment:
    Suvaline arv</t>
      </text>
    </comment>
  </commentList>
</comments>
</file>

<file path=xl/sharedStrings.xml><?xml version="1.0" encoding="utf-8"?>
<sst xmlns="http://schemas.openxmlformats.org/spreadsheetml/2006/main" count="9909" uniqueCount="273">
  <si>
    <t>~TFM_INS-TS</t>
  </si>
  <si>
    <t>commodity</t>
  </si>
  <si>
    <t>attribute</t>
  </si>
  <si>
    <t>hydrogen_allsect</t>
  </si>
  <si>
    <t>demand</t>
  </si>
  <si>
    <t>elc_industry</t>
  </si>
  <si>
    <t>elc_buildings</t>
  </si>
  <si>
    <t>elc_transport</t>
  </si>
  <si>
    <t>elc_roadtransport</t>
  </si>
  <si>
    <t>*</t>
  </si>
  <si>
    <t>co2net</t>
  </si>
  <si>
    <t>process</t>
  </si>
  <si>
    <t>limtype</t>
  </si>
  <si>
    <t>Trd_electricity import</t>
  </si>
  <si>
    <t>ACT_BND</t>
  </si>
  <si>
    <t>FX</t>
  </si>
  <si>
    <t>Trd_electricity export</t>
  </si>
  <si>
    <t>pset_co</t>
  </si>
  <si>
    <t>Gas</t>
  </si>
  <si>
    <t>Coal</t>
  </si>
  <si>
    <t>Oil</t>
  </si>
  <si>
    <t>Bioenergy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</si>
  <si>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</si>
  <si>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</si>
  <si>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</si>
  <si>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</si>
  <si>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</si>
  <si>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</si>
  <si>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</si>
  <si>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</si>
  <si>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timeslice</t>
  </si>
  <si>
    <t>com_fr</t>
  </si>
  <si>
    <t>g_yrfr</t>
  </si>
  <si>
    <t>com_pkflx</t>
  </si>
  <si>
    <t>ncap_afs</t>
  </si>
  <si>
    <t>pset_ci</t>
  </si>
  <si>
    <t>a</t>
  </si>
  <si>
    <t>elc_spv_001</t>
  </si>
  <si>
    <t>IMPNRGZ</t>
  </si>
  <si>
    <t>elc_won_001</t>
  </si>
  <si>
    <t>elc_wof_001</t>
  </si>
  <si>
    <t>ELC</t>
  </si>
  <si>
    <t>hydro</t>
  </si>
  <si>
    <t>elc_spv_002</t>
  </si>
  <si>
    <t>elc_won_002</t>
  </si>
  <si>
    <t>elc_wof_002</t>
  </si>
  <si>
    <t>elc_spv_003</t>
  </si>
  <si>
    <t>elc_won_003</t>
  </si>
  <si>
    <t>elc_wof_003</t>
  </si>
  <si>
    <t>elc_spv_004</t>
  </si>
  <si>
    <t>elc_won_004</t>
  </si>
  <si>
    <t>elc_wof_004</t>
  </si>
  <si>
    <t>elc_spv_005</t>
  </si>
  <si>
    <t>elc_won_005</t>
  </si>
  <si>
    <t>elc_wof_005</t>
  </si>
  <si>
    <t>elc_spv_006</t>
  </si>
  <si>
    <t>elc_won_006</t>
  </si>
  <si>
    <t>elc_wof_006</t>
  </si>
  <si>
    <t>elc_spv_007</t>
  </si>
  <si>
    <t>elc_won_007</t>
  </si>
  <si>
    <t>elc_wof_007</t>
  </si>
  <si>
    <t>elc_spv_008</t>
  </si>
  <si>
    <t>elc_won_008</t>
  </si>
  <si>
    <t>elc_wof_008</t>
  </si>
  <si>
    <t>elc_spv_009</t>
  </si>
  <si>
    <t>elc_won_009</t>
  </si>
  <si>
    <t>elc_wof_009</t>
  </si>
  <si>
    <t>elc_spv_010</t>
  </si>
  <si>
    <t>elc_won_010</t>
  </si>
  <si>
    <t>elc_wof_010</t>
  </si>
  <si>
    <t>VKA TARBIMISE PROGNOOS</t>
  </si>
  <si>
    <t>elc_commercial</t>
  </si>
  <si>
    <t>~TFM_INS</t>
  </si>
  <si>
    <t>cset_cn</t>
  </si>
  <si>
    <t>other_indexes</t>
  </si>
  <si>
    <t>value</t>
  </si>
  <si>
    <t>VDA_EMCB</t>
  </si>
  <si>
    <t>coal</t>
  </si>
  <si>
    <t>CO2</t>
  </si>
  <si>
    <t>gas</t>
  </si>
  <si>
    <t>oil</t>
  </si>
  <si>
    <t>COM_AGG</t>
  </si>
  <si>
    <t>co2</t>
  </si>
  <si>
    <t>ts_12t</t>
  </si>
  <si>
    <t>~TimeSlices</t>
  </si>
  <si>
    <t>~TFM_DINS-AT</t>
  </si>
  <si>
    <t>Year</t>
  </si>
  <si>
    <t>~UC_T: uc_rhsrt</t>
  </si>
  <si>
    <t>uc_n</t>
  </si>
  <si>
    <t>uc_attr</t>
  </si>
  <si>
    <t>uc_ncap</t>
  </si>
  <si>
    <t>solar</t>
  </si>
  <si>
    <t>ncap,buildup</t>
  </si>
  <si>
    <t>nuclear</t>
  </si>
  <si>
    <t>uce_buildrate_solar</t>
  </si>
  <si>
    <t>uce_buildrate_hydro</t>
  </si>
  <si>
    <t>uce_buildrate_nuclear</t>
  </si>
  <si>
    <t>~UC_Sets: R_E: AllRegions</t>
  </si>
  <si>
    <t>windon</t>
  </si>
  <si>
    <t>windoff</t>
  </si>
  <si>
    <t>uce_buildrate_windon</t>
  </si>
  <si>
    <t>uce_buildrate_windoff</t>
  </si>
  <si>
    <t>START</t>
  </si>
  <si>
    <t>Hydropower - large-scale unit,Solar photovoltaics - Large scale unit,Wind offshore,Wind onshore</t>
  </si>
  <si>
    <t>TFM_INS-AT</t>
  </si>
  <si>
    <t>* dollarites</t>
  </si>
  <si>
    <t>MMBtu2twh</t>
  </si>
  <si>
    <t>Fuel prices 2024</t>
  </si>
  <si>
    <t>$/barrel or $/MMBtu</t>
  </si>
  <si>
    <t>$/TWh</t>
  </si>
  <si>
    <t>conversion coeff</t>
  </si>
  <si>
    <t>barrel2twh</t>
  </si>
  <si>
    <t>tonne2twh</t>
  </si>
  <si>
    <t>$/GJ</t>
  </si>
  <si>
    <t>1barrelcrude2GJ</t>
  </si>
  <si>
    <t>MWh2GJ</t>
  </si>
  <si>
    <t>$/MWh</t>
  </si>
  <si>
    <t>TWh2GJ</t>
  </si>
  <si>
    <t>GAS</t>
  </si>
  <si>
    <t>1mmbtu2GJ</t>
  </si>
  <si>
    <t>1ton2GJ</t>
  </si>
  <si>
    <t>Biogas</t>
  </si>
  <si>
    <t>TFM_INS-TS: attribute=flo_cost</t>
  </si>
  <si>
    <t>~UC_T:UC_RHSRT</t>
  </si>
  <si>
    <t>UC_N</t>
  </si>
  <si>
    <t>Pset_Set</t>
  </si>
  <si>
    <t>LimType</t>
  </si>
  <si>
    <t>UC_CAP</t>
  </si>
  <si>
    <t>EST</t>
  </si>
  <si>
    <t>UC_RHSRT~0</t>
  </si>
  <si>
    <t>UC_Desc</t>
  </si>
  <si>
    <t>UC_min_solid_2035</t>
  </si>
  <si>
    <t>pp_controllable</t>
  </si>
  <si>
    <t>LO</t>
  </si>
  <si>
    <t>Minimum solid fuel power plants penetration</t>
  </si>
  <si>
    <t>UC_max_oil_shale_capacity</t>
  </si>
  <si>
    <t>Subcritical Coal,Supercritical Coal</t>
  </si>
  <si>
    <t>UP</t>
  </si>
  <si>
    <t>S01</t>
  </si>
  <si>
    <t>H01</t>
  </si>
  <si>
    <t>S01,S02,S03,S04,S05,S06,S07,S08,S09,S10,S11,S12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</si>
  <si>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</si>
  <si>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</si>
  <si>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</si>
  <si>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</si>
  <si>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</si>
  <si>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</si>
  <si>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</si>
  <si>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</si>
  <si>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</si>
  <si>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</si>
  <si>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S07</t>
  </si>
  <si>
    <t>H07</t>
  </si>
  <si>
    <t>S08</t>
  </si>
  <si>
    <t>H08</t>
  </si>
  <si>
    <t>S09</t>
  </si>
  <si>
    <t>S10</t>
  </si>
  <si>
    <t>S11</t>
  </si>
  <si>
    <t>S12</t>
  </si>
  <si>
    <t>S01aH01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</si>
  <si>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</si>
  <si>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</si>
  <si>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</si>
  <si>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</si>
  <si>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</si>
  <si>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</si>
  <si>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</si>
  <si>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</si>
  <si>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</si>
  <si>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</si>
  <si>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</si>
  <si>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</si>
  <si>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</si>
  <si>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</si>
  <si>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</si>
  <si>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</si>
  <si>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</si>
  <si>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</si>
  <si>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</si>
  <si>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</si>
  <si>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</si>
  <si>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</si>
  <si>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</si>
  <si>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</si>
  <si>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</si>
  <si>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</si>
  <si>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</si>
  <si>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</si>
  <si>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</si>
  <si>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</si>
  <si>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</si>
  <si>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</si>
  <si>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</si>
  <si>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</si>
  <si>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</si>
  <si>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</si>
  <si>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</si>
  <si>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</si>
  <si>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</si>
  <si>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</si>
  <si>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</si>
  <si>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</si>
  <si>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</si>
  <si>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</si>
  <si>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</si>
  <si>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</si>
  <si>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</si>
  <si>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</si>
  <si>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</si>
  <si>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</si>
  <si>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</si>
  <si>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</si>
  <si>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</si>
  <si>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</si>
  <si>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</si>
  <si>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</si>
  <si>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</si>
  <si>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</si>
  <si>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</si>
  <si>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</si>
  <si>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</si>
  <si>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</si>
  <si>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</si>
  <si>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</si>
  <si>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</si>
  <si>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</si>
  <si>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</si>
  <si>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</si>
  <si>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</si>
  <si>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</si>
  <si>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</si>
  <si>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</si>
  <si>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</si>
  <si>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</si>
  <si>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</si>
  <si>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</si>
  <si>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</si>
  <si>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</si>
  <si>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</si>
  <si>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</si>
  <si>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</si>
  <si>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</si>
  <si>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</si>
  <si>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</si>
  <si>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</si>
  <si>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</si>
  <si>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</si>
  <si>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</si>
  <si>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</si>
  <si>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</si>
  <si>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</si>
  <si>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</si>
  <si>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</si>
  <si>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</si>
  <si>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</si>
  <si>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Maksimaalne tehniline ülekandevõimsus (TTC)</t>
  </si>
  <si>
    <t>EE→LV</t>
  </si>
  <si>
    <t>LV→EE</t>
  </si>
  <si>
    <t>EE↔FI</t>
  </si>
  <si>
    <t>EE→RU</t>
  </si>
  <si>
    <t>RU→EE</t>
  </si>
  <si>
    <t>talvel 0°C</t>
  </si>
  <si>
    <t>suvel +25°C</t>
  </si>
  <si>
    <t>Keskmine</t>
  </si>
  <si>
    <t>*Bound on investment in new capacity</t>
  </si>
  <si>
    <t>Keskmine kokku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</si>
  <si>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</si>
  <si>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</si>
  <si>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</si>
  <si>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</si>
  <si>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</si>
  <si>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</si>
  <si>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wind*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</si>
</sst>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PycharmProjects\ee-times\VerveStacks_EST\SuppXLS\Scen_Par-AR6_R10.xlsx" TargetMode="External"/><Relationship Id="rId1" Type="http://schemas.openxmlformats.org/officeDocument/2006/relationships/externalLinkPath" Target="Scen_Par-AR6_R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da"/>
      <sheetName val="fuel_prices"/>
      <sheetName val="iea_data"/>
      <sheetName val="ar6_r10"/>
      <sheetName val="ev_charging_uc"/>
      <sheetName val="s1p1v1_d"/>
      <sheetName val="s5p5v5_d"/>
      <sheetName val="s2_w_p2_d"/>
      <sheetName val="ts_012"/>
      <sheetName val="ts_048"/>
      <sheetName val="ts_096P50"/>
      <sheetName val="ts_096P10"/>
      <sheetName val="ts_096P90"/>
      <sheetName val="ts_annual"/>
      <sheetName val="ts_12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D890C80A-6FD1-44D2-9FEA-B2886A57E3E3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" dT="2026-02-09T15:03:46.65" personId="{D890C80A-6FD1-44D2-9FEA-B2886A57E3E3}" id="{AFB77902-2BF7-4C69-9161-7580EA129EA2}">
    <text xml:space="preserve">Suvaline arv
</text>
  </threadedComment>
  <threadedComment ref="T4" dT="2026-02-09T15:03:55.28" personId="{D890C80A-6FD1-44D2-9FEA-B2886A57E3E3}" id="{9DF122A9-B9D7-4483-8432-EA1928D70201}">
    <text>Suvaline arv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22"/>
  <sheetViews>
    <sheetView workbookViewId="0">
      <selection activeCell="N22" sqref="N22"/>
    </sheetView>
  </sheetViews>
  <sheetFormatPr defaultRowHeight="15" x14ac:dyDescent="0.25"/>
  <cols>
    <col min="2" max="2" width="26" bestFit="1" customWidth="1"/>
    <col min="3" max="3" width="8" bestFit="1" customWidth="1"/>
    <col min="4" max="4" width="14" bestFit="1" customWidth="1"/>
    <col min="5" max="5" width="8" bestFit="1" customWidth="1"/>
  </cols>
  <sheetData>
    <row r="3" spans="2:20" x14ac:dyDescent="0.25">
      <c r="N3" t="s">
        <v>70</v>
      </c>
    </row>
    <row r="4" spans="2:20" x14ac:dyDescent="0.25">
      <c r="B4" t="s">
        <v>0</v>
      </c>
      <c r="N4">
        <v>2022</v>
      </c>
      <c r="O4">
        <v>2025</v>
      </c>
      <c r="P4">
        <v>2030</v>
      </c>
      <c r="Q4">
        <v>2035</v>
      </c>
      <c r="R4">
        <v>2040</v>
      </c>
      <c r="S4">
        <v>2045</v>
      </c>
      <c r="T4">
        <v>2050</v>
      </c>
    </row>
    <row r="5" spans="2:20" x14ac:dyDescent="0.25">
      <c r="B5" t="s">
        <v>1</v>
      </c>
      <c r="C5">
        <v>2025</v>
      </c>
      <c r="D5">
        <v>2030</v>
      </c>
      <c r="E5">
        <v>2035</v>
      </c>
      <c r="F5">
        <v>2040</v>
      </c>
      <c r="G5">
        <v>2045</v>
      </c>
      <c r="H5">
        <v>2050</v>
      </c>
      <c r="I5" t="s">
        <v>2</v>
      </c>
      <c r="M5">
        <v>8.5</v>
      </c>
      <c r="N5">
        <v>8.6999999999999993</v>
      </c>
      <c r="O5">
        <v>10.4</v>
      </c>
      <c r="P5">
        <v>12.2</v>
      </c>
      <c r="Q5">
        <v>14.2</v>
      </c>
      <c r="R5">
        <v>15</v>
      </c>
      <c r="S5">
        <v>16</v>
      </c>
    </row>
    <row r="6" spans="2:20" x14ac:dyDescent="0.25">
      <c r="B6" t="s">
        <v>71</v>
      </c>
      <c r="C6">
        <v>3.3980000000000001</v>
      </c>
      <c r="D6">
        <v>3.57</v>
      </c>
      <c r="E6">
        <v>3.9750000000000001</v>
      </c>
      <c r="F6">
        <v>4.3120000000000003</v>
      </c>
      <c r="G6">
        <v>4.5830000000000002</v>
      </c>
      <c r="H6">
        <v>4.798</v>
      </c>
      <c r="I6" t="s">
        <v>4</v>
      </c>
    </row>
    <row r="7" spans="2:20" x14ac:dyDescent="0.25">
      <c r="B7" t="s">
        <v>5</v>
      </c>
      <c r="C7">
        <v>2.6019999999999999</v>
      </c>
      <c r="D7">
        <v>2.6349999999999998</v>
      </c>
      <c r="E7">
        <v>2.657</v>
      </c>
      <c r="F7">
        <v>2.806</v>
      </c>
      <c r="G7">
        <v>3.008</v>
      </c>
      <c r="H7">
        <v>3.306</v>
      </c>
      <c r="I7" t="s">
        <v>4</v>
      </c>
    </row>
    <row r="8" spans="2:20" x14ac:dyDescent="0.25">
      <c r="B8" t="s">
        <v>6</v>
      </c>
      <c r="C8">
        <v>2.1909999999999998</v>
      </c>
      <c r="D8">
        <v>2.3180000000000001</v>
      </c>
      <c r="E8">
        <v>2.5470000000000002</v>
      </c>
      <c r="F8">
        <v>2.7719999999999998</v>
      </c>
      <c r="G8">
        <v>2.9969999999999999</v>
      </c>
      <c r="H8">
        <v>3.206</v>
      </c>
      <c r="I8" t="s">
        <v>4</v>
      </c>
    </row>
    <row r="9" spans="2:20" x14ac:dyDescent="0.25">
      <c r="B9" t="s">
        <v>7</v>
      </c>
      <c r="C9">
        <v>0.28100000000000003</v>
      </c>
      <c r="D9">
        <v>0.58599999999999997</v>
      </c>
      <c r="E9">
        <v>1.095</v>
      </c>
      <c r="F9">
        <v>1.4690000000000001</v>
      </c>
      <c r="G9">
        <v>2.3660000000000001</v>
      </c>
      <c r="H9">
        <v>3.2690000000000001</v>
      </c>
      <c r="I9" t="s">
        <v>4</v>
      </c>
      <c r="N9">
        <v>2022</v>
      </c>
    </row>
    <row r="10" spans="2:20" x14ac:dyDescent="0.25">
      <c r="N10">
        <v>2.9033099999999998</v>
      </c>
    </row>
    <row r="11" spans="2:20" x14ac:dyDescent="0.25">
      <c r="N11">
        <v>2.0885600000000002</v>
      </c>
    </row>
    <row r="12" spans="2:20" x14ac:dyDescent="0.25">
      <c r="B12" t="s">
        <v>9</v>
      </c>
      <c r="N12">
        <v>1.96688</v>
      </c>
    </row>
    <row r="13" spans="2:20" x14ac:dyDescent="0.25">
      <c r="B13" t="s">
        <v>8</v>
      </c>
      <c r="C13">
        <v>0.43282499999999935</v>
      </c>
      <c r="D13">
        <v>0.8755999999999986</v>
      </c>
      <c r="E13">
        <v>1.5402599999999982</v>
      </c>
      <c r="F13">
        <v>2.3064099999999979</v>
      </c>
      <c r="G13">
        <v>2.3123799999999974</v>
      </c>
      <c r="H13">
        <v>2.5670999999999964</v>
      </c>
      <c r="I13" t="s">
        <v>4</v>
      </c>
      <c r="N13">
        <v>3.5150000000000001E-2</v>
      </c>
    </row>
    <row r="14" spans="2:20" x14ac:dyDescent="0.25">
      <c r="B14" t="s">
        <v>3</v>
      </c>
      <c r="C14">
        <v>0</v>
      </c>
      <c r="D14">
        <v>0</v>
      </c>
      <c r="E14">
        <v>0.13133999999999996</v>
      </c>
      <c r="F14">
        <v>0.30645999999999995</v>
      </c>
      <c r="G14">
        <v>0.32635999999999987</v>
      </c>
      <c r="H14">
        <v>0.76415999999999984</v>
      </c>
      <c r="I14" t="s">
        <v>4</v>
      </c>
    </row>
    <row r="17" spans="2:15" x14ac:dyDescent="0.25">
      <c r="B17" t="s">
        <v>72</v>
      </c>
      <c r="O17">
        <v>9.950000000000081E-2</v>
      </c>
    </row>
    <row r="18" spans="2:15" x14ac:dyDescent="0.25">
      <c r="B18" t="s">
        <v>2</v>
      </c>
      <c r="C18" t="s">
        <v>73</v>
      </c>
      <c r="D18" t="s">
        <v>74</v>
      </c>
      <c r="E18" t="s">
        <v>75</v>
      </c>
      <c r="F18" t="s">
        <v>17</v>
      </c>
      <c r="G18" t="s">
        <v>11</v>
      </c>
      <c r="O18">
        <v>0</v>
      </c>
    </row>
    <row r="19" spans="2:15" x14ac:dyDescent="0.25">
      <c r="B19" t="s">
        <v>76</v>
      </c>
      <c r="C19" t="s">
        <v>77</v>
      </c>
      <c r="D19" t="s">
        <v>78</v>
      </c>
      <c r="E19">
        <v>338.40000000000003</v>
      </c>
    </row>
    <row r="20" spans="2:15" x14ac:dyDescent="0.25">
      <c r="B20" t="s">
        <v>76</v>
      </c>
      <c r="C20" t="s">
        <v>79</v>
      </c>
      <c r="D20" t="s">
        <v>78</v>
      </c>
      <c r="E20">
        <v>198</v>
      </c>
    </row>
    <row r="21" spans="2:15" x14ac:dyDescent="0.25">
      <c r="B21" t="s">
        <v>76</v>
      </c>
      <c r="C21" t="s">
        <v>80</v>
      </c>
      <c r="D21" t="s">
        <v>78</v>
      </c>
      <c r="E21">
        <v>252</v>
      </c>
    </row>
    <row r="22" spans="2:15" x14ac:dyDescent="0.25">
      <c r="B22" t="s">
        <v>81</v>
      </c>
      <c r="C22" t="s">
        <v>82</v>
      </c>
      <c r="D22" t="s">
        <v>10</v>
      </c>
      <c r="E22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4E1E-DC66-450D-AA2A-D1B01A72BCA4}">
  <dimension ref="A1:AN962"/>
  <sheetViews>
    <sheetView workbookViewId="0">
      <selection activeCell="Y36" sqref="Y36"/>
    </sheetView>
  </sheetViews>
  <sheetFormatPr defaultRowHeight="15" x14ac:dyDescent="0.25"/>
  <cols>
    <col min="6" max="6" width="44.42578125" bestFit="1" customWidth="1"/>
    <col min="7" max="7" width="14.140625" bestFit="1" customWidth="1"/>
    <col min="9" max="9" width="14.140625" bestFit="1" customWidth="1"/>
    <col min="14" max="14" width="13.42578125" bestFit="1" customWidth="1"/>
    <col min="17" max="17" width="14.140625" bestFit="1" customWidth="1"/>
    <col min="19" max="19" width="13.42578125" bestFit="1" customWidth="1"/>
    <col min="24" max="24" width="13.42578125" bestFit="1" customWidth="1"/>
    <col min="26" max="26" width="16.5703125" customWidth="1"/>
    <col min="27" max="27" width="29.5703125" bestFit="1" customWidth="1"/>
    <col min="28" max="28" width="11.85546875" bestFit="1" customWidth="1"/>
    <col min="34" max="34" width="14.140625" bestFit="1" customWidth="1"/>
    <col min="36" max="36" width="14.140625" bestFit="1" customWidth="1"/>
    <col min="38" max="38" width="14.140625" bestFit="1" customWidth="1"/>
    <col min="40" max="40" width="12" bestFit="1" customWidth="1"/>
  </cols>
  <sheetData>
    <row r="1" spans="1:40" x14ac:dyDescent="0.25">
      <c r="C1" t="s">
        <v>84</v>
      </c>
      <c r="I1" t="s">
        <v>85</v>
      </c>
      <c r="N1" t="s">
        <v>85</v>
      </c>
      <c r="S1" t="s">
        <v>85</v>
      </c>
      <c r="X1" t="s">
        <v>85</v>
      </c>
      <c r="AB1" t="s">
        <v>85</v>
      </c>
      <c r="AF1" t="s">
        <v>104</v>
      </c>
      <c r="AK1" t="s">
        <v>85</v>
      </c>
    </row>
    <row r="2" spans="1:40" x14ac:dyDescent="0.25">
      <c r="A2" t="s">
        <v>83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I2" t="s">
        <v>1</v>
      </c>
      <c r="J2" t="s">
        <v>30</v>
      </c>
      <c r="K2" t="s">
        <v>31</v>
      </c>
      <c r="L2" t="s">
        <v>11</v>
      </c>
      <c r="N2" t="s">
        <v>1</v>
      </c>
      <c r="O2" t="s">
        <v>30</v>
      </c>
      <c r="P2" t="s">
        <v>31</v>
      </c>
      <c r="Q2" t="s">
        <v>11</v>
      </c>
      <c r="S2" t="s">
        <v>1</v>
      </c>
      <c r="T2" t="s">
        <v>30</v>
      </c>
      <c r="U2" t="s">
        <v>31</v>
      </c>
      <c r="V2" t="s">
        <v>11</v>
      </c>
      <c r="X2" t="s">
        <v>1</v>
      </c>
      <c r="Y2" t="s">
        <v>30</v>
      </c>
      <c r="Z2" t="s">
        <v>31</v>
      </c>
      <c r="AB2" t="s">
        <v>1</v>
      </c>
      <c r="AC2" t="s">
        <v>30</v>
      </c>
      <c r="AD2" t="s">
        <v>33</v>
      </c>
      <c r="AF2" t="s">
        <v>86</v>
      </c>
      <c r="AG2" t="s">
        <v>30</v>
      </c>
      <c r="AH2" t="s">
        <v>34</v>
      </c>
      <c r="AI2" t="s">
        <v>35</v>
      </c>
      <c r="AK2" t="s">
        <v>32</v>
      </c>
      <c r="AL2" t="s">
        <v>31</v>
      </c>
      <c r="AM2" t="s">
        <v>30</v>
      </c>
      <c r="AN2" t="s">
        <v>1</v>
      </c>
    </row>
    <row r="3" spans="1:40" x14ac:dyDescent="0.25">
      <c r="A3" t="str">
        <f>IFERROR(IF([1]Veda!#REF!=A2,"ok","x"),"")</f>
        <v/>
      </c>
      <c r="C3" t="s">
        <v>138</v>
      </c>
      <c r="D3" t="s">
        <v>36</v>
      </c>
      <c r="E3" t="s">
        <v>139</v>
      </c>
      <c r="F3" t="s">
        <v>140</v>
      </c>
      <c r="G3" t="s">
        <v>36</v>
      </c>
      <c r="I3" t="s">
        <v>37</v>
      </c>
      <c r="J3" t="s">
        <v>159</v>
      </c>
      <c r="K3">
        <v>0</v>
      </c>
      <c r="L3" t="s">
        <v>38</v>
      </c>
      <c r="N3" t="s">
        <v>39</v>
      </c>
      <c r="O3" t="s">
        <v>159</v>
      </c>
      <c r="P3">
        <v>1.9486301938568304E-2</v>
      </c>
      <c r="Q3" t="s">
        <v>38</v>
      </c>
      <c r="S3" t="s">
        <v>40</v>
      </c>
      <c r="T3" t="s">
        <v>159</v>
      </c>
      <c r="U3">
        <v>2.1480465588116556E-2</v>
      </c>
      <c r="V3" t="s">
        <v>38</v>
      </c>
      <c r="X3" t="s">
        <v>6</v>
      </c>
      <c r="Y3" t="s">
        <v>159</v>
      </c>
      <c r="Z3">
        <v>1.8478957293394084E-2</v>
      </c>
      <c r="AB3" t="s">
        <v>41</v>
      </c>
      <c r="AC3" t="s">
        <v>159</v>
      </c>
      <c r="AD3">
        <v>0.14663900234639793</v>
      </c>
      <c r="AF3">
        <v>2020</v>
      </c>
      <c r="AG3" t="s">
        <v>138</v>
      </c>
      <c r="AH3">
        <v>0</v>
      </c>
      <c r="AI3" t="s">
        <v>42</v>
      </c>
      <c r="AK3">
        <v>1.7694063926940638E-2</v>
      </c>
      <c r="AL3">
        <v>2.7539798954163875E-3</v>
      </c>
      <c r="AM3" t="s">
        <v>159</v>
      </c>
      <c r="AN3" t="s">
        <v>8</v>
      </c>
    </row>
    <row r="4" spans="1:40" x14ac:dyDescent="0.25">
      <c r="C4" t="s">
        <v>141</v>
      </c>
      <c r="E4" t="s">
        <v>142</v>
      </c>
      <c r="G4" t="s">
        <v>36</v>
      </c>
      <c r="I4" t="s">
        <v>37</v>
      </c>
      <c r="J4" t="s">
        <v>160</v>
      </c>
      <c r="K4">
        <v>0</v>
      </c>
      <c r="L4" t="s">
        <v>38</v>
      </c>
      <c r="N4" t="s">
        <v>39</v>
      </c>
      <c r="O4" t="s">
        <v>160</v>
      </c>
      <c r="P4">
        <v>3.9381276045911155E-3</v>
      </c>
      <c r="Q4" t="s">
        <v>38</v>
      </c>
      <c r="S4" t="s">
        <v>40</v>
      </c>
      <c r="T4" t="s">
        <v>160</v>
      </c>
      <c r="U4">
        <v>4.2989737703853347E-3</v>
      </c>
      <c r="V4" t="s">
        <v>38</v>
      </c>
      <c r="X4" t="s">
        <v>6</v>
      </c>
      <c r="Y4" t="s">
        <v>160</v>
      </c>
      <c r="Z4">
        <v>4.1712445978343074E-3</v>
      </c>
      <c r="AB4" t="s">
        <v>41</v>
      </c>
      <c r="AC4" t="s">
        <v>160</v>
      </c>
      <c r="AD4">
        <v>7.5518054349174912E-2</v>
      </c>
      <c r="AF4">
        <v>2020</v>
      </c>
      <c r="AG4" t="s">
        <v>141</v>
      </c>
      <c r="AH4">
        <v>0</v>
      </c>
      <c r="AI4" t="s">
        <v>42</v>
      </c>
      <c r="AK4">
        <v>3.5388127853881279E-3</v>
      </c>
      <c r="AL4">
        <v>1.7880317231434744E-3</v>
      </c>
      <c r="AM4" t="s">
        <v>160</v>
      </c>
      <c r="AN4" t="s">
        <v>8</v>
      </c>
    </row>
    <row r="5" spans="1:40" x14ac:dyDescent="0.25">
      <c r="C5" t="s">
        <v>143</v>
      </c>
      <c r="E5" t="s">
        <v>144</v>
      </c>
      <c r="G5" t="s">
        <v>36</v>
      </c>
      <c r="I5" t="s">
        <v>37</v>
      </c>
      <c r="J5" t="s">
        <v>161</v>
      </c>
      <c r="K5">
        <v>8.244810902901795E-3</v>
      </c>
      <c r="L5" t="s">
        <v>38</v>
      </c>
      <c r="N5" t="s">
        <v>39</v>
      </c>
      <c r="O5" t="s">
        <v>161</v>
      </c>
      <c r="P5">
        <v>3.8022678670011856E-2</v>
      </c>
      <c r="Q5" t="s">
        <v>38</v>
      </c>
      <c r="S5" t="s">
        <v>40</v>
      </c>
      <c r="T5" t="s">
        <v>161</v>
      </c>
      <c r="U5">
        <v>3.6491509868469801E-2</v>
      </c>
      <c r="V5" t="s">
        <v>38</v>
      </c>
      <c r="X5" t="s">
        <v>6</v>
      </c>
      <c r="Y5" t="s">
        <v>161</v>
      </c>
      <c r="Z5">
        <v>3.8466887803889016E-2</v>
      </c>
      <c r="AB5" t="s">
        <v>41</v>
      </c>
      <c r="AC5" t="s">
        <v>161</v>
      </c>
      <c r="AD5">
        <v>6.0365549949108699E-2</v>
      </c>
      <c r="AF5">
        <v>2020</v>
      </c>
      <c r="AG5" t="s">
        <v>143</v>
      </c>
      <c r="AH5">
        <v>0</v>
      </c>
      <c r="AI5" t="s">
        <v>42</v>
      </c>
      <c r="AK5">
        <v>3.1849315068493152E-2</v>
      </c>
      <c r="AL5">
        <v>4.2573651890709309E-2</v>
      </c>
      <c r="AM5" t="s">
        <v>161</v>
      </c>
      <c r="AN5" t="s">
        <v>8</v>
      </c>
    </row>
    <row r="6" spans="1:40" x14ac:dyDescent="0.25">
      <c r="C6" t="s">
        <v>145</v>
      </c>
      <c r="E6" t="s">
        <v>146</v>
      </c>
      <c r="G6" t="s">
        <v>36</v>
      </c>
      <c r="I6" t="s">
        <v>37</v>
      </c>
      <c r="J6" t="s">
        <v>162</v>
      </c>
      <c r="K6">
        <v>1.4127396844557706E-3</v>
      </c>
      <c r="L6" t="s">
        <v>38</v>
      </c>
      <c r="N6" t="s">
        <v>39</v>
      </c>
      <c r="O6" t="s">
        <v>162</v>
      </c>
      <c r="P6">
        <v>4.3550582977948471E-3</v>
      </c>
      <c r="Q6" t="s">
        <v>38</v>
      </c>
      <c r="S6" t="s">
        <v>40</v>
      </c>
      <c r="T6" t="s">
        <v>162</v>
      </c>
      <c r="U6">
        <v>4.173309623466309E-3</v>
      </c>
      <c r="V6" t="s">
        <v>38</v>
      </c>
      <c r="X6" t="s">
        <v>6</v>
      </c>
      <c r="Y6" t="s">
        <v>162</v>
      </c>
      <c r="Z6">
        <v>4.3174704668137642E-3</v>
      </c>
      <c r="AB6" t="s">
        <v>41</v>
      </c>
      <c r="AC6" t="s">
        <v>162</v>
      </c>
      <c r="AD6">
        <v>3.5756594057491098E-2</v>
      </c>
      <c r="AF6">
        <v>2020</v>
      </c>
      <c r="AG6" t="s">
        <v>145</v>
      </c>
      <c r="AH6">
        <v>0</v>
      </c>
      <c r="AI6" t="s">
        <v>42</v>
      </c>
      <c r="AK6">
        <v>3.5388127853881279E-3</v>
      </c>
      <c r="AL6">
        <v>5.3435430806586613E-3</v>
      </c>
      <c r="AM6" t="s">
        <v>162</v>
      </c>
      <c r="AN6" t="s">
        <v>8</v>
      </c>
    </row>
    <row r="7" spans="1:40" x14ac:dyDescent="0.25">
      <c r="C7" t="s">
        <v>147</v>
      </c>
      <c r="E7" t="s">
        <v>148</v>
      </c>
      <c r="G7" t="s">
        <v>36</v>
      </c>
      <c r="I7" t="s">
        <v>37</v>
      </c>
      <c r="J7" t="s">
        <v>163</v>
      </c>
      <c r="K7">
        <v>6.1816345125984083E-4</v>
      </c>
      <c r="L7" t="s">
        <v>38</v>
      </c>
      <c r="N7" t="s">
        <v>39</v>
      </c>
      <c r="O7" t="s">
        <v>163</v>
      </c>
      <c r="P7">
        <v>1.2544253680139162E-2</v>
      </c>
      <c r="Q7" t="s">
        <v>38</v>
      </c>
      <c r="S7" t="s">
        <v>40</v>
      </c>
      <c r="T7" t="s">
        <v>163</v>
      </c>
      <c r="U7">
        <v>1.2528104440365827E-2</v>
      </c>
      <c r="V7" t="s">
        <v>38</v>
      </c>
      <c r="X7" t="s">
        <v>6</v>
      </c>
      <c r="Y7" t="s">
        <v>163</v>
      </c>
      <c r="Z7">
        <v>1.2948167016603873E-2</v>
      </c>
      <c r="AB7" t="s">
        <v>41</v>
      </c>
      <c r="AC7" t="s">
        <v>163</v>
      </c>
      <c r="AD7">
        <v>3.7514710861048739E-2</v>
      </c>
      <c r="AF7">
        <v>2020</v>
      </c>
      <c r="AG7" t="s">
        <v>147</v>
      </c>
      <c r="AH7">
        <v>0</v>
      </c>
      <c r="AI7" t="s">
        <v>42</v>
      </c>
      <c r="AK7">
        <v>1.0616438356164383E-2</v>
      </c>
      <c r="AL7">
        <v>1.9113442557740598E-2</v>
      </c>
      <c r="AM7" t="s">
        <v>163</v>
      </c>
      <c r="AN7" t="s">
        <v>8</v>
      </c>
    </row>
    <row r="8" spans="1:40" x14ac:dyDescent="0.25">
      <c r="C8" t="s">
        <v>149</v>
      </c>
      <c r="E8" t="s">
        <v>150</v>
      </c>
      <c r="G8" t="s">
        <v>36</v>
      </c>
      <c r="I8" t="s">
        <v>37</v>
      </c>
      <c r="J8" t="s">
        <v>164</v>
      </c>
      <c r="K8">
        <v>0</v>
      </c>
      <c r="L8" t="s">
        <v>38</v>
      </c>
      <c r="N8" t="s">
        <v>39</v>
      </c>
      <c r="O8" t="s">
        <v>164</v>
      </c>
      <c r="P8">
        <v>4.0373607721423234E-3</v>
      </c>
      <c r="Q8" t="s">
        <v>38</v>
      </c>
      <c r="S8" t="s">
        <v>40</v>
      </c>
      <c r="T8" t="s">
        <v>164</v>
      </c>
      <c r="U8">
        <v>4.0092313630462713E-3</v>
      </c>
      <c r="V8" t="s">
        <v>38</v>
      </c>
      <c r="X8" t="s">
        <v>6</v>
      </c>
      <c r="Y8" t="s">
        <v>164</v>
      </c>
      <c r="Z8">
        <v>4.2717406538557694E-3</v>
      </c>
      <c r="AB8" t="s">
        <v>41</v>
      </c>
      <c r="AC8" t="s">
        <v>164</v>
      </c>
      <c r="AD8">
        <v>3.4365936288966337E-2</v>
      </c>
      <c r="AF8">
        <v>2020</v>
      </c>
      <c r="AG8" t="s">
        <v>149</v>
      </c>
      <c r="AH8">
        <v>0</v>
      </c>
      <c r="AI8" t="s">
        <v>42</v>
      </c>
      <c r="AK8">
        <v>3.5388127853881279E-3</v>
      </c>
      <c r="AL8">
        <v>4.8297408613645603E-3</v>
      </c>
      <c r="AM8" t="s">
        <v>164</v>
      </c>
      <c r="AN8" t="s">
        <v>8</v>
      </c>
    </row>
    <row r="9" spans="1:40" x14ac:dyDescent="0.25">
      <c r="C9" t="s">
        <v>151</v>
      </c>
      <c r="E9" t="s">
        <v>152</v>
      </c>
      <c r="G9" t="s">
        <v>36</v>
      </c>
      <c r="I9" t="s">
        <v>37</v>
      </c>
      <c r="J9" t="s">
        <v>165</v>
      </c>
      <c r="K9">
        <v>0</v>
      </c>
      <c r="L9" t="s">
        <v>38</v>
      </c>
      <c r="N9" t="s">
        <v>39</v>
      </c>
      <c r="O9" t="s">
        <v>165</v>
      </c>
      <c r="P9">
        <v>3.989705726542914E-3</v>
      </c>
      <c r="Q9" t="s">
        <v>38</v>
      </c>
      <c r="S9" t="s">
        <v>40</v>
      </c>
      <c r="T9" t="s">
        <v>165</v>
      </c>
      <c r="U9">
        <v>3.8701318087258916E-3</v>
      </c>
      <c r="V9" t="s">
        <v>38</v>
      </c>
      <c r="X9" t="s">
        <v>6</v>
      </c>
      <c r="Y9" t="s">
        <v>165</v>
      </c>
      <c r="Z9">
        <v>4.1027867940049735E-3</v>
      </c>
      <c r="AB9" t="s">
        <v>41</v>
      </c>
      <c r="AC9" t="s">
        <v>165</v>
      </c>
      <c r="AD9">
        <v>3.5280814172634622E-2</v>
      </c>
      <c r="AF9">
        <v>2020</v>
      </c>
      <c r="AG9" t="s">
        <v>151</v>
      </c>
      <c r="AH9">
        <v>0</v>
      </c>
      <c r="AI9" t="s">
        <v>42</v>
      </c>
      <c r="AK9">
        <v>3.5388127853881279E-3</v>
      </c>
      <c r="AL9">
        <v>3.3910946473410734E-3</v>
      </c>
      <c r="AM9" t="s">
        <v>165</v>
      </c>
      <c r="AN9" t="s">
        <v>8</v>
      </c>
    </row>
    <row r="10" spans="1:40" x14ac:dyDescent="0.25">
      <c r="C10" t="s">
        <v>153</v>
      </c>
      <c r="E10" t="s">
        <v>154</v>
      </c>
      <c r="G10" t="s">
        <v>36</v>
      </c>
      <c r="I10" t="s">
        <v>37</v>
      </c>
      <c r="J10" t="s">
        <v>166</v>
      </c>
      <c r="K10">
        <v>0</v>
      </c>
      <c r="L10" t="s">
        <v>38</v>
      </c>
      <c r="N10" t="s">
        <v>39</v>
      </c>
      <c r="O10" t="s">
        <v>166</v>
      </c>
      <c r="P10">
        <v>1.1854357155323816E-2</v>
      </c>
      <c r="Q10" t="s">
        <v>38</v>
      </c>
      <c r="S10" t="s">
        <v>40</v>
      </c>
      <c r="T10" t="s">
        <v>166</v>
      </c>
      <c r="U10">
        <v>1.1183050262835776E-2</v>
      </c>
      <c r="V10" t="s">
        <v>38</v>
      </c>
      <c r="X10" t="s">
        <v>6</v>
      </c>
      <c r="Y10" t="s">
        <v>166</v>
      </c>
      <c r="Z10">
        <v>1.1227685490765055E-2</v>
      </c>
      <c r="AB10" t="s">
        <v>41</v>
      </c>
      <c r="AC10" t="s">
        <v>166</v>
      </c>
      <c r="AD10">
        <v>6.6865784092132285E-2</v>
      </c>
      <c r="AF10">
        <v>2020</v>
      </c>
      <c r="AG10" t="s">
        <v>153</v>
      </c>
      <c r="AH10">
        <v>0</v>
      </c>
      <c r="AI10" t="s">
        <v>42</v>
      </c>
      <c r="AK10">
        <v>1.0616438356164383E-2</v>
      </c>
      <c r="AL10">
        <v>5.1380221929410216E-3</v>
      </c>
      <c r="AM10" t="s">
        <v>166</v>
      </c>
      <c r="AN10" t="s">
        <v>8</v>
      </c>
    </row>
    <row r="11" spans="1:40" x14ac:dyDescent="0.25">
      <c r="C11" t="s">
        <v>155</v>
      </c>
      <c r="I11" t="s">
        <v>37</v>
      </c>
      <c r="J11" t="s">
        <v>167</v>
      </c>
      <c r="K11">
        <v>0</v>
      </c>
      <c r="L11" t="s">
        <v>38</v>
      </c>
      <c r="N11" t="s">
        <v>39</v>
      </c>
      <c r="O11" t="s">
        <v>167</v>
      </c>
      <c r="P11">
        <v>1.1734981519040476E-2</v>
      </c>
      <c r="Q11" t="s">
        <v>38</v>
      </c>
      <c r="S11" t="s">
        <v>40</v>
      </c>
      <c r="T11" t="s">
        <v>167</v>
      </c>
      <c r="U11">
        <v>8.4913134972629898E-3</v>
      </c>
      <c r="V11" t="s">
        <v>38</v>
      </c>
      <c r="X11" t="s">
        <v>6</v>
      </c>
      <c r="Y11" t="s">
        <v>167</v>
      </c>
      <c r="Z11">
        <v>1.6569501564808842E-2</v>
      </c>
      <c r="AB11" t="s">
        <v>41</v>
      </c>
      <c r="AC11" t="s">
        <v>167</v>
      </c>
      <c r="AD11">
        <v>0.14998067259373804</v>
      </c>
      <c r="AF11">
        <v>2020</v>
      </c>
      <c r="AG11" t="s">
        <v>155</v>
      </c>
      <c r="AH11">
        <v>0</v>
      </c>
      <c r="AI11" t="s">
        <v>42</v>
      </c>
      <c r="AK11">
        <v>1.5981735159817351E-2</v>
      </c>
      <c r="AL11">
        <v>2.4874657119889954E-3</v>
      </c>
      <c r="AM11" t="s">
        <v>167</v>
      </c>
      <c r="AN11" t="s">
        <v>8</v>
      </c>
    </row>
    <row r="12" spans="1:40" x14ac:dyDescent="0.25">
      <c r="C12" t="s">
        <v>156</v>
      </c>
      <c r="I12" t="s">
        <v>37</v>
      </c>
      <c r="J12" t="s">
        <v>168</v>
      </c>
      <c r="K12">
        <v>0</v>
      </c>
      <c r="L12" t="s">
        <v>38</v>
      </c>
      <c r="N12" t="s">
        <v>39</v>
      </c>
      <c r="O12" t="s">
        <v>168</v>
      </c>
      <c r="P12">
        <v>2.5275840666760139E-3</v>
      </c>
      <c r="Q12" t="s">
        <v>38</v>
      </c>
      <c r="S12" t="s">
        <v>40</v>
      </c>
      <c r="T12" t="s">
        <v>168</v>
      </c>
      <c r="U12">
        <v>1.8087043121469367E-3</v>
      </c>
      <c r="V12" t="s">
        <v>38</v>
      </c>
      <c r="X12" t="s">
        <v>6</v>
      </c>
      <c r="Y12" t="s">
        <v>168</v>
      </c>
      <c r="Z12">
        <v>3.6635006255574106E-3</v>
      </c>
      <c r="AB12" t="s">
        <v>41</v>
      </c>
      <c r="AC12" t="s">
        <v>168</v>
      </c>
      <c r="AD12">
        <v>8.9634676311436179E-2</v>
      </c>
      <c r="AF12">
        <v>2020</v>
      </c>
      <c r="AG12" t="s">
        <v>156</v>
      </c>
      <c r="AH12">
        <v>0</v>
      </c>
      <c r="AI12" t="s">
        <v>42</v>
      </c>
      <c r="AK12">
        <v>3.1963470319634705E-3</v>
      </c>
      <c r="AL12">
        <v>1.6149963950973319E-3</v>
      </c>
      <c r="AM12" t="s">
        <v>168</v>
      </c>
      <c r="AN12" t="s">
        <v>8</v>
      </c>
    </row>
    <row r="13" spans="1:40" x14ac:dyDescent="0.25">
      <c r="C13" t="s">
        <v>157</v>
      </c>
      <c r="I13" t="s">
        <v>37</v>
      </c>
      <c r="J13" t="s">
        <v>169</v>
      </c>
      <c r="K13">
        <v>2.0491651333539897E-2</v>
      </c>
      <c r="L13" t="s">
        <v>38</v>
      </c>
      <c r="N13" t="s">
        <v>39</v>
      </c>
      <c r="O13" t="s">
        <v>169</v>
      </c>
      <c r="P13">
        <v>2.3578225813490328E-2</v>
      </c>
      <c r="Q13" t="s">
        <v>38</v>
      </c>
      <c r="S13" t="s">
        <v>40</v>
      </c>
      <c r="T13" t="s">
        <v>169</v>
      </c>
      <c r="U13">
        <v>1.7919951752566547E-2</v>
      </c>
      <c r="V13" t="s">
        <v>38</v>
      </c>
      <c r="X13" t="s">
        <v>6</v>
      </c>
      <c r="Y13" t="s">
        <v>169</v>
      </c>
      <c r="Z13">
        <v>3.2669743630736992E-2</v>
      </c>
      <c r="AB13" t="s">
        <v>41</v>
      </c>
      <c r="AC13" t="s">
        <v>169</v>
      </c>
      <c r="AD13">
        <v>6.4758672392322358E-2</v>
      </c>
      <c r="AF13">
        <v>2020</v>
      </c>
      <c r="AG13" t="s">
        <v>157</v>
      </c>
      <c r="AH13">
        <v>0</v>
      </c>
      <c r="AI13" t="s">
        <v>42</v>
      </c>
      <c r="AK13">
        <v>2.8767123287671233E-2</v>
      </c>
      <c r="AL13">
        <v>3.8453621062576146E-2</v>
      </c>
      <c r="AM13" t="s">
        <v>169</v>
      </c>
      <c r="AN13" t="s">
        <v>8</v>
      </c>
    </row>
    <row r="14" spans="1:40" x14ac:dyDescent="0.25">
      <c r="C14" t="s">
        <v>158</v>
      </c>
      <c r="I14" t="s">
        <v>37</v>
      </c>
      <c r="J14" t="s">
        <v>170</v>
      </c>
      <c r="K14">
        <v>3.4699017702487403E-3</v>
      </c>
      <c r="L14" t="s">
        <v>38</v>
      </c>
      <c r="N14" t="s">
        <v>39</v>
      </c>
      <c r="O14" t="s">
        <v>170</v>
      </c>
      <c r="P14">
        <v>2.5927391848114757E-3</v>
      </c>
      <c r="Q14" t="s">
        <v>38</v>
      </c>
      <c r="S14" t="s">
        <v>40</v>
      </c>
      <c r="T14" t="s">
        <v>170</v>
      </c>
      <c r="U14">
        <v>2.1792842279696623E-3</v>
      </c>
      <c r="V14" t="s">
        <v>38</v>
      </c>
      <c r="X14" t="s">
        <v>6</v>
      </c>
      <c r="Y14" t="s">
        <v>170</v>
      </c>
      <c r="Z14">
        <v>3.6733585493088348E-3</v>
      </c>
      <c r="AB14" t="s">
        <v>41</v>
      </c>
      <c r="AC14" t="s">
        <v>170</v>
      </c>
      <c r="AD14">
        <v>1.5361369932006985E-2</v>
      </c>
      <c r="AF14">
        <v>2020</v>
      </c>
      <c r="AG14" t="s">
        <v>158</v>
      </c>
      <c r="AH14">
        <v>0</v>
      </c>
      <c r="AI14" t="s">
        <v>42</v>
      </c>
      <c r="AK14">
        <v>3.1963470319634705E-3</v>
      </c>
      <c r="AL14">
        <v>4.8264260083368555E-3</v>
      </c>
      <c r="AM14" t="s">
        <v>170</v>
      </c>
      <c r="AN14" t="s">
        <v>8</v>
      </c>
    </row>
    <row r="15" spans="1:40" x14ac:dyDescent="0.25">
      <c r="I15" t="s">
        <v>37</v>
      </c>
      <c r="J15" t="s">
        <v>171</v>
      </c>
      <c r="K15">
        <v>3.6213769630866659E-3</v>
      </c>
      <c r="L15" t="s">
        <v>38</v>
      </c>
      <c r="N15" t="s">
        <v>39</v>
      </c>
      <c r="O15" t="s">
        <v>171</v>
      </c>
      <c r="P15">
        <v>7.7781360949354464E-3</v>
      </c>
      <c r="Q15" t="s">
        <v>38</v>
      </c>
      <c r="S15" t="s">
        <v>40</v>
      </c>
      <c r="T15" t="s">
        <v>171</v>
      </c>
      <c r="U15">
        <v>6.9884940291298023E-3</v>
      </c>
      <c r="V15" t="s">
        <v>38</v>
      </c>
      <c r="X15" t="s">
        <v>6</v>
      </c>
      <c r="Y15" t="s">
        <v>171</v>
      </c>
      <c r="Z15">
        <v>1.10207602259648E-2</v>
      </c>
      <c r="AB15" t="s">
        <v>41</v>
      </c>
      <c r="AC15" t="s">
        <v>171</v>
      </c>
      <c r="AD15">
        <v>3.4116132883176942E-2</v>
      </c>
      <c r="AF15">
        <v>2021</v>
      </c>
      <c r="AG15" t="s">
        <v>138</v>
      </c>
      <c r="AH15">
        <v>0</v>
      </c>
      <c r="AI15" t="s">
        <v>42</v>
      </c>
      <c r="AK15">
        <v>9.5890410958904115E-3</v>
      </c>
      <c r="AL15">
        <v>1.7263754568281831E-2</v>
      </c>
      <c r="AM15" t="s">
        <v>171</v>
      </c>
      <c r="AN15" t="s">
        <v>8</v>
      </c>
    </row>
    <row r="16" spans="1:40" x14ac:dyDescent="0.25">
      <c r="I16" t="s">
        <v>37</v>
      </c>
      <c r="J16" t="s">
        <v>172</v>
      </c>
      <c r="K16">
        <v>0</v>
      </c>
      <c r="L16" t="s">
        <v>38</v>
      </c>
      <c r="N16" t="s">
        <v>39</v>
      </c>
      <c r="O16" t="s">
        <v>172</v>
      </c>
      <c r="P16">
        <v>2.6011653609513755E-3</v>
      </c>
      <c r="Q16" t="s">
        <v>38</v>
      </c>
      <c r="S16" t="s">
        <v>40</v>
      </c>
      <c r="T16" t="s">
        <v>172</v>
      </c>
      <c r="U16">
        <v>2.3352065435051327E-3</v>
      </c>
      <c r="V16" t="s">
        <v>38</v>
      </c>
      <c r="X16" t="s">
        <v>6</v>
      </c>
      <c r="Y16" t="s">
        <v>172</v>
      </c>
      <c r="Z16">
        <v>3.6725370556628832E-3</v>
      </c>
      <c r="AB16" t="s">
        <v>41</v>
      </c>
      <c r="AC16" t="s">
        <v>172</v>
      </c>
      <c r="AD16">
        <v>3.1203649287773194E-2</v>
      </c>
      <c r="AF16">
        <v>2021</v>
      </c>
      <c r="AG16" t="s">
        <v>141</v>
      </c>
      <c r="AH16">
        <v>0</v>
      </c>
      <c r="AI16" t="s">
        <v>42</v>
      </c>
      <c r="AK16">
        <v>3.1963470319634705E-3</v>
      </c>
      <c r="AL16">
        <v>4.3623465844583121E-3</v>
      </c>
      <c r="AM16" t="s">
        <v>172</v>
      </c>
      <c r="AN16" t="s">
        <v>8</v>
      </c>
    </row>
    <row r="17" spans="9:40" x14ac:dyDescent="0.25">
      <c r="I17" t="s">
        <v>37</v>
      </c>
      <c r="J17" t="s">
        <v>173</v>
      </c>
      <c r="K17">
        <v>0</v>
      </c>
      <c r="L17" t="s">
        <v>38</v>
      </c>
      <c r="N17" t="s">
        <v>39</v>
      </c>
      <c r="O17" t="s">
        <v>173</v>
      </c>
      <c r="P17">
        <v>2.5392959019223233E-3</v>
      </c>
      <c r="Q17" t="s">
        <v>38</v>
      </c>
      <c r="S17" t="s">
        <v>40</v>
      </c>
      <c r="T17" t="s">
        <v>173</v>
      </c>
      <c r="U17">
        <v>2.1585674650094816E-3</v>
      </c>
      <c r="V17" t="s">
        <v>38</v>
      </c>
      <c r="X17" t="s">
        <v>6</v>
      </c>
      <c r="Y17" t="s">
        <v>173</v>
      </c>
      <c r="Z17">
        <v>3.4805813737254308E-3</v>
      </c>
      <c r="AB17" t="s">
        <v>41</v>
      </c>
      <c r="AC17" t="s">
        <v>173</v>
      </c>
      <c r="AD17">
        <v>3.253619178002376E-2</v>
      </c>
      <c r="AF17">
        <v>2021</v>
      </c>
      <c r="AG17" t="s">
        <v>143</v>
      </c>
      <c r="AH17">
        <v>0</v>
      </c>
      <c r="AI17" t="s">
        <v>42</v>
      </c>
      <c r="AK17">
        <v>3.1963470319634705E-3</v>
      </c>
      <c r="AL17">
        <v>3.0629241975983893E-3</v>
      </c>
      <c r="AM17" t="s">
        <v>173</v>
      </c>
      <c r="AN17" t="s">
        <v>8</v>
      </c>
    </row>
    <row r="18" spans="9:40" x14ac:dyDescent="0.25">
      <c r="I18" t="s">
        <v>37</v>
      </c>
      <c r="J18" t="s">
        <v>174</v>
      </c>
      <c r="K18">
        <v>0</v>
      </c>
      <c r="L18" t="s">
        <v>38</v>
      </c>
      <c r="N18" t="s">
        <v>39</v>
      </c>
      <c r="O18" t="s">
        <v>174</v>
      </c>
      <c r="P18">
        <v>6.89082281083871E-3</v>
      </c>
      <c r="Q18" t="s">
        <v>38</v>
      </c>
      <c r="S18" t="s">
        <v>40</v>
      </c>
      <c r="T18" t="s">
        <v>174</v>
      </c>
      <c r="U18">
        <v>6.1660375662141616E-3</v>
      </c>
      <c r="V18" t="s">
        <v>38</v>
      </c>
      <c r="X18" t="s">
        <v>6</v>
      </c>
      <c r="Y18" t="s">
        <v>174</v>
      </c>
      <c r="Z18">
        <v>9.9024335426087986E-3</v>
      </c>
      <c r="AB18" t="s">
        <v>41</v>
      </c>
      <c r="AC18" t="s">
        <v>174</v>
      </c>
      <c r="AD18">
        <v>3.7131261736022658E-2</v>
      </c>
      <c r="AF18">
        <v>2021</v>
      </c>
      <c r="AG18" t="s">
        <v>145</v>
      </c>
      <c r="AH18">
        <v>0</v>
      </c>
      <c r="AI18" t="s">
        <v>42</v>
      </c>
      <c r="AK18">
        <v>9.5890410958904115E-3</v>
      </c>
      <c r="AL18">
        <v>4.6407942387854386E-3</v>
      </c>
      <c r="AM18" t="s">
        <v>174</v>
      </c>
      <c r="AN18" t="s">
        <v>8</v>
      </c>
    </row>
    <row r="19" spans="9:40" x14ac:dyDescent="0.25">
      <c r="I19" t="s">
        <v>37</v>
      </c>
      <c r="J19" t="s">
        <v>175</v>
      </c>
      <c r="K19">
        <v>0</v>
      </c>
      <c r="L19" t="s">
        <v>38</v>
      </c>
      <c r="N19" t="s">
        <v>39</v>
      </c>
      <c r="O19" t="s">
        <v>175</v>
      </c>
      <c r="P19">
        <v>1.5186608789952233E-2</v>
      </c>
      <c r="Q19" t="s">
        <v>38</v>
      </c>
      <c r="S19" t="s">
        <v>40</v>
      </c>
      <c r="T19" t="s">
        <v>175</v>
      </c>
      <c r="U19">
        <v>1.7572696246772344E-2</v>
      </c>
      <c r="V19" t="s">
        <v>38</v>
      </c>
      <c r="X19" t="s">
        <v>6</v>
      </c>
      <c r="Y19" t="s">
        <v>175</v>
      </c>
      <c r="Z19">
        <v>1.989855025272743E-2</v>
      </c>
      <c r="AB19" t="s">
        <v>41</v>
      </c>
      <c r="AC19" t="s">
        <v>175</v>
      </c>
      <c r="AD19">
        <v>0.12607997199023768</v>
      </c>
      <c r="AF19">
        <v>2021</v>
      </c>
      <c r="AG19" t="s">
        <v>147</v>
      </c>
      <c r="AH19">
        <v>0</v>
      </c>
      <c r="AI19" t="s">
        <v>42</v>
      </c>
      <c r="AK19">
        <v>1.7694063926940638E-2</v>
      </c>
      <c r="AL19">
        <v>2.7539798954163875E-3</v>
      </c>
      <c r="AM19" t="s">
        <v>175</v>
      </c>
      <c r="AN19" t="s">
        <v>8</v>
      </c>
    </row>
    <row r="20" spans="9:40" x14ac:dyDescent="0.25">
      <c r="I20" t="s">
        <v>37</v>
      </c>
      <c r="J20" t="s">
        <v>176</v>
      </c>
      <c r="K20">
        <v>0</v>
      </c>
      <c r="L20" t="s">
        <v>38</v>
      </c>
      <c r="N20" t="s">
        <v>39</v>
      </c>
      <c r="O20" t="s">
        <v>176</v>
      </c>
      <c r="P20">
        <v>2.9376540208549437E-3</v>
      </c>
      <c r="Q20" t="s">
        <v>38</v>
      </c>
      <c r="S20" t="s">
        <v>40</v>
      </c>
      <c r="T20" t="s">
        <v>176</v>
      </c>
      <c r="U20">
        <v>3.2292430263027101E-3</v>
      </c>
      <c r="V20" t="s">
        <v>38</v>
      </c>
      <c r="X20" t="s">
        <v>6</v>
      </c>
      <c r="Y20" t="s">
        <v>176</v>
      </c>
      <c r="Z20">
        <v>4.4755362321205862E-3</v>
      </c>
      <c r="AB20" t="s">
        <v>41</v>
      </c>
      <c r="AC20" t="s">
        <v>176</v>
      </c>
      <c r="AD20">
        <v>6.9468974449546694E-2</v>
      </c>
      <c r="AF20">
        <v>2021</v>
      </c>
      <c r="AG20" t="s">
        <v>149</v>
      </c>
      <c r="AH20">
        <v>0</v>
      </c>
      <c r="AI20" t="s">
        <v>42</v>
      </c>
      <c r="AK20">
        <v>3.5388127853881279E-3</v>
      </c>
      <c r="AL20">
        <v>1.7880317231434744E-3</v>
      </c>
      <c r="AM20" t="s">
        <v>176</v>
      </c>
      <c r="AN20" t="s">
        <v>8</v>
      </c>
    </row>
    <row r="21" spans="9:40" x14ac:dyDescent="0.25">
      <c r="I21" t="s">
        <v>37</v>
      </c>
      <c r="J21" t="s">
        <v>177</v>
      </c>
      <c r="K21">
        <v>7.8267129520329284E-2</v>
      </c>
      <c r="L21" t="s">
        <v>38</v>
      </c>
      <c r="N21" t="s">
        <v>39</v>
      </c>
      <c r="O21" t="s">
        <v>177</v>
      </c>
      <c r="P21">
        <v>2.8118785075248776E-2</v>
      </c>
      <c r="Q21" t="s">
        <v>38</v>
      </c>
      <c r="S21" t="s">
        <v>40</v>
      </c>
      <c r="T21" t="s">
        <v>177</v>
      </c>
      <c r="U21">
        <v>2.6520504376900129E-2</v>
      </c>
      <c r="V21" t="s">
        <v>38</v>
      </c>
      <c r="X21" t="s">
        <v>6</v>
      </c>
      <c r="Y21" t="s">
        <v>177</v>
      </c>
      <c r="Z21">
        <v>4.0617049230748568E-2</v>
      </c>
      <c r="AB21" t="s">
        <v>41</v>
      </c>
      <c r="AC21" t="s">
        <v>177</v>
      </c>
      <c r="AD21">
        <v>8.3655705996131369E-2</v>
      </c>
      <c r="AF21">
        <v>2021</v>
      </c>
      <c r="AG21" t="s">
        <v>151</v>
      </c>
      <c r="AH21">
        <v>0</v>
      </c>
      <c r="AI21" t="s">
        <v>42</v>
      </c>
      <c r="AK21">
        <v>3.1849315068493152E-2</v>
      </c>
      <c r="AL21">
        <v>4.2573651890709309E-2</v>
      </c>
      <c r="AM21" t="s">
        <v>177</v>
      </c>
      <c r="AN21" t="s">
        <v>8</v>
      </c>
    </row>
    <row r="22" spans="9:40" x14ac:dyDescent="0.25">
      <c r="I22" t="s">
        <v>37</v>
      </c>
      <c r="J22" t="s">
        <v>178</v>
      </c>
      <c r="K22">
        <v>1.2311100614487243E-2</v>
      </c>
      <c r="L22" t="s">
        <v>38</v>
      </c>
      <c r="N22" t="s">
        <v>39</v>
      </c>
      <c r="O22" t="s">
        <v>178</v>
      </c>
      <c r="P22">
        <v>3.5565485870374929E-3</v>
      </c>
      <c r="Q22" t="s">
        <v>38</v>
      </c>
      <c r="S22" t="s">
        <v>40</v>
      </c>
      <c r="T22" t="s">
        <v>178</v>
      </c>
      <c r="U22">
        <v>3.2810454018041479E-3</v>
      </c>
      <c r="V22" t="s">
        <v>38</v>
      </c>
      <c r="X22" t="s">
        <v>6</v>
      </c>
      <c r="Y22" t="s">
        <v>178</v>
      </c>
      <c r="Z22">
        <v>4.7067866934560757E-3</v>
      </c>
      <c r="AB22" t="s">
        <v>41</v>
      </c>
      <c r="AC22" t="s">
        <v>178</v>
      </c>
      <c r="AD22">
        <v>4.1196720568917877E-2</v>
      </c>
      <c r="AF22">
        <v>2021</v>
      </c>
      <c r="AG22" t="s">
        <v>153</v>
      </c>
      <c r="AH22">
        <v>0</v>
      </c>
      <c r="AI22" t="s">
        <v>42</v>
      </c>
      <c r="AK22">
        <v>3.5388127853881279E-3</v>
      </c>
      <c r="AL22">
        <v>5.3435430806586613E-3</v>
      </c>
      <c r="AM22" t="s">
        <v>178</v>
      </c>
      <c r="AN22" t="s">
        <v>8</v>
      </c>
    </row>
    <row r="23" spans="9:40" x14ac:dyDescent="0.25">
      <c r="I23" t="s">
        <v>37</v>
      </c>
      <c r="J23" t="s">
        <v>179</v>
      </c>
      <c r="K23">
        <v>2.3495211201224182E-2</v>
      </c>
      <c r="L23" t="s">
        <v>38</v>
      </c>
      <c r="N23" t="s">
        <v>39</v>
      </c>
      <c r="O23" t="s">
        <v>179</v>
      </c>
      <c r="P23">
        <v>1.1349097589523342E-2</v>
      </c>
      <c r="Q23" t="s">
        <v>38</v>
      </c>
      <c r="S23" t="s">
        <v>40</v>
      </c>
      <c r="T23" t="s">
        <v>179</v>
      </c>
      <c r="U23">
        <v>1.1256697212436235E-2</v>
      </c>
      <c r="V23" t="s">
        <v>38</v>
      </c>
      <c r="X23" t="s">
        <v>6</v>
      </c>
      <c r="Y23" t="s">
        <v>179</v>
      </c>
      <c r="Z23">
        <v>1.4151576838914404E-2</v>
      </c>
      <c r="AB23" t="s">
        <v>41</v>
      </c>
      <c r="AC23" t="s">
        <v>179</v>
      </c>
      <c r="AD23">
        <v>5.3425276961338364E-2</v>
      </c>
      <c r="AF23">
        <v>2021</v>
      </c>
      <c r="AG23" t="s">
        <v>155</v>
      </c>
      <c r="AH23">
        <v>0</v>
      </c>
      <c r="AI23" t="s">
        <v>42</v>
      </c>
      <c r="AK23">
        <v>1.0616438356164383E-2</v>
      </c>
      <c r="AL23">
        <v>1.9113442557740598E-2</v>
      </c>
      <c r="AM23" t="s">
        <v>179</v>
      </c>
      <c r="AN23" t="s">
        <v>8</v>
      </c>
    </row>
    <row r="24" spans="9:40" x14ac:dyDescent="0.25">
      <c r="I24" t="s">
        <v>37</v>
      </c>
      <c r="J24" t="s">
        <v>180</v>
      </c>
      <c r="K24">
        <v>3.2923404097034135E-4</v>
      </c>
      <c r="L24" t="s">
        <v>38</v>
      </c>
      <c r="N24" t="s">
        <v>39</v>
      </c>
      <c r="O24" t="s">
        <v>180</v>
      </c>
      <c r="P24">
        <v>3.9255777378949756E-3</v>
      </c>
      <c r="Q24" t="s">
        <v>38</v>
      </c>
      <c r="S24" t="s">
        <v>40</v>
      </c>
      <c r="T24" t="s">
        <v>180</v>
      </c>
      <c r="U24">
        <v>4.1535234187099887E-3</v>
      </c>
      <c r="V24" t="s">
        <v>38</v>
      </c>
      <c r="X24" t="s">
        <v>6</v>
      </c>
      <c r="Y24" t="s">
        <v>180</v>
      </c>
      <c r="Z24">
        <v>4.4701965234218979E-3</v>
      </c>
      <c r="AB24" t="s">
        <v>41</v>
      </c>
      <c r="AC24" t="s">
        <v>180</v>
      </c>
      <c r="AD24">
        <v>4.1224720690142824E-2</v>
      </c>
      <c r="AF24">
        <v>2021</v>
      </c>
      <c r="AG24" t="s">
        <v>156</v>
      </c>
      <c r="AH24">
        <v>0</v>
      </c>
      <c r="AI24" t="s">
        <v>42</v>
      </c>
      <c r="AK24">
        <v>3.5388127853881279E-3</v>
      </c>
      <c r="AL24">
        <v>4.8297408613645603E-3</v>
      </c>
      <c r="AM24" t="s">
        <v>180</v>
      </c>
      <c r="AN24" t="s">
        <v>8</v>
      </c>
    </row>
    <row r="25" spans="9:40" x14ac:dyDescent="0.25">
      <c r="I25" t="s">
        <v>37</v>
      </c>
      <c r="J25" t="s">
        <v>181</v>
      </c>
      <c r="K25">
        <v>0</v>
      </c>
      <c r="L25" t="s">
        <v>38</v>
      </c>
      <c r="N25" t="s">
        <v>39</v>
      </c>
      <c r="O25" t="s">
        <v>181</v>
      </c>
      <c r="P25">
        <v>3.771067765970981E-3</v>
      </c>
      <c r="Q25" t="s">
        <v>38</v>
      </c>
      <c r="S25" t="s">
        <v>40</v>
      </c>
      <c r="T25" t="s">
        <v>181</v>
      </c>
      <c r="U25">
        <v>4.1907995853849673E-3</v>
      </c>
      <c r="V25" t="s">
        <v>38</v>
      </c>
      <c r="X25" t="s">
        <v>6</v>
      </c>
      <c r="Y25" t="s">
        <v>181</v>
      </c>
      <c r="Z25">
        <v>4.2570189222973518E-3</v>
      </c>
      <c r="AB25" t="s">
        <v>41</v>
      </c>
      <c r="AC25" t="s">
        <v>181</v>
      </c>
      <c r="AD25">
        <v>3.5381340380239434E-2</v>
      </c>
      <c r="AF25">
        <v>2021</v>
      </c>
      <c r="AG25" t="s">
        <v>157</v>
      </c>
      <c r="AH25">
        <v>0</v>
      </c>
      <c r="AI25" t="s">
        <v>42</v>
      </c>
      <c r="AK25">
        <v>3.5388127853881279E-3</v>
      </c>
      <c r="AL25">
        <v>3.3910946473410734E-3</v>
      </c>
      <c r="AM25" t="s">
        <v>181</v>
      </c>
      <c r="AN25" t="s">
        <v>8</v>
      </c>
    </row>
    <row r="26" spans="9:40" x14ac:dyDescent="0.25">
      <c r="I26" t="s">
        <v>37</v>
      </c>
      <c r="J26" t="s">
        <v>182</v>
      </c>
      <c r="K26">
        <v>0</v>
      </c>
      <c r="L26" t="s">
        <v>38</v>
      </c>
      <c r="N26" t="s">
        <v>39</v>
      </c>
      <c r="O26" t="s">
        <v>182</v>
      </c>
      <c r="P26">
        <v>1.0087584810998201E-2</v>
      </c>
      <c r="Q26" t="s">
        <v>38</v>
      </c>
      <c r="S26" t="s">
        <v>40</v>
      </c>
      <c r="T26" t="s">
        <v>182</v>
      </c>
      <c r="U26">
        <v>1.1569259946489371E-2</v>
      </c>
      <c r="V26" t="s">
        <v>38</v>
      </c>
      <c r="X26" t="s">
        <v>6</v>
      </c>
      <c r="Y26" t="s">
        <v>182</v>
      </c>
      <c r="Z26">
        <v>1.1790330269233018E-2</v>
      </c>
      <c r="AB26" t="s">
        <v>41</v>
      </c>
      <c r="AC26" t="s">
        <v>182</v>
      </c>
      <c r="AD26">
        <v>4.6455424274973289E-2</v>
      </c>
      <c r="AF26">
        <v>2021</v>
      </c>
      <c r="AG26" t="s">
        <v>158</v>
      </c>
      <c r="AH26">
        <v>0</v>
      </c>
      <c r="AI26" t="s">
        <v>42</v>
      </c>
      <c r="AK26">
        <v>1.0616438356164383E-2</v>
      </c>
      <c r="AL26">
        <v>5.1380221929410216E-3</v>
      </c>
      <c r="AM26" t="s">
        <v>182</v>
      </c>
      <c r="AN26" t="s">
        <v>8</v>
      </c>
    </row>
    <row r="27" spans="9:40" x14ac:dyDescent="0.25">
      <c r="I27" t="s">
        <v>37</v>
      </c>
      <c r="J27" t="s">
        <v>183</v>
      </c>
      <c r="K27">
        <v>0</v>
      </c>
      <c r="L27" t="s">
        <v>38</v>
      </c>
      <c r="N27" t="s">
        <v>39</v>
      </c>
      <c r="O27" t="s">
        <v>183</v>
      </c>
      <c r="P27">
        <v>1.9017423251175138E-2</v>
      </c>
      <c r="Q27" t="s">
        <v>38</v>
      </c>
      <c r="S27" t="s">
        <v>40</v>
      </c>
      <c r="T27" t="s">
        <v>183</v>
      </c>
      <c r="U27">
        <v>1.8578426677455257E-2</v>
      </c>
      <c r="V27" t="s">
        <v>38</v>
      </c>
      <c r="X27" t="s">
        <v>6</v>
      </c>
      <c r="Y27" t="s">
        <v>183</v>
      </c>
      <c r="Z27">
        <v>1.7030278920719268E-2</v>
      </c>
      <c r="AB27" t="s">
        <v>41</v>
      </c>
      <c r="AC27" t="s">
        <v>183</v>
      </c>
      <c r="AD27">
        <v>0.1553262251217431</v>
      </c>
      <c r="AF27">
        <v>2022</v>
      </c>
      <c r="AG27" t="s">
        <v>138</v>
      </c>
      <c r="AH27">
        <v>0</v>
      </c>
      <c r="AI27" t="s">
        <v>42</v>
      </c>
      <c r="AK27">
        <v>1.7123287671232876E-2</v>
      </c>
      <c r="AL27">
        <v>2.6651418342739236E-3</v>
      </c>
      <c r="AM27" t="s">
        <v>183</v>
      </c>
      <c r="AN27" t="s">
        <v>8</v>
      </c>
    </row>
    <row r="28" spans="9:40" x14ac:dyDescent="0.25">
      <c r="I28" t="s">
        <v>37</v>
      </c>
      <c r="J28" t="s">
        <v>184</v>
      </c>
      <c r="K28">
        <v>1.5979949420121474E-6</v>
      </c>
      <c r="L28" t="s">
        <v>38</v>
      </c>
      <c r="N28" t="s">
        <v>39</v>
      </c>
      <c r="O28" t="s">
        <v>184</v>
      </c>
      <c r="P28">
        <v>4.0551282629395016E-3</v>
      </c>
      <c r="Q28" t="s">
        <v>38</v>
      </c>
      <c r="S28" t="s">
        <v>40</v>
      </c>
      <c r="T28" t="s">
        <v>184</v>
      </c>
      <c r="U28">
        <v>3.8380421401229799E-3</v>
      </c>
      <c r="V28" t="s">
        <v>38</v>
      </c>
      <c r="X28" t="s">
        <v>6</v>
      </c>
      <c r="Y28" t="s">
        <v>184</v>
      </c>
      <c r="Z28">
        <v>3.8023169358295701E-3</v>
      </c>
      <c r="AB28" t="s">
        <v>41</v>
      </c>
      <c r="AC28" t="s">
        <v>184</v>
      </c>
      <c r="AD28">
        <v>3.3679588777040026E-2</v>
      </c>
      <c r="AF28">
        <v>2022</v>
      </c>
      <c r="AG28" t="s">
        <v>141</v>
      </c>
      <c r="AH28">
        <v>0</v>
      </c>
      <c r="AI28" t="s">
        <v>42</v>
      </c>
      <c r="AK28">
        <v>3.4246575342465752E-3</v>
      </c>
      <c r="AL28">
        <v>1.7303532804614269E-3</v>
      </c>
      <c r="AM28" t="s">
        <v>184</v>
      </c>
      <c r="AN28" t="s">
        <v>8</v>
      </c>
    </row>
    <row r="29" spans="9:40" x14ac:dyDescent="0.25">
      <c r="I29" t="s">
        <v>37</v>
      </c>
      <c r="J29" t="s">
        <v>185</v>
      </c>
      <c r="K29">
        <v>8.4198439208002893E-2</v>
      </c>
      <c r="L29" t="s">
        <v>38</v>
      </c>
      <c r="N29" t="s">
        <v>39</v>
      </c>
      <c r="O29" t="s">
        <v>185</v>
      </c>
      <c r="P29">
        <v>3.6486310903012048E-2</v>
      </c>
      <c r="Q29" t="s">
        <v>38</v>
      </c>
      <c r="S29" t="s">
        <v>40</v>
      </c>
      <c r="T29" t="s">
        <v>185</v>
      </c>
      <c r="U29">
        <v>3.4683956787480243E-2</v>
      </c>
      <c r="V29" t="s">
        <v>38</v>
      </c>
      <c r="X29" t="s">
        <v>6</v>
      </c>
      <c r="Y29" t="s">
        <v>185</v>
      </c>
      <c r="Z29">
        <v>3.4216881869844028E-2</v>
      </c>
      <c r="AB29" t="s">
        <v>41</v>
      </c>
      <c r="AC29" t="s">
        <v>185</v>
      </c>
      <c r="AD29">
        <v>2.0113702962167412E-2</v>
      </c>
      <c r="AF29">
        <v>2022</v>
      </c>
      <c r="AG29" t="s">
        <v>143</v>
      </c>
      <c r="AH29">
        <v>0</v>
      </c>
      <c r="AI29" t="s">
        <v>42</v>
      </c>
      <c r="AK29">
        <v>3.0821917808219176E-2</v>
      </c>
      <c r="AL29">
        <v>4.1200308281331581E-2</v>
      </c>
      <c r="AM29" t="s">
        <v>185</v>
      </c>
      <c r="AN29" t="s">
        <v>8</v>
      </c>
    </row>
    <row r="30" spans="9:40" x14ac:dyDescent="0.25">
      <c r="I30" t="s">
        <v>37</v>
      </c>
      <c r="J30" t="s">
        <v>186</v>
      </c>
      <c r="K30">
        <v>1.1033520293542749E-2</v>
      </c>
      <c r="L30" t="s">
        <v>38</v>
      </c>
      <c r="N30" t="s">
        <v>39</v>
      </c>
      <c r="O30" t="s">
        <v>186</v>
      </c>
      <c r="P30">
        <v>4.0505176078140586E-3</v>
      </c>
      <c r="Q30" t="s">
        <v>38</v>
      </c>
      <c r="S30" t="s">
        <v>40</v>
      </c>
      <c r="T30" t="s">
        <v>186</v>
      </c>
      <c r="U30">
        <v>4.4330258923724469E-3</v>
      </c>
      <c r="V30" t="s">
        <v>38</v>
      </c>
      <c r="X30" t="s">
        <v>6</v>
      </c>
      <c r="Y30" t="s">
        <v>186</v>
      </c>
      <c r="Z30">
        <v>3.8227173613707113E-3</v>
      </c>
      <c r="AB30" t="s">
        <v>41</v>
      </c>
      <c r="AC30" t="s">
        <v>186</v>
      </c>
      <c r="AD30">
        <v>1.597290738913637E-2</v>
      </c>
      <c r="AF30">
        <v>2022</v>
      </c>
      <c r="AG30" t="s">
        <v>145</v>
      </c>
      <c r="AH30">
        <v>0</v>
      </c>
      <c r="AI30" t="s">
        <v>42</v>
      </c>
      <c r="AK30">
        <v>3.4246575342465752E-3</v>
      </c>
      <c r="AL30">
        <v>5.1711707232180593E-3</v>
      </c>
      <c r="AM30" t="s">
        <v>186</v>
      </c>
      <c r="AN30" t="s">
        <v>8</v>
      </c>
    </row>
    <row r="31" spans="9:40" x14ac:dyDescent="0.25">
      <c r="I31" t="s">
        <v>37</v>
      </c>
      <c r="J31" t="s">
        <v>187</v>
      </c>
      <c r="K31">
        <v>2.4762053859012197E-2</v>
      </c>
      <c r="L31" t="s">
        <v>38</v>
      </c>
      <c r="N31" t="s">
        <v>39</v>
      </c>
      <c r="O31" t="s">
        <v>187</v>
      </c>
      <c r="P31">
        <v>1.1951526431610201E-2</v>
      </c>
      <c r="Q31" t="s">
        <v>38</v>
      </c>
      <c r="S31" t="s">
        <v>40</v>
      </c>
      <c r="T31" t="s">
        <v>187</v>
      </c>
      <c r="U31">
        <v>1.279663678009311E-2</v>
      </c>
      <c r="V31" t="s">
        <v>38</v>
      </c>
      <c r="X31" t="s">
        <v>6</v>
      </c>
      <c r="Y31" t="s">
        <v>187</v>
      </c>
      <c r="Z31">
        <v>1.128249452012698E-2</v>
      </c>
      <c r="AB31" t="s">
        <v>41</v>
      </c>
      <c r="AC31" t="s">
        <v>187</v>
      </c>
      <c r="AD31">
        <v>2.5938621825150499E-2</v>
      </c>
      <c r="AF31">
        <v>2022</v>
      </c>
      <c r="AG31" t="s">
        <v>147</v>
      </c>
      <c r="AH31">
        <v>0</v>
      </c>
      <c r="AI31" t="s">
        <v>42</v>
      </c>
      <c r="AK31">
        <v>1.0273972602739725E-2</v>
      </c>
      <c r="AL31">
        <v>1.8496879894587679E-2</v>
      </c>
      <c r="AM31" t="s">
        <v>187</v>
      </c>
      <c r="AN31" t="s">
        <v>8</v>
      </c>
    </row>
    <row r="32" spans="9:40" x14ac:dyDescent="0.25">
      <c r="I32" t="s">
        <v>37</v>
      </c>
      <c r="J32" t="s">
        <v>188</v>
      </c>
      <c r="K32">
        <v>3.6423978779708032E-3</v>
      </c>
      <c r="L32" t="s">
        <v>38</v>
      </c>
      <c r="N32" t="s">
        <v>39</v>
      </c>
      <c r="O32" t="s">
        <v>188</v>
      </c>
      <c r="P32">
        <v>3.8852258311426737E-3</v>
      </c>
      <c r="Q32" t="s">
        <v>38</v>
      </c>
      <c r="S32" t="s">
        <v>40</v>
      </c>
      <c r="T32" t="s">
        <v>188</v>
      </c>
      <c r="U32">
        <v>4.1414421218620642E-3</v>
      </c>
      <c r="V32" t="s">
        <v>38</v>
      </c>
      <c r="X32" t="s">
        <v>6</v>
      </c>
      <c r="Y32" t="s">
        <v>188</v>
      </c>
      <c r="Z32">
        <v>3.4785115237168209E-3</v>
      </c>
      <c r="AB32" t="s">
        <v>41</v>
      </c>
      <c r="AC32" t="s">
        <v>188</v>
      </c>
      <c r="AD32">
        <v>1.4376768514019478E-2</v>
      </c>
      <c r="AF32">
        <v>2022</v>
      </c>
      <c r="AG32" t="s">
        <v>149</v>
      </c>
      <c r="AH32">
        <v>0</v>
      </c>
      <c r="AI32" t="s">
        <v>42</v>
      </c>
      <c r="AK32">
        <v>3.4246575342465752E-3</v>
      </c>
      <c r="AL32">
        <v>4.6739427690624773E-3</v>
      </c>
      <c r="AM32" t="s">
        <v>188</v>
      </c>
      <c r="AN32" t="s">
        <v>8</v>
      </c>
    </row>
    <row r="33" spans="9:40" x14ac:dyDescent="0.25">
      <c r="I33" t="s">
        <v>37</v>
      </c>
      <c r="J33" t="s">
        <v>189</v>
      </c>
      <c r="K33">
        <v>6.1765608745711453E-4</v>
      </c>
      <c r="L33" t="s">
        <v>38</v>
      </c>
      <c r="N33" t="s">
        <v>39</v>
      </c>
      <c r="O33" t="s">
        <v>189</v>
      </c>
      <c r="P33">
        <v>3.8955779067274317E-3</v>
      </c>
      <c r="Q33" t="s">
        <v>38</v>
      </c>
      <c r="S33" t="s">
        <v>40</v>
      </c>
      <c r="T33" t="s">
        <v>189</v>
      </c>
      <c r="U33">
        <v>4.1210974175952039E-3</v>
      </c>
      <c r="V33" t="s">
        <v>38</v>
      </c>
      <c r="X33" t="s">
        <v>6</v>
      </c>
      <c r="Y33" t="s">
        <v>189</v>
      </c>
      <c r="Z33">
        <v>3.3232492246318916E-3</v>
      </c>
      <c r="AB33" t="s">
        <v>41</v>
      </c>
      <c r="AC33" t="s">
        <v>189</v>
      </c>
      <c r="AD33">
        <v>1.5567305704073497E-2</v>
      </c>
      <c r="AF33">
        <v>2022</v>
      </c>
      <c r="AG33" t="s">
        <v>151</v>
      </c>
      <c r="AH33">
        <v>0</v>
      </c>
      <c r="AI33" t="s">
        <v>42</v>
      </c>
      <c r="AK33">
        <v>3.4246575342465752E-3</v>
      </c>
      <c r="AL33">
        <v>3.2817044974268452E-3</v>
      </c>
      <c r="AM33" t="s">
        <v>189</v>
      </c>
      <c r="AN33" t="s">
        <v>8</v>
      </c>
    </row>
    <row r="34" spans="9:40" x14ac:dyDescent="0.25">
      <c r="I34" t="s">
        <v>37</v>
      </c>
      <c r="J34" t="s">
        <v>190</v>
      </c>
      <c r="K34">
        <v>0</v>
      </c>
      <c r="L34" t="s">
        <v>38</v>
      </c>
      <c r="N34" t="s">
        <v>39</v>
      </c>
      <c r="O34" t="s">
        <v>190</v>
      </c>
      <c r="P34">
        <v>1.191675698690531E-2</v>
      </c>
      <c r="Q34" t="s">
        <v>38</v>
      </c>
      <c r="S34" t="s">
        <v>40</v>
      </c>
      <c r="T34" t="s">
        <v>190</v>
      </c>
      <c r="U34">
        <v>1.2426862248129139E-2</v>
      </c>
      <c r="V34" t="s">
        <v>38</v>
      </c>
      <c r="X34" t="s">
        <v>6</v>
      </c>
      <c r="Y34" t="s">
        <v>190</v>
      </c>
      <c r="Z34">
        <v>9.5205275651675855E-3</v>
      </c>
      <c r="AB34" t="s">
        <v>41</v>
      </c>
      <c r="AC34" t="s">
        <v>190</v>
      </c>
      <c r="AD34">
        <v>3.6651132501678729E-2</v>
      </c>
      <c r="AF34">
        <v>2022</v>
      </c>
      <c r="AG34" t="s">
        <v>153</v>
      </c>
      <c r="AH34">
        <v>0</v>
      </c>
      <c r="AI34" t="s">
        <v>42</v>
      </c>
      <c r="AK34">
        <v>1.0273972602739725E-2</v>
      </c>
      <c r="AL34">
        <v>4.9722795415558275E-3</v>
      </c>
      <c r="AM34" t="s">
        <v>190</v>
      </c>
      <c r="AN34" t="s">
        <v>8</v>
      </c>
    </row>
    <row r="35" spans="9:40" x14ac:dyDescent="0.25">
      <c r="I35" t="s">
        <v>37</v>
      </c>
      <c r="J35" t="s">
        <v>191</v>
      </c>
      <c r="K35">
        <v>3.3510082290818144E-5</v>
      </c>
      <c r="L35" t="s">
        <v>38</v>
      </c>
      <c r="N35" t="s">
        <v>39</v>
      </c>
      <c r="O35" t="s">
        <v>191</v>
      </c>
      <c r="P35">
        <v>1.6277363237341885E-2</v>
      </c>
      <c r="Q35" t="s">
        <v>38</v>
      </c>
      <c r="S35" t="s">
        <v>40</v>
      </c>
      <c r="T35" t="s">
        <v>191</v>
      </c>
      <c r="U35">
        <v>1.3936234633506095E-2</v>
      </c>
      <c r="V35" t="s">
        <v>38</v>
      </c>
      <c r="X35" t="s">
        <v>6</v>
      </c>
      <c r="Y35" t="s">
        <v>191</v>
      </c>
      <c r="Z35">
        <v>1.3014575346651859E-2</v>
      </c>
      <c r="AB35" t="s">
        <v>41</v>
      </c>
      <c r="AC35" t="s">
        <v>191</v>
      </c>
      <c r="AD35">
        <v>0.17200046870368957</v>
      </c>
      <c r="AF35">
        <v>2022</v>
      </c>
      <c r="AG35" t="s">
        <v>155</v>
      </c>
      <c r="AH35">
        <v>0</v>
      </c>
      <c r="AI35" t="s">
        <v>42</v>
      </c>
      <c r="AK35">
        <v>1.7694063926940638E-2</v>
      </c>
      <c r="AL35">
        <v>2.7539798954163875E-3</v>
      </c>
      <c r="AM35" t="s">
        <v>191</v>
      </c>
      <c r="AN35" t="s">
        <v>8</v>
      </c>
    </row>
    <row r="36" spans="9:40" x14ac:dyDescent="0.25">
      <c r="I36" t="s">
        <v>37</v>
      </c>
      <c r="J36" t="s">
        <v>192</v>
      </c>
      <c r="K36">
        <v>2.2948374389607788E-3</v>
      </c>
      <c r="L36" t="s">
        <v>38</v>
      </c>
      <c r="N36" t="s">
        <v>39</v>
      </c>
      <c r="O36" t="s">
        <v>192</v>
      </c>
      <c r="P36">
        <v>3.0273059237558423E-3</v>
      </c>
      <c r="Q36" t="s">
        <v>38</v>
      </c>
      <c r="S36" t="s">
        <v>40</v>
      </c>
      <c r="T36" t="s">
        <v>192</v>
      </c>
      <c r="U36">
        <v>2.5553348107466801E-3</v>
      </c>
      <c r="V36" t="s">
        <v>38</v>
      </c>
      <c r="X36" t="s">
        <v>6</v>
      </c>
      <c r="Y36" t="s">
        <v>192</v>
      </c>
      <c r="Z36">
        <v>3.3452441109341371E-3</v>
      </c>
      <c r="AB36" t="s">
        <v>41</v>
      </c>
      <c r="AC36" t="s">
        <v>192</v>
      </c>
      <c r="AD36">
        <v>4.9596376096172845E-2</v>
      </c>
      <c r="AF36">
        <v>2022</v>
      </c>
      <c r="AG36" t="s">
        <v>156</v>
      </c>
      <c r="AH36">
        <v>0</v>
      </c>
      <c r="AI36" t="s">
        <v>42</v>
      </c>
      <c r="AK36">
        <v>3.5388127853881279E-3</v>
      </c>
      <c r="AL36">
        <v>1.7880317231434744E-3</v>
      </c>
      <c r="AM36" t="s">
        <v>192</v>
      </c>
      <c r="AN36" t="s">
        <v>8</v>
      </c>
    </row>
    <row r="37" spans="9:40" x14ac:dyDescent="0.25">
      <c r="I37" t="s">
        <v>37</v>
      </c>
      <c r="J37" t="s">
        <v>193</v>
      </c>
      <c r="K37">
        <v>9.475183371211636E-2</v>
      </c>
      <c r="L37" t="s">
        <v>38</v>
      </c>
      <c r="N37" t="s">
        <v>39</v>
      </c>
      <c r="O37" t="s">
        <v>193</v>
      </c>
      <c r="P37">
        <v>2.6328030811913098E-2</v>
      </c>
      <c r="Q37" t="s">
        <v>38</v>
      </c>
      <c r="S37" t="s">
        <v>40</v>
      </c>
      <c r="T37" t="s">
        <v>193</v>
      </c>
      <c r="U37">
        <v>2.268608841380575E-2</v>
      </c>
      <c r="V37" t="s">
        <v>38</v>
      </c>
      <c r="X37" t="s">
        <v>6</v>
      </c>
      <c r="Y37" t="s">
        <v>193</v>
      </c>
      <c r="Z37">
        <v>3.2126428380157265E-2</v>
      </c>
      <c r="AB37" t="s">
        <v>41</v>
      </c>
      <c r="AC37" t="s">
        <v>193</v>
      </c>
      <c r="AD37">
        <v>8.9568511503280046E-2</v>
      </c>
      <c r="AF37">
        <v>2022</v>
      </c>
      <c r="AG37" t="s">
        <v>157</v>
      </c>
      <c r="AH37">
        <v>0</v>
      </c>
      <c r="AI37" t="s">
        <v>42</v>
      </c>
      <c r="AK37">
        <v>3.1849315068493152E-2</v>
      </c>
      <c r="AL37">
        <v>4.2573651890709309E-2</v>
      </c>
      <c r="AM37" t="s">
        <v>193</v>
      </c>
      <c r="AN37" t="s">
        <v>8</v>
      </c>
    </row>
    <row r="38" spans="9:40" x14ac:dyDescent="0.25">
      <c r="I38" t="s">
        <v>37</v>
      </c>
      <c r="J38" t="s">
        <v>194</v>
      </c>
      <c r="K38">
        <v>1.2703254570961062E-2</v>
      </c>
      <c r="L38" t="s">
        <v>38</v>
      </c>
      <c r="N38" t="s">
        <v>39</v>
      </c>
      <c r="O38" t="s">
        <v>194</v>
      </c>
      <c r="P38">
        <v>2.9861743956497585E-3</v>
      </c>
      <c r="Q38" t="s">
        <v>38</v>
      </c>
      <c r="S38" t="s">
        <v>40</v>
      </c>
      <c r="T38" t="s">
        <v>194</v>
      </c>
      <c r="U38">
        <v>2.8339327678151226E-3</v>
      </c>
      <c r="V38" t="s">
        <v>38</v>
      </c>
      <c r="X38" t="s">
        <v>6</v>
      </c>
      <c r="Y38" t="s">
        <v>194</v>
      </c>
      <c r="Z38">
        <v>3.5255619662206026E-3</v>
      </c>
      <c r="AB38" t="s">
        <v>41</v>
      </c>
      <c r="AC38" t="s">
        <v>194</v>
      </c>
      <c r="AD38">
        <v>5.1685079009928581E-2</v>
      </c>
      <c r="AF38">
        <v>2022</v>
      </c>
      <c r="AG38" t="s">
        <v>158</v>
      </c>
      <c r="AH38">
        <v>0</v>
      </c>
      <c r="AI38" t="s">
        <v>42</v>
      </c>
      <c r="AK38">
        <v>3.5388127853881279E-3</v>
      </c>
      <c r="AL38">
        <v>5.3435430806586613E-3</v>
      </c>
      <c r="AM38" t="s">
        <v>194</v>
      </c>
      <c r="AN38" t="s">
        <v>8</v>
      </c>
    </row>
    <row r="39" spans="9:40" x14ac:dyDescent="0.25">
      <c r="I39" t="s">
        <v>37</v>
      </c>
      <c r="J39" t="s">
        <v>195</v>
      </c>
      <c r="K39">
        <v>2.9488665335698244E-2</v>
      </c>
      <c r="L39" t="s">
        <v>38</v>
      </c>
      <c r="N39" t="s">
        <v>39</v>
      </c>
      <c r="O39" t="s">
        <v>195</v>
      </c>
      <c r="P39">
        <v>9.193153566819455E-3</v>
      </c>
      <c r="Q39" t="s">
        <v>38</v>
      </c>
      <c r="S39" t="s">
        <v>40</v>
      </c>
      <c r="T39" t="s">
        <v>195</v>
      </c>
      <c r="U39">
        <v>8.7481317742613661E-3</v>
      </c>
      <c r="V39" t="s">
        <v>38</v>
      </c>
      <c r="X39" t="s">
        <v>6</v>
      </c>
      <c r="Y39" t="s">
        <v>195</v>
      </c>
      <c r="Z39">
        <v>1.0434293666696794E-2</v>
      </c>
      <c r="AB39" t="s">
        <v>41</v>
      </c>
      <c r="AC39" t="s">
        <v>195</v>
      </c>
      <c r="AD39">
        <v>6.0230642504118581E-2</v>
      </c>
      <c r="AK39">
        <v>1.0616438356164383E-2</v>
      </c>
      <c r="AL39">
        <v>1.9113442557740598E-2</v>
      </c>
      <c r="AM39" t="s">
        <v>195</v>
      </c>
      <c r="AN39" t="s">
        <v>8</v>
      </c>
    </row>
    <row r="40" spans="9:40" x14ac:dyDescent="0.25">
      <c r="I40" t="s">
        <v>37</v>
      </c>
      <c r="J40" t="s">
        <v>196</v>
      </c>
      <c r="K40">
        <v>5.850739322805408E-3</v>
      </c>
      <c r="L40" t="s">
        <v>38</v>
      </c>
      <c r="N40" t="s">
        <v>39</v>
      </c>
      <c r="O40" t="s">
        <v>196</v>
      </c>
      <c r="P40">
        <v>3.0969055259854497E-3</v>
      </c>
      <c r="Q40" t="s">
        <v>38</v>
      </c>
      <c r="S40" t="s">
        <v>40</v>
      </c>
      <c r="T40" t="s">
        <v>196</v>
      </c>
      <c r="U40">
        <v>2.9558280258678549E-3</v>
      </c>
      <c r="V40" t="s">
        <v>38</v>
      </c>
      <c r="X40" t="s">
        <v>6</v>
      </c>
      <c r="Y40" t="s">
        <v>196</v>
      </c>
      <c r="Z40">
        <v>3.2923946863778913E-3</v>
      </c>
      <c r="AB40" t="s">
        <v>41</v>
      </c>
      <c r="AC40" t="s">
        <v>196</v>
      </c>
      <c r="AD40">
        <v>2.5989662868553864E-2</v>
      </c>
      <c r="AK40">
        <v>3.5388127853881279E-3</v>
      </c>
      <c r="AL40">
        <v>4.8297408613645603E-3</v>
      </c>
      <c r="AM40" t="s">
        <v>196</v>
      </c>
      <c r="AN40" t="s">
        <v>8</v>
      </c>
    </row>
    <row r="41" spans="9:40" x14ac:dyDescent="0.25">
      <c r="I41" t="s">
        <v>37</v>
      </c>
      <c r="J41" t="s">
        <v>197</v>
      </c>
      <c r="K41">
        <v>2.9766667103186804E-3</v>
      </c>
      <c r="L41" t="s">
        <v>38</v>
      </c>
      <c r="N41" t="s">
        <v>39</v>
      </c>
      <c r="O41" t="s">
        <v>197</v>
      </c>
      <c r="P41">
        <v>3.0856967987458257E-3</v>
      </c>
      <c r="Q41" t="s">
        <v>38</v>
      </c>
      <c r="S41" t="s">
        <v>40</v>
      </c>
      <c r="T41" t="s">
        <v>197</v>
      </c>
      <c r="U41">
        <v>2.8704853501071281E-3</v>
      </c>
      <c r="V41" t="s">
        <v>38</v>
      </c>
      <c r="X41" t="s">
        <v>6</v>
      </c>
      <c r="Y41" t="s">
        <v>197</v>
      </c>
      <c r="Z41">
        <v>3.1417875179533565E-3</v>
      </c>
      <c r="AB41" t="s">
        <v>41</v>
      </c>
      <c r="AC41" t="s">
        <v>197</v>
      </c>
      <c r="AD41">
        <v>4.894998786113125E-2</v>
      </c>
      <c r="AK41">
        <v>3.5388127853881279E-3</v>
      </c>
      <c r="AL41">
        <v>3.3910946473410734E-3</v>
      </c>
      <c r="AM41" t="s">
        <v>197</v>
      </c>
      <c r="AN41" t="s">
        <v>8</v>
      </c>
    </row>
    <row r="42" spans="9:40" x14ac:dyDescent="0.25">
      <c r="I42" t="s">
        <v>37</v>
      </c>
      <c r="J42" t="s">
        <v>198</v>
      </c>
      <c r="K42">
        <v>2.9388975058872575E-4</v>
      </c>
      <c r="L42" t="s">
        <v>38</v>
      </c>
      <c r="N42" t="s">
        <v>39</v>
      </c>
      <c r="O42" t="s">
        <v>198</v>
      </c>
      <c r="P42">
        <v>9.1450616470443325E-3</v>
      </c>
      <c r="Q42" t="s">
        <v>38</v>
      </c>
      <c r="S42" t="s">
        <v>40</v>
      </c>
      <c r="T42" t="s">
        <v>198</v>
      </c>
      <c r="U42">
        <v>8.6902958249735762E-3</v>
      </c>
      <c r="V42" t="s">
        <v>38</v>
      </c>
      <c r="X42" t="s">
        <v>6</v>
      </c>
      <c r="Y42" t="s">
        <v>198</v>
      </c>
      <c r="Z42">
        <v>7.7096730742893041E-3</v>
      </c>
      <c r="AB42" t="s">
        <v>41</v>
      </c>
      <c r="AC42" t="s">
        <v>198</v>
      </c>
      <c r="AD42">
        <v>0.10425716768027793</v>
      </c>
      <c r="AK42">
        <v>1.0616438356164383E-2</v>
      </c>
      <c r="AL42">
        <v>5.1380221929410216E-3</v>
      </c>
      <c r="AM42" t="s">
        <v>198</v>
      </c>
      <c r="AN42" t="s">
        <v>8</v>
      </c>
    </row>
    <row r="43" spans="9:40" x14ac:dyDescent="0.25">
      <c r="I43" t="s">
        <v>37</v>
      </c>
      <c r="J43" t="s">
        <v>199</v>
      </c>
      <c r="K43">
        <v>1.0864889659409332E-3</v>
      </c>
      <c r="L43" t="s">
        <v>38</v>
      </c>
      <c r="N43" t="s">
        <v>39</v>
      </c>
      <c r="O43" t="s">
        <v>199</v>
      </c>
      <c r="P43">
        <v>1.23591112600148E-2</v>
      </c>
      <c r="Q43" t="s">
        <v>38</v>
      </c>
      <c r="S43" t="s">
        <v>40</v>
      </c>
      <c r="T43" t="s">
        <v>199</v>
      </c>
      <c r="U43">
        <v>1.0490791094649956E-2</v>
      </c>
      <c r="V43" t="s">
        <v>38</v>
      </c>
      <c r="X43" t="s">
        <v>6</v>
      </c>
      <c r="Y43" t="s">
        <v>199</v>
      </c>
      <c r="Z43">
        <v>1.1331637101402961E-2</v>
      </c>
      <c r="AB43" t="s">
        <v>41</v>
      </c>
      <c r="AC43" t="s">
        <v>199</v>
      </c>
      <c r="AD43">
        <v>0.19770516034163554</v>
      </c>
      <c r="AK43">
        <v>1.7123287671232876E-2</v>
      </c>
      <c r="AL43">
        <v>2.6651418342739236E-3</v>
      </c>
      <c r="AM43" t="s">
        <v>199</v>
      </c>
      <c r="AN43" t="s">
        <v>8</v>
      </c>
    </row>
    <row r="44" spans="9:40" x14ac:dyDescent="0.25">
      <c r="I44" t="s">
        <v>37</v>
      </c>
      <c r="J44" t="s">
        <v>200</v>
      </c>
      <c r="K44">
        <v>3.3552638840407155E-3</v>
      </c>
      <c r="L44" t="s">
        <v>38</v>
      </c>
      <c r="N44" t="s">
        <v>39</v>
      </c>
      <c r="O44" t="s">
        <v>200</v>
      </c>
      <c r="P44">
        <v>2.2735411966646199E-3</v>
      </c>
      <c r="Q44" t="s">
        <v>38</v>
      </c>
      <c r="S44" t="s">
        <v>40</v>
      </c>
      <c r="T44" t="s">
        <v>200</v>
      </c>
      <c r="U44">
        <v>1.6257255078900791E-3</v>
      </c>
      <c r="V44" t="s">
        <v>38</v>
      </c>
      <c r="X44" t="s">
        <v>6</v>
      </c>
      <c r="Y44" t="s">
        <v>200</v>
      </c>
      <c r="Z44">
        <v>3.1008006658386411E-3</v>
      </c>
      <c r="AB44" t="s">
        <v>41</v>
      </c>
      <c r="AC44" t="s">
        <v>200</v>
      </c>
      <c r="AD44">
        <v>0.10650796104498372</v>
      </c>
      <c r="AK44">
        <v>3.4246575342465752E-3</v>
      </c>
      <c r="AL44">
        <v>1.7303532804614269E-3</v>
      </c>
      <c r="AM44" t="s">
        <v>200</v>
      </c>
      <c r="AN44" t="s">
        <v>8</v>
      </c>
    </row>
    <row r="45" spans="9:40" x14ac:dyDescent="0.25">
      <c r="I45" t="s">
        <v>37</v>
      </c>
      <c r="J45" t="s">
        <v>201</v>
      </c>
      <c r="K45">
        <v>9.5678950670496102E-2</v>
      </c>
      <c r="L45" t="s">
        <v>38</v>
      </c>
      <c r="N45" t="s">
        <v>39</v>
      </c>
      <c r="O45" t="s">
        <v>201</v>
      </c>
      <c r="P45">
        <v>2.0386474607052885E-2</v>
      </c>
      <c r="Q45" t="s">
        <v>38</v>
      </c>
      <c r="S45" t="s">
        <v>40</v>
      </c>
      <c r="T45" t="s">
        <v>201</v>
      </c>
      <c r="U45">
        <v>1.3284595980306072E-2</v>
      </c>
      <c r="V45" t="s">
        <v>38</v>
      </c>
      <c r="X45" t="s">
        <v>6</v>
      </c>
      <c r="Y45" t="s">
        <v>201</v>
      </c>
      <c r="Z45">
        <v>3.1151832062842878E-2</v>
      </c>
      <c r="AB45" t="s">
        <v>41</v>
      </c>
      <c r="AC45" t="s">
        <v>201</v>
      </c>
      <c r="AD45">
        <v>0.13814036079706993</v>
      </c>
      <c r="AK45">
        <v>3.0821917808219176E-2</v>
      </c>
      <c r="AL45">
        <v>4.1200308281331581E-2</v>
      </c>
      <c r="AM45" t="s">
        <v>201</v>
      </c>
      <c r="AN45" t="s">
        <v>8</v>
      </c>
    </row>
    <row r="46" spans="9:40" x14ac:dyDescent="0.25">
      <c r="I46" t="s">
        <v>37</v>
      </c>
      <c r="J46" t="s">
        <v>202</v>
      </c>
      <c r="K46">
        <v>1.1360730963371654E-2</v>
      </c>
      <c r="L46" t="s">
        <v>38</v>
      </c>
      <c r="N46" t="s">
        <v>39</v>
      </c>
      <c r="O46" t="s">
        <v>202</v>
      </c>
      <c r="P46">
        <v>2.5554224202553001E-3</v>
      </c>
      <c r="Q46" t="s">
        <v>38</v>
      </c>
      <c r="S46" t="s">
        <v>40</v>
      </c>
      <c r="T46" t="s">
        <v>202</v>
      </c>
      <c r="U46">
        <v>1.776084997157963E-3</v>
      </c>
      <c r="V46" t="s">
        <v>38</v>
      </c>
      <c r="X46" t="s">
        <v>6</v>
      </c>
      <c r="Y46" t="s">
        <v>202</v>
      </c>
      <c r="Z46">
        <v>3.4567812457511771E-3</v>
      </c>
      <c r="AB46" t="s">
        <v>41</v>
      </c>
      <c r="AC46" t="s">
        <v>202</v>
      </c>
      <c r="AD46">
        <v>0.10745457146945214</v>
      </c>
      <c r="AK46">
        <v>3.4246575342465752E-3</v>
      </c>
      <c r="AL46">
        <v>5.1711707232180593E-3</v>
      </c>
      <c r="AM46" t="s">
        <v>202</v>
      </c>
      <c r="AN46" t="s">
        <v>8</v>
      </c>
    </row>
    <row r="47" spans="9:40" x14ac:dyDescent="0.25">
      <c r="I47" t="s">
        <v>37</v>
      </c>
      <c r="J47" t="s">
        <v>203</v>
      </c>
      <c r="K47">
        <v>2.8522958059822207E-2</v>
      </c>
      <c r="L47" t="s">
        <v>38</v>
      </c>
      <c r="N47" t="s">
        <v>39</v>
      </c>
      <c r="O47" t="s">
        <v>203</v>
      </c>
      <c r="P47">
        <v>7.6053588456984353E-3</v>
      </c>
      <c r="Q47" t="s">
        <v>38</v>
      </c>
      <c r="S47" t="s">
        <v>40</v>
      </c>
      <c r="T47" t="s">
        <v>203</v>
      </c>
      <c r="U47">
        <v>5.2338313762106906E-3</v>
      </c>
      <c r="V47" t="s">
        <v>38</v>
      </c>
      <c r="X47" t="s">
        <v>6</v>
      </c>
      <c r="Y47" t="s">
        <v>203</v>
      </c>
      <c r="Z47">
        <v>1.0112531648032261E-2</v>
      </c>
      <c r="AB47" t="s">
        <v>41</v>
      </c>
      <c r="AC47" t="s">
        <v>203</v>
      </c>
      <c r="AD47">
        <v>0.11459709379128147</v>
      </c>
      <c r="AK47">
        <v>1.0273972602739725E-2</v>
      </c>
      <c r="AL47">
        <v>1.8496879894587679E-2</v>
      </c>
      <c r="AM47" t="s">
        <v>203</v>
      </c>
      <c r="AN47" t="s">
        <v>8</v>
      </c>
    </row>
    <row r="48" spans="9:40" x14ac:dyDescent="0.25">
      <c r="I48" t="s">
        <v>37</v>
      </c>
      <c r="J48" t="s">
        <v>204</v>
      </c>
      <c r="K48">
        <v>5.7052123452518656E-3</v>
      </c>
      <c r="L48" t="s">
        <v>38</v>
      </c>
      <c r="N48" t="s">
        <v>39</v>
      </c>
      <c r="O48" t="s">
        <v>204</v>
      </c>
      <c r="P48">
        <v>2.4633071944662444E-3</v>
      </c>
      <c r="Q48" t="s">
        <v>38</v>
      </c>
      <c r="S48" t="s">
        <v>40</v>
      </c>
      <c r="T48" t="s">
        <v>204</v>
      </c>
      <c r="U48">
        <v>1.6595385219991161E-3</v>
      </c>
      <c r="V48" t="s">
        <v>38</v>
      </c>
      <c r="X48" t="s">
        <v>6</v>
      </c>
      <c r="Y48" t="s">
        <v>204</v>
      </c>
      <c r="Z48">
        <v>3.226489193669298E-3</v>
      </c>
      <c r="AB48" t="s">
        <v>41</v>
      </c>
      <c r="AC48" t="s">
        <v>204</v>
      </c>
      <c r="AD48">
        <v>6.5147461143011842E-2</v>
      </c>
      <c r="AK48">
        <v>3.4246575342465752E-3</v>
      </c>
      <c r="AL48">
        <v>4.6739427690624773E-3</v>
      </c>
      <c r="AM48" t="s">
        <v>204</v>
      </c>
      <c r="AN48" t="s">
        <v>8</v>
      </c>
    </row>
    <row r="49" spans="9:40" x14ac:dyDescent="0.25">
      <c r="I49" t="s">
        <v>37</v>
      </c>
      <c r="J49" t="s">
        <v>205</v>
      </c>
      <c r="K49">
        <v>3.759875169577953E-3</v>
      </c>
      <c r="L49" t="s">
        <v>38</v>
      </c>
      <c r="N49" t="s">
        <v>39</v>
      </c>
      <c r="O49" t="s">
        <v>205</v>
      </c>
      <c r="P49">
        <v>2.443800892782848E-3</v>
      </c>
      <c r="Q49" t="s">
        <v>38</v>
      </c>
      <c r="S49" t="s">
        <v>40</v>
      </c>
      <c r="T49" t="s">
        <v>205</v>
      </c>
      <c r="U49">
        <v>1.7985226717968728E-3</v>
      </c>
      <c r="V49" t="s">
        <v>38</v>
      </c>
      <c r="X49" t="s">
        <v>6</v>
      </c>
      <c r="Y49" t="s">
        <v>205</v>
      </c>
      <c r="Z49">
        <v>2.9747013911850077E-3</v>
      </c>
      <c r="AB49" t="s">
        <v>41</v>
      </c>
      <c r="AC49" t="s">
        <v>205</v>
      </c>
      <c r="AD49">
        <v>7.3065173116089621E-2</v>
      </c>
      <c r="AK49">
        <v>3.4246575342465752E-3</v>
      </c>
      <c r="AL49">
        <v>3.2817044974268452E-3</v>
      </c>
      <c r="AM49" t="s">
        <v>205</v>
      </c>
      <c r="AN49" t="s">
        <v>8</v>
      </c>
    </row>
    <row r="50" spans="9:40" x14ac:dyDescent="0.25">
      <c r="I50" t="s">
        <v>37</v>
      </c>
      <c r="J50" t="s">
        <v>206</v>
      </c>
      <c r="K50">
        <v>1.7106752169796914E-3</v>
      </c>
      <c r="L50" t="s">
        <v>38</v>
      </c>
      <c r="N50" t="s">
        <v>39</v>
      </c>
      <c r="O50" t="s">
        <v>206</v>
      </c>
      <c r="P50">
        <v>7.5280422409611187E-3</v>
      </c>
      <c r="Q50" t="s">
        <v>38</v>
      </c>
      <c r="S50" t="s">
        <v>40</v>
      </c>
      <c r="T50" t="s">
        <v>206</v>
      </c>
      <c r="U50">
        <v>6.2276299423809339E-3</v>
      </c>
      <c r="V50" t="s">
        <v>38</v>
      </c>
      <c r="X50" t="s">
        <v>6</v>
      </c>
      <c r="Y50" t="s">
        <v>206</v>
      </c>
      <c r="Z50">
        <v>6.927600782676329E-3</v>
      </c>
      <c r="AB50" t="s">
        <v>41</v>
      </c>
      <c r="AC50" t="s">
        <v>206</v>
      </c>
      <c r="AD50">
        <v>8.4201279959844388E-2</v>
      </c>
      <c r="AK50">
        <v>1.0273972602739725E-2</v>
      </c>
      <c r="AL50">
        <v>4.9722795415558275E-3</v>
      </c>
      <c r="AM50" t="s">
        <v>206</v>
      </c>
      <c r="AN50" t="s">
        <v>8</v>
      </c>
    </row>
    <row r="51" spans="9:40" x14ac:dyDescent="0.25">
      <c r="I51" t="s">
        <v>37</v>
      </c>
      <c r="J51" t="s">
        <v>207</v>
      </c>
      <c r="K51">
        <v>2.4623721627657072E-4</v>
      </c>
      <c r="L51" t="s">
        <v>38</v>
      </c>
      <c r="N51" t="s">
        <v>39</v>
      </c>
      <c r="O51" t="s">
        <v>207</v>
      </c>
      <c r="P51">
        <v>1.3249017917957694E-2</v>
      </c>
      <c r="Q51" t="s">
        <v>38</v>
      </c>
      <c r="S51" t="s">
        <v>40</v>
      </c>
      <c r="T51" t="s">
        <v>207</v>
      </c>
      <c r="U51">
        <v>1.3328648068083794E-2</v>
      </c>
      <c r="V51" t="s">
        <v>38</v>
      </c>
      <c r="X51" t="s">
        <v>6</v>
      </c>
      <c r="Y51" t="s">
        <v>207</v>
      </c>
      <c r="Z51">
        <v>1.1777936364459845E-2</v>
      </c>
      <c r="AB51" t="s">
        <v>41</v>
      </c>
      <c r="AC51" t="s">
        <v>207</v>
      </c>
      <c r="AD51">
        <v>0.17318969444893506</v>
      </c>
      <c r="AK51">
        <v>1.7694063926940638E-2</v>
      </c>
      <c r="AL51">
        <v>2.7539798954163875E-3</v>
      </c>
      <c r="AM51" t="s">
        <v>207</v>
      </c>
      <c r="AN51" t="s">
        <v>8</v>
      </c>
    </row>
    <row r="52" spans="9:40" x14ac:dyDescent="0.25">
      <c r="I52" t="s">
        <v>37</v>
      </c>
      <c r="J52" t="s">
        <v>208</v>
      </c>
      <c r="K52">
        <v>3.0257525251269927E-3</v>
      </c>
      <c r="L52" t="s">
        <v>38</v>
      </c>
      <c r="N52" t="s">
        <v>39</v>
      </c>
      <c r="O52" t="s">
        <v>208</v>
      </c>
      <c r="P52">
        <v>2.4338088998401364E-3</v>
      </c>
      <c r="Q52" t="s">
        <v>38</v>
      </c>
      <c r="S52" t="s">
        <v>40</v>
      </c>
      <c r="T52" t="s">
        <v>208</v>
      </c>
      <c r="U52">
        <v>2.1358759583965307E-3</v>
      </c>
      <c r="V52" t="s">
        <v>38</v>
      </c>
      <c r="X52" t="s">
        <v>6</v>
      </c>
      <c r="Y52" t="s">
        <v>208</v>
      </c>
      <c r="Z52">
        <v>3.2430194754923905E-3</v>
      </c>
      <c r="AB52" t="s">
        <v>41</v>
      </c>
      <c r="AC52" t="s">
        <v>208</v>
      </c>
      <c r="AD52">
        <v>7.3565196747581441E-2</v>
      </c>
      <c r="AK52">
        <v>3.5388127853881279E-3</v>
      </c>
      <c r="AL52">
        <v>1.7880317231434744E-3</v>
      </c>
      <c r="AM52" t="s">
        <v>208</v>
      </c>
      <c r="AN52" t="s">
        <v>8</v>
      </c>
    </row>
    <row r="53" spans="9:40" x14ac:dyDescent="0.25">
      <c r="I53" t="s">
        <v>37</v>
      </c>
      <c r="J53" t="s">
        <v>209</v>
      </c>
      <c r="K53">
        <v>9.4752975594781436E-2</v>
      </c>
      <c r="L53" t="s">
        <v>38</v>
      </c>
      <c r="N53" t="s">
        <v>39</v>
      </c>
      <c r="O53" t="s">
        <v>209</v>
      </c>
      <c r="P53">
        <v>2.4387482350406133E-2</v>
      </c>
      <c r="Q53" t="s">
        <v>38</v>
      </c>
      <c r="S53" t="s">
        <v>40</v>
      </c>
      <c r="T53" t="s">
        <v>209</v>
      </c>
      <c r="U53">
        <v>1.7032639193274027E-2</v>
      </c>
      <c r="V53" t="s">
        <v>38</v>
      </c>
      <c r="X53" t="s">
        <v>6</v>
      </c>
      <c r="Y53" t="s">
        <v>209</v>
      </c>
      <c r="Z53">
        <v>3.2781620727294521E-2</v>
      </c>
      <c r="AB53" t="s">
        <v>41</v>
      </c>
      <c r="AC53" t="s">
        <v>209</v>
      </c>
      <c r="AD53">
        <v>0.11672811689198404</v>
      </c>
      <c r="AK53">
        <v>3.1849315068493152E-2</v>
      </c>
      <c r="AL53">
        <v>4.2573651890709309E-2</v>
      </c>
      <c r="AM53" t="s">
        <v>209</v>
      </c>
      <c r="AN53" t="s">
        <v>8</v>
      </c>
    </row>
    <row r="54" spans="9:40" x14ac:dyDescent="0.25">
      <c r="I54" t="s">
        <v>37</v>
      </c>
      <c r="J54" t="s">
        <v>210</v>
      </c>
      <c r="K54">
        <v>1.2010369571695226E-2</v>
      </c>
      <c r="L54" t="s">
        <v>38</v>
      </c>
      <c r="N54" t="s">
        <v>39</v>
      </c>
      <c r="O54" t="s">
        <v>210</v>
      </c>
      <c r="P54">
        <v>3.3042812663052245E-3</v>
      </c>
      <c r="Q54" t="s">
        <v>38</v>
      </c>
      <c r="S54" t="s">
        <v>40</v>
      </c>
      <c r="T54" t="s">
        <v>210</v>
      </c>
      <c r="U54">
        <v>2.2080227447651125E-3</v>
      </c>
      <c r="V54" t="s">
        <v>38</v>
      </c>
      <c r="X54" t="s">
        <v>6</v>
      </c>
      <c r="Y54" t="s">
        <v>210</v>
      </c>
      <c r="Z54">
        <v>3.6493849990233166E-3</v>
      </c>
      <c r="AB54" t="s">
        <v>41</v>
      </c>
      <c r="AC54" t="s">
        <v>210</v>
      </c>
      <c r="AD54">
        <v>9.4883543337151544E-2</v>
      </c>
      <c r="AK54">
        <v>3.5388127853881279E-3</v>
      </c>
      <c r="AL54">
        <v>5.3435430806586613E-3</v>
      </c>
      <c r="AM54" t="s">
        <v>210</v>
      </c>
      <c r="AN54" t="s">
        <v>8</v>
      </c>
    </row>
    <row r="55" spans="9:40" x14ac:dyDescent="0.25">
      <c r="I55" t="s">
        <v>37</v>
      </c>
      <c r="J55" t="s">
        <v>211</v>
      </c>
      <c r="K55">
        <v>2.9631842076279963E-2</v>
      </c>
      <c r="L55" t="s">
        <v>38</v>
      </c>
      <c r="N55" t="s">
        <v>39</v>
      </c>
      <c r="O55" t="s">
        <v>211</v>
      </c>
      <c r="P55">
        <v>9.7074843646925493E-3</v>
      </c>
      <c r="Q55" t="s">
        <v>38</v>
      </c>
      <c r="S55" t="s">
        <v>40</v>
      </c>
      <c r="T55" t="s">
        <v>211</v>
      </c>
      <c r="U55">
        <v>7.5903709475780958E-3</v>
      </c>
      <c r="V55" t="s">
        <v>38</v>
      </c>
      <c r="X55" t="s">
        <v>6</v>
      </c>
      <c r="Y55" t="s">
        <v>211</v>
      </c>
      <c r="Z55">
        <v>1.0650226634804688E-2</v>
      </c>
      <c r="AB55" t="s">
        <v>41</v>
      </c>
      <c r="AC55" t="s">
        <v>211</v>
      </c>
      <c r="AD55">
        <v>0.11352970636790261</v>
      </c>
      <c r="AK55">
        <v>1.0616438356164383E-2</v>
      </c>
      <c r="AL55">
        <v>1.9113442557740598E-2</v>
      </c>
      <c r="AM55" t="s">
        <v>211</v>
      </c>
      <c r="AN55" t="s">
        <v>8</v>
      </c>
    </row>
    <row r="56" spans="9:40" x14ac:dyDescent="0.25">
      <c r="I56" t="s">
        <v>37</v>
      </c>
      <c r="J56" t="s">
        <v>212</v>
      </c>
      <c r="K56">
        <v>6.6642702424942442E-3</v>
      </c>
      <c r="L56" t="s">
        <v>38</v>
      </c>
      <c r="N56" t="s">
        <v>39</v>
      </c>
      <c r="O56" t="s">
        <v>212</v>
      </c>
      <c r="P56">
        <v>3.0851479847877512E-3</v>
      </c>
      <c r="Q56" t="s">
        <v>38</v>
      </c>
      <c r="S56" t="s">
        <v>40</v>
      </c>
      <c r="T56" t="s">
        <v>212</v>
      </c>
      <c r="U56">
        <v>2.615611586749121E-3</v>
      </c>
      <c r="V56" t="s">
        <v>38</v>
      </c>
      <c r="X56" t="s">
        <v>6</v>
      </c>
      <c r="Y56" t="s">
        <v>212</v>
      </c>
      <c r="Z56">
        <v>3.3951327156011707E-3</v>
      </c>
      <c r="AB56" t="s">
        <v>41</v>
      </c>
      <c r="AC56" t="s">
        <v>212</v>
      </c>
      <c r="AD56">
        <v>4.5534200925048118E-2</v>
      </c>
      <c r="AK56">
        <v>3.5388127853881279E-3</v>
      </c>
      <c r="AL56">
        <v>4.8297408613645603E-3</v>
      </c>
      <c r="AM56" t="s">
        <v>212</v>
      </c>
      <c r="AN56" t="s">
        <v>8</v>
      </c>
    </row>
    <row r="57" spans="9:40" x14ac:dyDescent="0.25">
      <c r="I57" t="s">
        <v>37</v>
      </c>
      <c r="J57" t="s">
        <v>213</v>
      </c>
      <c r="K57">
        <v>4.0788910774191287E-3</v>
      </c>
      <c r="L57" t="s">
        <v>38</v>
      </c>
      <c r="N57" t="s">
        <v>39</v>
      </c>
      <c r="O57" t="s">
        <v>213</v>
      </c>
      <c r="P57">
        <v>3.0993055334387711E-3</v>
      </c>
      <c r="Q57" t="s">
        <v>38</v>
      </c>
      <c r="S57" t="s">
        <v>40</v>
      </c>
      <c r="T57" t="s">
        <v>213</v>
      </c>
      <c r="U57">
        <v>2.6776629535831486E-3</v>
      </c>
      <c r="V57" t="s">
        <v>38</v>
      </c>
      <c r="X57" t="s">
        <v>6</v>
      </c>
      <c r="Y57" t="s">
        <v>213</v>
      </c>
      <c r="Z57">
        <v>3.1040501337188425E-3</v>
      </c>
      <c r="AB57" t="s">
        <v>41</v>
      </c>
      <c r="AC57" t="s">
        <v>213</v>
      </c>
      <c r="AD57">
        <v>4.9046905118869111E-2</v>
      </c>
      <c r="AK57">
        <v>3.5388127853881279E-3</v>
      </c>
      <c r="AL57">
        <v>3.3910946473410734E-3</v>
      </c>
      <c r="AM57" t="s">
        <v>213</v>
      </c>
      <c r="AN57" t="s">
        <v>8</v>
      </c>
    </row>
    <row r="58" spans="9:40" x14ac:dyDescent="0.25">
      <c r="I58" t="s">
        <v>37</v>
      </c>
      <c r="J58" t="s">
        <v>214</v>
      </c>
      <c r="K58">
        <v>1.8033283723330696E-3</v>
      </c>
      <c r="L58" t="s">
        <v>38</v>
      </c>
      <c r="N58" t="s">
        <v>39</v>
      </c>
      <c r="O58" t="s">
        <v>214</v>
      </c>
      <c r="P58">
        <v>8.9611251838574105E-3</v>
      </c>
      <c r="Q58" t="s">
        <v>38</v>
      </c>
      <c r="S58" t="s">
        <v>40</v>
      </c>
      <c r="T58" t="s">
        <v>214</v>
      </c>
      <c r="U58">
        <v>8.5043540499805774E-3</v>
      </c>
      <c r="V58" t="s">
        <v>38</v>
      </c>
      <c r="X58" t="s">
        <v>6</v>
      </c>
      <c r="Y58" t="s">
        <v>214</v>
      </c>
      <c r="Z58">
        <v>7.1828388708489264E-3</v>
      </c>
      <c r="AB58" t="s">
        <v>41</v>
      </c>
      <c r="AC58" t="s">
        <v>214</v>
      </c>
      <c r="AD58">
        <v>7.0948034473980792E-2</v>
      </c>
      <c r="AK58">
        <v>1.0616438356164383E-2</v>
      </c>
      <c r="AL58">
        <v>5.1380221929410216E-3</v>
      </c>
      <c r="AM58" t="s">
        <v>214</v>
      </c>
      <c r="AN58" t="s">
        <v>8</v>
      </c>
    </row>
    <row r="59" spans="9:40" x14ac:dyDescent="0.25">
      <c r="I59" t="s">
        <v>37</v>
      </c>
      <c r="J59" t="s">
        <v>215</v>
      </c>
      <c r="K59">
        <v>0</v>
      </c>
      <c r="L59" t="s">
        <v>38</v>
      </c>
      <c r="N59" t="s">
        <v>39</v>
      </c>
      <c r="O59" t="s">
        <v>215</v>
      </c>
      <c r="P59">
        <v>1.0828131920841673E-2</v>
      </c>
      <c r="Q59" t="s">
        <v>38</v>
      </c>
      <c r="S59" t="s">
        <v>40</v>
      </c>
      <c r="T59" t="s">
        <v>215</v>
      </c>
      <c r="U59">
        <v>1.0202462590122146E-2</v>
      </c>
      <c r="V59" t="s">
        <v>38</v>
      </c>
      <c r="X59" t="s">
        <v>6</v>
      </c>
      <c r="Y59" t="s">
        <v>215</v>
      </c>
      <c r="Z59">
        <v>1.1769034568936449E-2</v>
      </c>
      <c r="AB59" t="s">
        <v>41</v>
      </c>
      <c r="AC59" t="s">
        <v>215</v>
      </c>
      <c r="AD59">
        <v>0.19048494024607154</v>
      </c>
      <c r="AK59">
        <v>1.7694063926940638E-2</v>
      </c>
      <c r="AL59">
        <v>2.7539798954163875E-3</v>
      </c>
      <c r="AM59" t="s">
        <v>215</v>
      </c>
      <c r="AN59" t="s">
        <v>8</v>
      </c>
    </row>
    <row r="60" spans="9:40" x14ac:dyDescent="0.25">
      <c r="I60" t="s">
        <v>37</v>
      </c>
      <c r="J60" t="s">
        <v>216</v>
      </c>
      <c r="K60">
        <v>6.0886653577635742E-4</v>
      </c>
      <c r="L60" t="s">
        <v>38</v>
      </c>
      <c r="N60" t="s">
        <v>39</v>
      </c>
      <c r="O60" t="s">
        <v>216</v>
      </c>
      <c r="P60">
        <v>2.1798138102531498E-3</v>
      </c>
      <c r="Q60" t="s">
        <v>38</v>
      </c>
      <c r="S60" t="s">
        <v>40</v>
      </c>
      <c r="T60" t="s">
        <v>216</v>
      </c>
      <c r="U60">
        <v>2.210818457484655E-3</v>
      </c>
      <c r="V60" t="s">
        <v>38</v>
      </c>
      <c r="X60" t="s">
        <v>6</v>
      </c>
      <c r="Y60" t="s">
        <v>216</v>
      </c>
      <c r="Z60">
        <v>3.1968510763847715E-3</v>
      </c>
      <c r="AB60" t="s">
        <v>41</v>
      </c>
      <c r="AC60" t="s">
        <v>216</v>
      </c>
      <c r="AD60">
        <v>8.3220953579669743E-2</v>
      </c>
      <c r="AK60">
        <v>3.5388127853881279E-3</v>
      </c>
      <c r="AL60">
        <v>1.7880317231434744E-3</v>
      </c>
      <c r="AM60" t="s">
        <v>216</v>
      </c>
      <c r="AN60" t="s">
        <v>8</v>
      </c>
    </row>
    <row r="61" spans="9:40" x14ac:dyDescent="0.25">
      <c r="I61" t="s">
        <v>37</v>
      </c>
      <c r="J61" t="s">
        <v>217</v>
      </c>
      <c r="K61">
        <v>7.9353716330898133E-2</v>
      </c>
      <c r="L61" t="s">
        <v>38</v>
      </c>
      <c r="N61" t="s">
        <v>39</v>
      </c>
      <c r="O61" t="s">
        <v>217</v>
      </c>
      <c r="P61">
        <v>1.8940340001646461E-2</v>
      </c>
      <c r="Q61" t="s">
        <v>38</v>
      </c>
      <c r="S61" t="s">
        <v>40</v>
      </c>
      <c r="T61" t="s">
        <v>217</v>
      </c>
      <c r="U61">
        <v>1.6864455331560578E-2</v>
      </c>
      <c r="V61" t="s">
        <v>38</v>
      </c>
      <c r="X61" t="s">
        <v>6</v>
      </c>
      <c r="Y61" t="s">
        <v>217</v>
      </c>
      <c r="Z61">
        <v>3.2223575987753272E-2</v>
      </c>
      <c r="AB61" t="s">
        <v>41</v>
      </c>
      <c r="AC61" t="s">
        <v>217</v>
      </c>
      <c r="AD61">
        <v>0.13302798794592263</v>
      </c>
      <c r="AK61">
        <v>3.1849315068493152E-2</v>
      </c>
      <c r="AL61">
        <v>4.2573651890709309E-2</v>
      </c>
      <c r="AM61" t="s">
        <v>217</v>
      </c>
      <c r="AN61" t="s">
        <v>8</v>
      </c>
    </row>
    <row r="62" spans="9:40" x14ac:dyDescent="0.25">
      <c r="I62" t="s">
        <v>37</v>
      </c>
      <c r="J62" t="s">
        <v>218</v>
      </c>
      <c r="K62">
        <v>1.051366716307979E-2</v>
      </c>
      <c r="L62" t="s">
        <v>38</v>
      </c>
      <c r="N62" t="s">
        <v>39</v>
      </c>
      <c r="O62" t="s">
        <v>218</v>
      </c>
      <c r="P62">
        <v>2.0888380494942529E-3</v>
      </c>
      <c r="Q62" t="s">
        <v>38</v>
      </c>
      <c r="S62" t="s">
        <v>40</v>
      </c>
      <c r="T62" t="s">
        <v>218</v>
      </c>
      <c r="U62">
        <v>1.6669475385308668E-3</v>
      </c>
      <c r="V62" t="s">
        <v>38</v>
      </c>
      <c r="X62" t="s">
        <v>6</v>
      </c>
      <c r="Y62" t="s">
        <v>218</v>
      </c>
      <c r="Z62">
        <v>3.5826792587668973E-3</v>
      </c>
      <c r="AB62" t="s">
        <v>41</v>
      </c>
      <c r="AC62" t="s">
        <v>218</v>
      </c>
      <c r="AD62">
        <v>0.12222621383369714</v>
      </c>
      <c r="AK62">
        <v>3.5388127853881279E-3</v>
      </c>
      <c r="AL62">
        <v>5.3435430806586613E-3</v>
      </c>
      <c r="AM62" t="s">
        <v>218</v>
      </c>
      <c r="AN62" t="s">
        <v>8</v>
      </c>
    </row>
    <row r="63" spans="9:40" x14ac:dyDescent="0.25">
      <c r="I63" t="s">
        <v>37</v>
      </c>
      <c r="J63" t="s">
        <v>219</v>
      </c>
      <c r="K63">
        <v>2.5529289669338068E-2</v>
      </c>
      <c r="L63" t="s">
        <v>38</v>
      </c>
      <c r="N63" t="s">
        <v>39</v>
      </c>
      <c r="O63" t="s">
        <v>219</v>
      </c>
      <c r="P63">
        <v>6.384001207595154E-3</v>
      </c>
      <c r="Q63" t="s">
        <v>38</v>
      </c>
      <c r="S63" t="s">
        <v>40</v>
      </c>
      <c r="T63" t="s">
        <v>219</v>
      </c>
      <c r="U63">
        <v>5.0301633097141838E-3</v>
      </c>
      <c r="V63" t="s">
        <v>38</v>
      </c>
      <c r="X63" t="s">
        <v>6</v>
      </c>
      <c r="Y63" t="s">
        <v>219</v>
      </c>
      <c r="Z63">
        <v>1.0443674380475474E-2</v>
      </c>
      <c r="AB63" t="s">
        <v>41</v>
      </c>
      <c r="AC63" t="s">
        <v>219</v>
      </c>
      <c r="AD63">
        <v>0.14218811713592494</v>
      </c>
      <c r="AK63">
        <v>1.0616438356164383E-2</v>
      </c>
      <c r="AL63">
        <v>1.9113442557740598E-2</v>
      </c>
      <c r="AM63" t="s">
        <v>219</v>
      </c>
      <c r="AN63" t="s">
        <v>8</v>
      </c>
    </row>
    <row r="64" spans="9:40" x14ac:dyDescent="0.25">
      <c r="I64" t="s">
        <v>37</v>
      </c>
      <c r="J64" t="s">
        <v>220</v>
      </c>
      <c r="K64">
        <v>4.6391059379533011E-3</v>
      </c>
      <c r="L64" t="s">
        <v>38</v>
      </c>
      <c r="N64" t="s">
        <v>39</v>
      </c>
      <c r="O64" t="s">
        <v>220</v>
      </c>
      <c r="P64">
        <v>2.1959310017349138E-3</v>
      </c>
      <c r="Q64" t="s">
        <v>38</v>
      </c>
      <c r="S64" t="s">
        <v>40</v>
      </c>
      <c r="T64" t="s">
        <v>220</v>
      </c>
      <c r="U64">
        <v>1.8021776019594032E-3</v>
      </c>
      <c r="V64" t="s">
        <v>38</v>
      </c>
      <c r="X64" t="s">
        <v>6</v>
      </c>
      <c r="Y64" t="s">
        <v>220</v>
      </c>
      <c r="Z64">
        <v>3.3046036596121428E-3</v>
      </c>
      <c r="AB64" t="s">
        <v>41</v>
      </c>
      <c r="AC64" t="s">
        <v>220</v>
      </c>
      <c r="AD64">
        <v>7.4598899168520916E-2</v>
      </c>
      <c r="AK64">
        <v>3.5388127853881279E-3</v>
      </c>
      <c r="AL64">
        <v>4.8297408613645603E-3</v>
      </c>
      <c r="AM64" t="s">
        <v>220</v>
      </c>
      <c r="AN64" t="s">
        <v>8</v>
      </c>
    </row>
    <row r="65" spans="9:40" x14ac:dyDescent="0.25">
      <c r="I65" t="s">
        <v>37</v>
      </c>
      <c r="J65" t="s">
        <v>221</v>
      </c>
      <c r="K65">
        <v>1.8105606074451286E-3</v>
      </c>
      <c r="L65" t="s">
        <v>38</v>
      </c>
      <c r="N65" t="s">
        <v>39</v>
      </c>
      <c r="O65" t="s">
        <v>221</v>
      </c>
      <c r="P65">
        <v>2.2178104383695925E-3</v>
      </c>
      <c r="Q65" t="s">
        <v>38</v>
      </c>
      <c r="S65" t="s">
        <v>40</v>
      </c>
      <c r="T65" t="s">
        <v>221</v>
      </c>
      <c r="U65">
        <v>1.9695517183469509E-3</v>
      </c>
      <c r="V65" t="s">
        <v>38</v>
      </c>
      <c r="X65" t="s">
        <v>6</v>
      </c>
      <c r="Y65" t="s">
        <v>221</v>
      </c>
      <c r="Z65">
        <v>3.0860863497889088E-3</v>
      </c>
      <c r="AB65" t="s">
        <v>41</v>
      </c>
      <c r="AC65" t="s">
        <v>221</v>
      </c>
      <c r="AD65">
        <v>7.6812039312039282E-2</v>
      </c>
      <c r="AK65">
        <v>3.5388127853881279E-3</v>
      </c>
      <c r="AL65">
        <v>3.3910946473410734E-3</v>
      </c>
      <c r="AM65" t="s">
        <v>221</v>
      </c>
      <c r="AN65" t="s">
        <v>8</v>
      </c>
    </row>
    <row r="66" spans="9:40" x14ac:dyDescent="0.25">
      <c r="I66" t="s">
        <v>37</v>
      </c>
      <c r="J66" t="s">
        <v>222</v>
      </c>
      <c r="K66">
        <v>0</v>
      </c>
      <c r="L66" t="s">
        <v>38</v>
      </c>
      <c r="N66" t="s">
        <v>39</v>
      </c>
      <c r="O66" t="s">
        <v>222</v>
      </c>
      <c r="P66">
        <v>6.4915635787050601E-3</v>
      </c>
      <c r="Q66" t="s">
        <v>38</v>
      </c>
      <c r="S66" t="s">
        <v>40</v>
      </c>
      <c r="T66" t="s">
        <v>222</v>
      </c>
      <c r="U66">
        <v>6.8272411038891711E-3</v>
      </c>
      <c r="V66" t="s">
        <v>38</v>
      </c>
      <c r="X66" t="s">
        <v>6</v>
      </c>
      <c r="Y66" t="s">
        <v>222</v>
      </c>
      <c r="Z66">
        <v>7.1800170407158078E-3</v>
      </c>
      <c r="AB66" t="s">
        <v>41</v>
      </c>
      <c r="AC66" t="s">
        <v>222</v>
      </c>
      <c r="AD66">
        <v>8.6677737239548636E-2</v>
      </c>
      <c r="AK66">
        <v>1.0616438356164383E-2</v>
      </c>
      <c r="AL66">
        <v>5.1380221929410216E-3</v>
      </c>
      <c r="AM66" t="s">
        <v>222</v>
      </c>
      <c r="AN66" t="s">
        <v>8</v>
      </c>
    </row>
    <row r="67" spans="9:40" x14ac:dyDescent="0.25">
      <c r="I67" t="s">
        <v>37</v>
      </c>
      <c r="J67" t="s">
        <v>223</v>
      </c>
      <c r="K67">
        <v>0</v>
      </c>
      <c r="L67" t="s">
        <v>38</v>
      </c>
      <c r="N67" t="s">
        <v>39</v>
      </c>
      <c r="O67" t="s">
        <v>223</v>
      </c>
      <c r="P67">
        <v>1.3414713041431431E-2</v>
      </c>
      <c r="Q67" t="s">
        <v>38</v>
      </c>
      <c r="S67" t="s">
        <v>40</v>
      </c>
      <c r="T67" t="s">
        <v>223</v>
      </c>
      <c r="U67">
        <v>1.2231130477103983E-2</v>
      </c>
      <c r="V67" t="s">
        <v>38</v>
      </c>
      <c r="X67" t="s">
        <v>6</v>
      </c>
      <c r="Y67" t="s">
        <v>223</v>
      </c>
      <c r="Z67">
        <v>1.2479406550232053E-2</v>
      </c>
      <c r="AB67" t="s">
        <v>41</v>
      </c>
      <c r="AC67" t="s">
        <v>223</v>
      </c>
      <c r="AD67">
        <v>0.18108543793659315</v>
      </c>
      <c r="AK67">
        <v>1.7123287671232876E-2</v>
      </c>
      <c r="AL67">
        <v>2.6651418342739236E-3</v>
      </c>
      <c r="AM67" t="s">
        <v>223</v>
      </c>
      <c r="AN67" t="s">
        <v>8</v>
      </c>
    </row>
    <row r="68" spans="9:40" x14ac:dyDescent="0.25">
      <c r="I68" t="s">
        <v>37</v>
      </c>
      <c r="J68" t="s">
        <v>224</v>
      </c>
      <c r="K68">
        <v>0</v>
      </c>
      <c r="L68" t="s">
        <v>38</v>
      </c>
      <c r="N68" t="s">
        <v>39</v>
      </c>
      <c r="O68" t="s">
        <v>224</v>
      </c>
      <c r="P68">
        <v>2.7423572054086093E-3</v>
      </c>
      <c r="Q68" t="s">
        <v>38</v>
      </c>
      <c r="S68" t="s">
        <v>40</v>
      </c>
      <c r="T68" t="s">
        <v>224</v>
      </c>
      <c r="U68">
        <v>2.5414472883406227E-3</v>
      </c>
      <c r="V68" t="s">
        <v>38</v>
      </c>
      <c r="X68" t="s">
        <v>6</v>
      </c>
      <c r="Y68" t="s">
        <v>224</v>
      </c>
      <c r="Z68">
        <v>3.2085270479097765E-3</v>
      </c>
      <c r="AB68" t="s">
        <v>41</v>
      </c>
      <c r="AC68" t="s">
        <v>224</v>
      </c>
      <c r="AD68">
        <v>6.4311594202898448E-2</v>
      </c>
      <c r="AK68">
        <v>3.4246575342465752E-3</v>
      </c>
      <c r="AL68">
        <v>1.7303532804614269E-3</v>
      </c>
      <c r="AM68" t="s">
        <v>224</v>
      </c>
      <c r="AN68" t="s">
        <v>8</v>
      </c>
    </row>
    <row r="69" spans="9:40" x14ac:dyDescent="0.25">
      <c r="I69" t="s">
        <v>37</v>
      </c>
      <c r="J69" t="s">
        <v>225</v>
      </c>
      <c r="K69">
        <v>6.4345262171371237E-2</v>
      </c>
      <c r="L69" t="s">
        <v>38</v>
      </c>
      <c r="N69" t="s">
        <v>39</v>
      </c>
      <c r="O69" t="s">
        <v>225</v>
      </c>
      <c r="P69">
        <v>2.4147570222827121E-2</v>
      </c>
      <c r="Q69" t="s">
        <v>38</v>
      </c>
      <c r="S69" t="s">
        <v>40</v>
      </c>
      <c r="T69" t="s">
        <v>225</v>
      </c>
      <c r="U69">
        <v>1.7622547037098448E-2</v>
      </c>
      <c r="V69" t="s">
        <v>38</v>
      </c>
      <c r="X69" t="s">
        <v>6</v>
      </c>
      <c r="Y69" t="s">
        <v>225</v>
      </c>
      <c r="Z69">
        <v>3.083751184846777E-2</v>
      </c>
      <c r="AB69" t="s">
        <v>41</v>
      </c>
      <c r="AC69" t="s">
        <v>225</v>
      </c>
      <c r="AD69">
        <v>7.0835240604223415E-2</v>
      </c>
      <c r="AK69">
        <v>3.0821917808219176E-2</v>
      </c>
      <c r="AL69">
        <v>4.1200308281331581E-2</v>
      </c>
      <c r="AM69" t="s">
        <v>225</v>
      </c>
      <c r="AN69" t="s">
        <v>8</v>
      </c>
    </row>
    <row r="70" spans="9:40" x14ac:dyDescent="0.25">
      <c r="I70" t="s">
        <v>37</v>
      </c>
      <c r="J70" t="s">
        <v>226</v>
      </c>
      <c r="K70">
        <v>8.9574470643704138E-3</v>
      </c>
      <c r="L70" t="s">
        <v>38</v>
      </c>
      <c r="N70" t="s">
        <v>39</v>
      </c>
      <c r="O70" t="s">
        <v>226</v>
      </c>
      <c r="P70">
        <v>2.5723416999614622E-3</v>
      </c>
      <c r="Q70" t="s">
        <v>38</v>
      </c>
      <c r="S70" t="s">
        <v>40</v>
      </c>
      <c r="T70" t="s">
        <v>226</v>
      </c>
      <c r="U70">
        <v>1.8897334506337809E-3</v>
      </c>
      <c r="V70" t="s">
        <v>38</v>
      </c>
      <c r="X70" t="s">
        <v>6</v>
      </c>
      <c r="Y70" t="s">
        <v>226</v>
      </c>
      <c r="Z70">
        <v>3.3954168523638584E-3</v>
      </c>
      <c r="AB70" t="s">
        <v>41</v>
      </c>
      <c r="AC70" t="s">
        <v>226</v>
      </c>
      <c r="AD70">
        <v>6.3070900391474449E-2</v>
      </c>
      <c r="AK70">
        <v>3.4246575342465752E-3</v>
      </c>
      <c r="AL70">
        <v>5.1711707232180593E-3</v>
      </c>
      <c r="AM70" t="s">
        <v>226</v>
      </c>
      <c r="AN70" t="s">
        <v>8</v>
      </c>
    </row>
    <row r="71" spans="9:40" x14ac:dyDescent="0.25">
      <c r="I71" t="s">
        <v>37</v>
      </c>
      <c r="J71" t="s">
        <v>227</v>
      </c>
      <c r="K71">
        <v>1.7932625613388081E-2</v>
      </c>
      <c r="L71" t="s">
        <v>38</v>
      </c>
      <c r="N71" t="s">
        <v>39</v>
      </c>
      <c r="O71" t="s">
        <v>227</v>
      </c>
      <c r="P71">
        <v>8.5989387221216494E-3</v>
      </c>
      <c r="Q71" t="s">
        <v>38</v>
      </c>
      <c r="S71" t="s">
        <v>40</v>
      </c>
      <c r="T71" t="s">
        <v>227</v>
      </c>
      <c r="U71">
        <v>6.8568953803538613E-3</v>
      </c>
      <c r="V71" t="s">
        <v>38</v>
      </c>
      <c r="X71" t="s">
        <v>6</v>
      </c>
      <c r="Y71" t="s">
        <v>227</v>
      </c>
      <c r="Z71">
        <v>1.0075759661711028E-2</v>
      </c>
      <c r="AB71" t="s">
        <v>41</v>
      </c>
      <c r="AC71" t="s">
        <v>227</v>
      </c>
      <c r="AD71">
        <v>6.8798223053542218E-2</v>
      </c>
      <c r="AK71">
        <v>1.0273972602739725E-2</v>
      </c>
      <c r="AL71">
        <v>1.8496879894587679E-2</v>
      </c>
      <c r="AM71" t="s">
        <v>227</v>
      </c>
      <c r="AN71" t="s">
        <v>8</v>
      </c>
    </row>
    <row r="72" spans="9:40" x14ac:dyDescent="0.25">
      <c r="I72" t="s">
        <v>37</v>
      </c>
      <c r="J72" t="s">
        <v>228</v>
      </c>
      <c r="K72">
        <v>1.1273184373715762E-3</v>
      </c>
      <c r="L72" t="s">
        <v>38</v>
      </c>
      <c r="N72" t="s">
        <v>39</v>
      </c>
      <c r="O72" t="s">
        <v>228</v>
      </c>
      <c r="P72">
        <v>3.0455539504721314E-3</v>
      </c>
      <c r="Q72" t="s">
        <v>38</v>
      </c>
      <c r="S72" t="s">
        <v>40</v>
      </c>
      <c r="T72" t="s">
        <v>228</v>
      </c>
      <c r="U72">
        <v>2.7487812191153474E-3</v>
      </c>
      <c r="V72" t="s">
        <v>38</v>
      </c>
      <c r="X72" t="s">
        <v>6</v>
      </c>
      <c r="Y72" t="s">
        <v>228</v>
      </c>
      <c r="Z72">
        <v>3.168821521688763E-3</v>
      </c>
      <c r="AB72" t="s">
        <v>41</v>
      </c>
      <c r="AC72" t="s">
        <v>228</v>
      </c>
      <c r="AD72">
        <v>4.5385318306427225E-2</v>
      </c>
      <c r="AK72">
        <v>3.4246575342465752E-3</v>
      </c>
      <c r="AL72">
        <v>4.6739427690624773E-3</v>
      </c>
      <c r="AM72" t="s">
        <v>228</v>
      </c>
      <c r="AN72" t="s">
        <v>8</v>
      </c>
    </row>
    <row r="73" spans="9:40" x14ac:dyDescent="0.25">
      <c r="I73" t="s">
        <v>37</v>
      </c>
      <c r="J73" t="s">
        <v>229</v>
      </c>
      <c r="K73">
        <v>0</v>
      </c>
      <c r="L73" t="s">
        <v>38</v>
      </c>
      <c r="N73" t="s">
        <v>39</v>
      </c>
      <c r="O73" t="s">
        <v>229</v>
      </c>
      <c r="P73">
        <v>3.0500856393189386E-3</v>
      </c>
      <c r="Q73" t="s">
        <v>38</v>
      </c>
      <c r="S73" t="s">
        <v>40</v>
      </c>
      <c r="T73" t="s">
        <v>229</v>
      </c>
      <c r="U73">
        <v>2.8119450739076336E-3</v>
      </c>
      <c r="V73" t="s">
        <v>38</v>
      </c>
      <c r="X73" t="s">
        <v>6</v>
      </c>
      <c r="Y73" t="s">
        <v>229</v>
      </c>
      <c r="Z73">
        <v>3.0313582515994601E-3</v>
      </c>
      <c r="AB73" t="s">
        <v>41</v>
      </c>
      <c r="AC73" t="s">
        <v>229</v>
      </c>
      <c r="AD73">
        <v>5.7625840507760984E-2</v>
      </c>
      <c r="AK73">
        <v>3.4246575342465752E-3</v>
      </c>
      <c r="AL73">
        <v>3.2817044974268452E-3</v>
      </c>
      <c r="AM73" t="s">
        <v>229</v>
      </c>
      <c r="AN73" t="s">
        <v>8</v>
      </c>
    </row>
    <row r="74" spans="9:40" x14ac:dyDescent="0.25">
      <c r="I74" t="s">
        <v>37</v>
      </c>
      <c r="J74" t="s">
        <v>230</v>
      </c>
      <c r="K74">
        <v>0</v>
      </c>
      <c r="L74" t="s">
        <v>38</v>
      </c>
      <c r="N74" t="s">
        <v>39</v>
      </c>
      <c r="O74" t="s">
        <v>230</v>
      </c>
      <c r="P74">
        <v>8.8989408350922498E-3</v>
      </c>
      <c r="Q74" t="s">
        <v>38</v>
      </c>
      <c r="S74" t="s">
        <v>40</v>
      </c>
      <c r="T74" t="s">
        <v>230</v>
      </c>
      <c r="U74">
        <v>8.4397239728012316E-3</v>
      </c>
      <c r="V74" t="s">
        <v>38</v>
      </c>
      <c r="X74" t="s">
        <v>6</v>
      </c>
      <c r="Y74" t="s">
        <v>230</v>
      </c>
      <c r="Z74">
        <v>7.52173591644624E-3</v>
      </c>
      <c r="AB74" t="s">
        <v>41</v>
      </c>
      <c r="AC74" t="s">
        <v>230</v>
      </c>
      <c r="AD74">
        <v>0.11650832202300165</v>
      </c>
      <c r="AK74">
        <v>1.0273972602739725E-2</v>
      </c>
      <c r="AL74">
        <v>4.9722795415558275E-3</v>
      </c>
      <c r="AM74" t="s">
        <v>230</v>
      </c>
      <c r="AN74" t="s">
        <v>8</v>
      </c>
    </row>
    <row r="75" spans="9:40" x14ac:dyDescent="0.25">
      <c r="I75" t="s">
        <v>37</v>
      </c>
      <c r="J75" t="s">
        <v>231</v>
      </c>
      <c r="K75">
        <v>0</v>
      </c>
      <c r="L75" t="s">
        <v>38</v>
      </c>
      <c r="N75" t="s">
        <v>39</v>
      </c>
      <c r="O75" t="s">
        <v>231</v>
      </c>
      <c r="P75">
        <v>2.0943324799647056E-2</v>
      </c>
      <c r="Q75" t="s">
        <v>38</v>
      </c>
      <c r="S75" t="s">
        <v>40</v>
      </c>
      <c r="T75" t="s">
        <v>231</v>
      </c>
      <c r="U75">
        <v>2.3799790409075382E-2</v>
      </c>
      <c r="V75" t="s">
        <v>38</v>
      </c>
      <c r="X75" t="s">
        <v>6</v>
      </c>
      <c r="Y75" t="s">
        <v>231</v>
      </c>
      <c r="Z75">
        <v>1.4531792155247624E-2</v>
      </c>
      <c r="AB75" t="s">
        <v>41</v>
      </c>
      <c r="AC75" t="s">
        <v>231</v>
      </c>
      <c r="AD75">
        <v>0.18651348267063317</v>
      </c>
      <c r="AK75">
        <v>1.7694063926940638E-2</v>
      </c>
      <c r="AL75">
        <v>2.7539798954163875E-3</v>
      </c>
      <c r="AM75" t="s">
        <v>231</v>
      </c>
      <c r="AN75" t="s">
        <v>8</v>
      </c>
    </row>
    <row r="76" spans="9:40" x14ac:dyDescent="0.25">
      <c r="I76" t="s">
        <v>37</v>
      </c>
      <c r="J76" t="s">
        <v>232</v>
      </c>
      <c r="K76">
        <v>0</v>
      </c>
      <c r="L76" t="s">
        <v>38</v>
      </c>
      <c r="N76" t="s">
        <v>39</v>
      </c>
      <c r="O76" t="s">
        <v>232</v>
      </c>
      <c r="P76">
        <v>4.1796499292267144E-3</v>
      </c>
      <c r="Q76" t="s">
        <v>38</v>
      </c>
      <c r="S76" t="s">
        <v>40</v>
      </c>
      <c r="T76" t="s">
        <v>232</v>
      </c>
      <c r="U76">
        <v>4.6943549359922216E-3</v>
      </c>
      <c r="V76" t="s">
        <v>38</v>
      </c>
      <c r="X76" t="s">
        <v>6</v>
      </c>
      <c r="Y76" t="s">
        <v>232</v>
      </c>
      <c r="Z76">
        <v>3.4369611769699262E-3</v>
      </c>
      <c r="AB76" t="s">
        <v>41</v>
      </c>
      <c r="AC76" t="s">
        <v>232</v>
      </c>
      <c r="AD76">
        <v>7.1312480396909184E-2</v>
      </c>
      <c r="AK76">
        <v>3.5388127853881279E-3</v>
      </c>
      <c r="AL76">
        <v>1.7880317231434744E-3</v>
      </c>
      <c r="AM76" t="s">
        <v>232</v>
      </c>
      <c r="AN76" t="s">
        <v>8</v>
      </c>
    </row>
    <row r="77" spans="9:40" x14ac:dyDescent="0.25">
      <c r="I77" t="s">
        <v>37</v>
      </c>
      <c r="J77" t="s">
        <v>233</v>
      </c>
      <c r="K77">
        <v>2.8660929714589219E-2</v>
      </c>
      <c r="L77" t="s">
        <v>38</v>
      </c>
      <c r="N77" t="s">
        <v>39</v>
      </c>
      <c r="O77" t="s">
        <v>233</v>
      </c>
      <c r="P77">
        <v>3.8594145638266464E-2</v>
      </c>
      <c r="Q77" t="s">
        <v>38</v>
      </c>
      <c r="S77" t="s">
        <v>40</v>
      </c>
      <c r="T77" t="s">
        <v>233</v>
      </c>
      <c r="U77">
        <v>4.0906031707432434E-2</v>
      </c>
      <c r="V77" t="s">
        <v>38</v>
      </c>
      <c r="X77" t="s">
        <v>6</v>
      </c>
      <c r="Y77" t="s">
        <v>233</v>
      </c>
      <c r="Z77">
        <v>3.3008975782873033E-2</v>
      </c>
      <c r="AB77" t="s">
        <v>41</v>
      </c>
      <c r="AC77" t="s">
        <v>233</v>
      </c>
      <c r="AD77">
        <v>5.4249646316247624E-2</v>
      </c>
      <c r="AK77">
        <v>3.1849315068493152E-2</v>
      </c>
      <c r="AL77">
        <v>4.2573651890709309E-2</v>
      </c>
      <c r="AM77" t="s">
        <v>233</v>
      </c>
      <c r="AN77" t="s">
        <v>8</v>
      </c>
    </row>
    <row r="78" spans="9:40" x14ac:dyDescent="0.25">
      <c r="I78" t="s">
        <v>37</v>
      </c>
      <c r="J78" t="s">
        <v>234</v>
      </c>
      <c r="K78">
        <v>4.2748600280489643E-3</v>
      </c>
      <c r="L78" t="s">
        <v>38</v>
      </c>
      <c r="N78" t="s">
        <v>39</v>
      </c>
      <c r="O78" t="s">
        <v>234</v>
      </c>
      <c r="P78">
        <v>4.1977833399114931E-3</v>
      </c>
      <c r="Q78" t="s">
        <v>38</v>
      </c>
      <c r="S78" t="s">
        <v>40</v>
      </c>
      <c r="T78" t="s">
        <v>234</v>
      </c>
      <c r="U78">
        <v>4.4645975669885072E-3</v>
      </c>
      <c r="V78" t="s">
        <v>38</v>
      </c>
      <c r="X78" t="s">
        <v>6</v>
      </c>
      <c r="Y78" t="s">
        <v>234</v>
      </c>
      <c r="Z78">
        <v>3.6936779413299283E-3</v>
      </c>
      <c r="AB78" t="s">
        <v>41</v>
      </c>
      <c r="AC78" t="s">
        <v>234</v>
      </c>
      <c r="AD78">
        <v>4.0437395117198127E-2</v>
      </c>
      <c r="AK78">
        <v>3.5388127853881279E-3</v>
      </c>
      <c r="AL78">
        <v>5.3435430806586613E-3</v>
      </c>
      <c r="AM78" t="s">
        <v>234</v>
      </c>
      <c r="AN78" t="s">
        <v>8</v>
      </c>
    </row>
    <row r="79" spans="9:40" x14ac:dyDescent="0.25">
      <c r="I79" t="s">
        <v>37</v>
      </c>
      <c r="J79" t="s">
        <v>235</v>
      </c>
      <c r="K79">
        <v>4.8297163299620303E-3</v>
      </c>
      <c r="L79" t="s">
        <v>38</v>
      </c>
      <c r="N79" t="s">
        <v>39</v>
      </c>
      <c r="O79" t="s">
        <v>235</v>
      </c>
      <c r="P79">
        <v>1.2688605625850254E-2</v>
      </c>
      <c r="Q79" t="s">
        <v>38</v>
      </c>
      <c r="S79" t="s">
        <v>40</v>
      </c>
      <c r="T79" t="s">
        <v>235</v>
      </c>
      <c r="U79">
        <v>1.4970527701678138E-2</v>
      </c>
      <c r="V79" t="s">
        <v>38</v>
      </c>
      <c r="X79" t="s">
        <v>6</v>
      </c>
      <c r="Y79" t="s">
        <v>235</v>
      </c>
      <c r="Z79">
        <v>1.1021201703442948E-2</v>
      </c>
      <c r="AB79" t="s">
        <v>41</v>
      </c>
      <c r="AC79" t="s">
        <v>235</v>
      </c>
      <c r="AD79">
        <v>5.8033894620519888E-2</v>
      </c>
      <c r="AK79">
        <v>1.0616438356164383E-2</v>
      </c>
      <c r="AL79">
        <v>1.9113442557740598E-2</v>
      </c>
      <c r="AM79" t="s">
        <v>235</v>
      </c>
      <c r="AN79" t="s">
        <v>8</v>
      </c>
    </row>
    <row r="80" spans="9:40" x14ac:dyDescent="0.25">
      <c r="I80" t="s">
        <v>37</v>
      </c>
      <c r="J80" t="s">
        <v>236</v>
      </c>
      <c r="K80">
        <v>0</v>
      </c>
      <c r="L80" t="s">
        <v>38</v>
      </c>
      <c r="N80" t="s">
        <v>39</v>
      </c>
      <c r="O80" t="s">
        <v>236</v>
      </c>
      <c r="P80">
        <v>4.186646365032653E-3</v>
      </c>
      <c r="Q80" t="s">
        <v>38</v>
      </c>
      <c r="S80" t="s">
        <v>40</v>
      </c>
      <c r="T80" t="s">
        <v>236</v>
      </c>
      <c r="U80">
        <v>5.2364436962856111E-3</v>
      </c>
      <c r="V80" t="s">
        <v>38</v>
      </c>
      <c r="X80" t="s">
        <v>6</v>
      </c>
      <c r="Y80" t="s">
        <v>236</v>
      </c>
      <c r="Z80">
        <v>3.5152769045506843E-3</v>
      </c>
      <c r="AB80" t="s">
        <v>41</v>
      </c>
      <c r="AC80" t="s">
        <v>236</v>
      </c>
      <c r="AD80">
        <v>5.3250287573997745E-2</v>
      </c>
      <c r="AK80">
        <v>3.5388127853881279E-3</v>
      </c>
      <c r="AL80">
        <v>4.8297408613645603E-3</v>
      </c>
      <c r="AM80" t="s">
        <v>236</v>
      </c>
      <c r="AN80" t="s">
        <v>8</v>
      </c>
    </row>
    <row r="81" spans="9:40" x14ac:dyDescent="0.25">
      <c r="I81" t="s">
        <v>37</v>
      </c>
      <c r="J81" t="s">
        <v>237</v>
      </c>
      <c r="K81">
        <v>0</v>
      </c>
      <c r="L81" t="s">
        <v>38</v>
      </c>
      <c r="N81" t="s">
        <v>39</v>
      </c>
      <c r="O81" t="s">
        <v>237</v>
      </c>
      <c r="P81">
        <v>4.1856555676755497E-3</v>
      </c>
      <c r="Q81" t="s">
        <v>38</v>
      </c>
      <c r="S81" t="s">
        <v>40</v>
      </c>
      <c r="T81" t="s">
        <v>237</v>
      </c>
      <c r="U81">
        <v>5.1790920461977068E-3</v>
      </c>
      <c r="V81" t="s">
        <v>38</v>
      </c>
      <c r="X81" t="s">
        <v>6</v>
      </c>
      <c r="Y81" t="s">
        <v>237</v>
      </c>
      <c r="Z81">
        <v>3.2851217680764633E-3</v>
      </c>
      <c r="AB81" t="s">
        <v>41</v>
      </c>
      <c r="AC81" t="s">
        <v>237</v>
      </c>
      <c r="AD81">
        <v>6.1568812201872714E-2</v>
      </c>
      <c r="AK81">
        <v>3.5388127853881279E-3</v>
      </c>
      <c r="AL81">
        <v>3.3910946473410734E-3</v>
      </c>
      <c r="AM81" t="s">
        <v>237</v>
      </c>
      <c r="AN81" t="s">
        <v>8</v>
      </c>
    </row>
    <row r="82" spans="9:40" x14ac:dyDescent="0.25">
      <c r="I82" t="s">
        <v>37</v>
      </c>
      <c r="J82" t="s">
        <v>238</v>
      </c>
      <c r="K82">
        <v>0</v>
      </c>
      <c r="L82" t="s">
        <v>38</v>
      </c>
      <c r="N82" t="s">
        <v>39</v>
      </c>
      <c r="O82" t="s">
        <v>238</v>
      </c>
      <c r="P82">
        <v>1.302626194222594E-2</v>
      </c>
      <c r="Q82" t="s">
        <v>38</v>
      </c>
      <c r="S82" t="s">
        <v>40</v>
      </c>
      <c r="T82" t="s">
        <v>238</v>
      </c>
      <c r="U82">
        <v>1.5148143155734907E-2</v>
      </c>
      <c r="V82" t="s">
        <v>38</v>
      </c>
      <c r="X82" t="s">
        <v>6</v>
      </c>
      <c r="Y82" t="s">
        <v>238</v>
      </c>
      <c r="Z82">
        <v>8.5823239842190962E-3</v>
      </c>
      <c r="AB82" t="s">
        <v>41</v>
      </c>
      <c r="AC82" t="s">
        <v>238</v>
      </c>
      <c r="AD82">
        <v>0.10288590314079582</v>
      </c>
      <c r="AK82">
        <v>1.0616438356164383E-2</v>
      </c>
      <c r="AL82">
        <v>5.1380221929410216E-3</v>
      </c>
      <c r="AM82" t="s">
        <v>238</v>
      </c>
      <c r="AN82" t="s">
        <v>8</v>
      </c>
    </row>
    <row r="83" spans="9:40" x14ac:dyDescent="0.25">
      <c r="I83" t="s">
        <v>37</v>
      </c>
      <c r="J83" t="s">
        <v>239</v>
      </c>
      <c r="K83">
        <v>0</v>
      </c>
      <c r="L83" t="s">
        <v>38</v>
      </c>
      <c r="N83" t="s">
        <v>39</v>
      </c>
      <c r="O83" t="s">
        <v>239</v>
      </c>
      <c r="P83">
        <v>2.3025577895510151E-2</v>
      </c>
      <c r="Q83" t="s">
        <v>38</v>
      </c>
      <c r="S83" t="s">
        <v>40</v>
      </c>
      <c r="T83" t="s">
        <v>239</v>
      </c>
      <c r="U83">
        <v>2.8958185146315298E-2</v>
      </c>
      <c r="V83" t="s">
        <v>38</v>
      </c>
      <c r="X83" t="s">
        <v>6</v>
      </c>
      <c r="Y83" t="s">
        <v>239</v>
      </c>
      <c r="Z83">
        <v>1.5033124372636795E-2</v>
      </c>
      <c r="AB83" t="s">
        <v>41</v>
      </c>
      <c r="AC83" t="s">
        <v>239</v>
      </c>
      <c r="AD83">
        <v>0.15444548610231323</v>
      </c>
      <c r="AK83">
        <v>1.7123287671232876E-2</v>
      </c>
      <c r="AL83">
        <v>2.6651418342739236E-3</v>
      </c>
      <c r="AM83" t="s">
        <v>239</v>
      </c>
      <c r="AN83" t="s">
        <v>8</v>
      </c>
    </row>
    <row r="84" spans="9:40" x14ac:dyDescent="0.25">
      <c r="I84" t="s">
        <v>37</v>
      </c>
      <c r="J84" t="s">
        <v>240</v>
      </c>
      <c r="K84">
        <v>0</v>
      </c>
      <c r="L84" t="s">
        <v>38</v>
      </c>
      <c r="N84" t="s">
        <v>39</v>
      </c>
      <c r="O84" t="s">
        <v>240</v>
      </c>
      <c r="P84">
        <v>4.3629421465161983E-3</v>
      </c>
      <c r="Q84" t="s">
        <v>38</v>
      </c>
      <c r="S84" t="s">
        <v>40</v>
      </c>
      <c r="T84" t="s">
        <v>240</v>
      </c>
      <c r="U84">
        <v>5.3142948607101973E-3</v>
      </c>
      <c r="V84" t="s">
        <v>38</v>
      </c>
      <c r="X84" t="s">
        <v>6</v>
      </c>
      <c r="Y84" t="s">
        <v>240</v>
      </c>
      <c r="Z84">
        <v>3.4906763138438132E-3</v>
      </c>
      <c r="AB84" t="s">
        <v>41</v>
      </c>
      <c r="AC84" t="s">
        <v>240</v>
      </c>
      <c r="AD84">
        <v>7.5792531829445453E-2</v>
      </c>
      <c r="AK84">
        <v>3.4246575342465752E-3</v>
      </c>
      <c r="AL84">
        <v>1.7303532804614269E-3</v>
      </c>
      <c r="AM84" t="s">
        <v>240</v>
      </c>
      <c r="AN84" t="s">
        <v>8</v>
      </c>
    </row>
    <row r="85" spans="9:40" x14ac:dyDescent="0.25">
      <c r="I85" t="s">
        <v>37</v>
      </c>
      <c r="J85" t="s">
        <v>241</v>
      </c>
      <c r="K85">
        <v>1.2092888687475101E-2</v>
      </c>
      <c r="L85" t="s">
        <v>38</v>
      </c>
      <c r="N85" t="s">
        <v>39</v>
      </c>
      <c r="O85" t="s">
        <v>241</v>
      </c>
      <c r="P85">
        <v>3.9423359964118589E-2</v>
      </c>
      <c r="Q85" t="s">
        <v>38</v>
      </c>
      <c r="S85" t="s">
        <v>40</v>
      </c>
      <c r="T85" t="s">
        <v>241</v>
      </c>
      <c r="U85">
        <v>4.6413437525458401E-2</v>
      </c>
      <c r="V85" t="s">
        <v>38</v>
      </c>
      <c r="X85" t="s">
        <v>6</v>
      </c>
      <c r="Y85" t="s">
        <v>241</v>
      </c>
      <c r="Z85">
        <v>3.2780313939305285E-2</v>
      </c>
      <c r="AB85" t="s">
        <v>41</v>
      </c>
      <c r="AC85" t="s">
        <v>241</v>
      </c>
      <c r="AD85">
        <v>4.7047814815383004E-2</v>
      </c>
      <c r="AK85">
        <v>3.0821917808219176E-2</v>
      </c>
      <c r="AL85">
        <v>4.1200308281331581E-2</v>
      </c>
      <c r="AM85" t="s">
        <v>241</v>
      </c>
      <c r="AN85" t="s">
        <v>8</v>
      </c>
    </row>
    <row r="86" spans="9:40" x14ac:dyDescent="0.25">
      <c r="I86" t="s">
        <v>37</v>
      </c>
      <c r="J86" t="s">
        <v>242</v>
      </c>
      <c r="K86">
        <v>1.5947187723850151E-3</v>
      </c>
      <c r="L86" t="s">
        <v>38</v>
      </c>
      <c r="N86" t="s">
        <v>39</v>
      </c>
      <c r="O86" t="s">
        <v>242</v>
      </c>
      <c r="P86">
        <v>4.546909942324315E-3</v>
      </c>
      <c r="Q86" t="s">
        <v>38</v>
      </c>
      <c r="S86" t="s">
        <v>40</v>
      </c>
      <c r="T86" t="s">
        <v>242</v>
      </c>
      <c r="U86">
        <v>5.0234571329943892E-3</v>
      </c>
      <c r="V86" t="s">
        <v>38</v>
      </c>
      <c r="X86" t="s">
        <v>6</v>
      </c>
      <c r="Y86" t="s">
        <v>242</v>
      </c>
      <c r="Z86">
        <v>3.7080982988057778E-3</v>
      </c>
      <c r="AB86" t="s">
        <v>41</v>
      </c>
      <c r="AC86" t="s">
        <v>242</v>
      </c>
      <c r="AD86">
        <v>2.4334414257296322E-2</v>
      </c>
      <c r="AK86">
        <v>3.4246575342465752E-3</v>
      </c>
      <c r="AL86">
        <v>5.1711707232180593E-3</v>
      </c>
      <c r="AM86" t="s">
        <v>242</v>
      </c>
      <c r="AN86" t="s">
        <v>8</v>
      </c>
    </row>
    <row r="87" spans="9:40" x14ac:dyDescent="0.25">
      <c r="I87" t="s">
        <v>37</v>
      </c>
      <c r="J87" t="s">
        <v>243</v>
      </c>
      <c r="K87">
        <v>2.5946071685456224E-4</v>
      </c>
      <c r="L87" t="s">
        <v>38</v>
      </c>
      <c r="N87" t="s">
        <v>39</v>
      </c>
      <c r="O87" t="s">
        <v>243</v>
      </c>
      <c r="P87">
        <v>1.4181559015853468E-2</v>
      </c>
      <c r="Q87" t="s">
        <v>38</v>
      </c>
      <c r="S87" t="s">
        <v>40</v>
      </c>
      <c r="T87" t="s">
        <v>243</v>
      </c>
      <c r="U87">
        <v>1.5714467189976634E-2</v>
      </c>
      <c r="V87" t="s">
        <v>38</v>
      </c>
      <c r="X87" t="s">
        <v>6</v>
      </c>
      <c r="Y87" t="s">
        <v>243</v>
      </c>
      <c r="Z87">
        <v>1.1064052029047521E-2</v>
      </c>
      <c r="AB87" t="s">
        <v>41</v>
      </c>
      <c r="AC87" t="s">
        <v>243</v>
      </c>
      <c r="AD87">
        <v>2.8444793025143467E-2</v>
      </c>
      <c r="AK87">
        <v>1.0273972602739725E-2</v>
      </c>
      <c r="AL87">
        <v>1.8496879894587679E-2</v>
      </c>
      <c r="AM87" t="s">
        <v>243</v>
      </c>
      <c r="AN87" t="s">
        <v>8</v>
      </c>
    </row>
    <row r="88" spans="9:40" x14ac:dyDescent="0.25">
      <c r="I88" t="s">
        <v>37</v>
      </c>
      <c r="J88" t="s">
        <v>244</v>
      </c>
      <c r="K88">
        <v>0</v>
      </c>
      <c r="L88" t="s">
        <v>38</v>
      </c>
      <c r="N88" t="s">
        <v>39</v>
      </c>
      <c r="O88" t="s">
        <v>244</v>
      </c>
      <c r="P88">
        <v>4.8982633655495697E-3</v>
      </c>
      <c r="Q88" t="s">
        <v>38</v>
      </c>
      <c r="S88" t="s">
        <v>40</v>
      </c>
      <c r="T88" t="s">
        <v>244</v>
      </c>
      <c r="U88">
        <v>5.6749011620939628E-3</v>
      </c>
      <c r="V88" t="s">
        <v>38</v>
      </c>
      <c r="X88" t="s">
        <v>6</v>
      </c>
      <c r="Y88" t="s">
        <v>244</v>
      </c>
      <c r="Z88">
        <v>3.6366283516079531E-3</v>
      </c>
      <c r="AB88" t="s">
        <v>41</v>
      </c>
      <c r="AC88" t="s">
        <v>244</v>
      </c>
      <c r="AD88">
        <v>3.1651693158258443E-2</v>
      </c>
      <c r="AK88">
        <v>3.4246575342465752E-3</v>
      </c>
      <c r="AL88">
        <v>4.6739427690624773E-3</v>
      </c>
      <c r="AM88" t="s">
        <v>244</v>
      </c>
      <c r="AN88" t="s">
        <v>8</v>
      </c>
    </row>
    <row r="89" spans="9:40" x14ac:dyDescent="0.25">
      <c r="I89" t="s">
        <v>37</v>
      </c>
      <c r="J89" t="s">
        <v>245</v>
      </c>
      <c r="K89">
        <v>0</v>
      </c>
      <c r="L89" t="s">
        <v>38</v>
      </c>
      <c r="N89" t="s">
        <v>39</v>
      </c>
      <c r="O89" t="s">
        <v>245</v>
      </c>
      <c r="P89">
        <v>4.8974972987533187E-3</v>
      </c>
      <c r="Q89" t="s">
        <v>38</v>
      </c>
      <c r="S89" t="s">
        <v>40</v>
      </c>
      <c r="T89" t="s">
        <v>245</v>
      </c>
      <c r="U89">
        <v>5.9069574416429089E-3</v>
      </c>
      <c r="V89" t="s">
        <v>38</v>
      </c>
      <c r="X89" t="s">
        <v>6</v>
      </c>
      <c r="Y89" t="s">
        <v>245</v>
      </c>
      <c r="Z89">
        <v>3.4442619228475251E-3</v>
      </c>
      <c r="AB89" t="s">
        <v>41</v>
      </c>
      <c r="AC89" t="s">
        <v>245</v>
      </c>
      <c r="AD89">
        <v>3.3649698015530527E-2</v>
      </c>
      <c r="AK89">
        <v>3.4246575342465752E-3</v>
      </c>
      <c r="AL89">
        <v>3.2817044974268452E-3</v>
      </c>
      <c r="AM89" t="s">
        <v>245</v>
      </c>
      <c r="AN89" t="s">
        <v>8</v>
      </c>
    </row>
    <row r="90" spans="9:40" x14ac:dyDescent="0.25">
      <c r="I90" t="s">
        <v>37</v>
      </c>
      <c r="J90" t="s">
        <v>246</v>
      </c>
      <c r="K90">
        <v>0</v>
      </c>
      <c r="L90" t="s">
        <v>38</v>
      </c>
      <c r="N90" t="s">
        <v>39</v>
      </c>
      <c r="O90" t="s">
        <v>246</v>
      </c>
      <c r="P90">
        <v>1.4381622889702992E-2</v>
      </c>
      <c r="Q90" t="s">
        <v>38</v>
      </c>
      <c r="S90" t="s">
        <v>40</v>
      </c>
      <c r="T90" t="s">
        <v>246</v>
      </c>
      <c r="U90">
        <v>1.7397707841916896E-2</v>
      </c>
      <c r="V90" t="s">
        <v>38</v>
      </c>
      <c r="X90" t="s">
        <v>6</v>
      </c>
      <c r="Y90" t="s">
        <v>246</v>
      </c>
      <c r="Z90">
        <v>9.2879827664992809E-3</v>
      </c>
      <c r="AB90" t="s">
        <v>41</v>
      </c>
      <c r="AC90" t="s">
        <v>246</v>
      </c>
      <c r="AD90">
        <v>6.8691235945758544E-2</v>
      </c>
      <c r="AK90">
        <v>1.0273972602739725E-2</v>
      </c>
      <c r="AL90">
        <v>4.9722795415558275E-3</v>
      </c>
      <c r="AM90" t="s">
        <v>246</v>
      </c>
      <c r="AN90" t="s">
        <v>8</v>
      </c>
    </row>
    <row r="91" spans="9:40" x14ac:dyDescent="0.25">
      <c r="I91" t="s">
        <v>37</v>
      </c>
      <c r="J91" t="s">
        <v>247</v>
      </c>
      <c r="K91">
        <v>0</v>
      </c>
      <c r="L91" t="s">
        <v>38</v>
      </c>
      <c r="N91" t="s">
        <v>39</v>
      </c>
      <c r="O91" t="s">
        <v>247</v>
      </c>
      <c r="P91">
        <v>2.8072250885638337E-2</v>
      </c>
      <c r="Q91" t="s">
        <v>38</v>
      </c>
      <c r="S91" t="s">
        <v>40</v>
      </c>
      <c r="T91" t="s">
        <v>247</v>
      </c>
      <c r="U91">
        <v>3.4015179399169891E-2</v>
      </c>
      <c r="V91" t="s">
        <v>38</v>
      </c>
      <c r="X91" t="s">
        <v>6</v>
      </c>
      <c r="Y91" t="s">
        <v>247</v>
      </c>
      <c r="Z91">
        <v>1.6818171731056177E-2</v>
      </c>
      <c r="AB91" t="s">
        <v>41</v>
      </c>
      <c r="AC91" t="s">
        <v>247</v>
      </c>
      <c r="AD91">
        <v>0.15496439701248277</v>
      </c>
      <c r="AK91">
        <v>1.7694063926940638E-2</v>
      </c>
      <c r="AL91">
        <v>2.7539798954163875E-3</v>
      </c>
      <c r="AM91" t="s">
        <v>247</v>
      </c>
      <c r="AN91" t="s">
        <v>8</v>
      </c>
    </row>
    <row r="92" spans="9:40" x14ac:dyDescent="0.25">
      <c r="I92" t="s">
        <v>37</v>
      </c>
      <c r="J92" t="s">
        <v>248</v>
      </c>
      <c r="K92">
        <v>0</v>
      </c>
      <c r="L92" t="s">
        <v>38</v>
      </c>
      <c r="N92" t="s">
        <v>39</v>
      </c>
      <c r="O92" t="s">
        <v>248</v>
      </c>
      <c r="P92">
        <v>5.5896667703824411E-3</v>
      </c>
      <c r="Q92" t="s">
        <v>38</v>
      </c>
      <c r="S92" t="s">
        <v>40</v>
      </c>
      <c r="T92" t="s">
        <v>248</v>
      </c>
      <c r="U92">
        <v>6.9068301300158601E-3</v>
      </c>
      <c r="V92" t="s">
        <v>38</v>
      </c>
      <c r="X92" t="s">
        <v>6</v>
      </c>
      <c r="Y92" t="s">
        <v>248</v>
      </c>
      <c r="Z92">
        <v>3.9065868799424489E-3</v>
      </c>
      <c r="AB92" t="s">
        <v>41</v>
      </c>
      <c r="AC92" t="s">
        <v>248</v>
      </c>
      <c r="AD92">
        <v>5.6754013895755628E-2</v>
      </c>
      <c r="AK92">
        <v>3.5388127853881279E-3</v>
      </c>
      <c r="AL92">
        <v>1.7880317231434744E-3</v>
      </c>
      <c r="AM92" t="s">
        <v>248</v>
      </c>
      <c r="AN92" t="s">
        <v>8</v>
      </c>
    </row>
    <row r="93" spans="9:40" x14ac:dyDescent="0.25">
      <c r="I93" t="s">
        <v>37</v>
      </c>
      <c r="J93" t="s">
        <v>249</v>
      </c>
      <c r="K93">
        <v>4.5263023002266442E-3</v>
      </c>
      <c r="L93" t="s">
        <v>38</v>
      </c>
      <c r="N93" t="s">
        <v>39</v>
      </c>
      <c r="O93" t="s">
        <v>249</v>
      </c>
      <c r="P93">
        <v>5.2160498067877814E-2</v>
      </c>
      <c r="Q93" t="s">
        <v>38</v>
      </c>
      <c r="S93" t="s">
        <v>40</v>
      </c>
      <c r="T93" t="s">
        <v>249</v>
      </c>
      <c r="U93">
        <v>6.2051860447976441E-2</v>
      </c>
      <c r="V93" t="s">
        <v>38</v>
      </c>
      <c r="X93" t="s">
        <v>6</v>
      </c>
      <c r="Y93" t="s">
        <v>249</v>
      </c>
      <c r="Z93">
        <v>3.5563456793290427E-2</v>
      </c>
      <c r="AB93" t="s">
        <v>41</v>
      </c>
      <c r="AC93" t="s">
        <v>249</v>
      </c>
      <c r="AD93">
        <v>3.9812162964109721E-2</v>
      </c>
      <c r="AK93">
        <v>3.1849315068493152E-2</v>
      </c>
      <c r="AL93">
        <v>4.2573651890709309E-2</v>
      </c>
      <c r="AM93" t="s">
        <v>249</v>
      </c>
      <c r="AN93" t="s">
        <v>8</v>
      </c>
    </row>
    <row r="94" spans="9:40" x14ac:dyDescent="0.25">
      <c r="I94" t="s">
        <v>37</v>
      </c>
      <c r="J94" t="s">
        <v>250</v>
      </c>
      <c r="K94">
        <v>6.3906024040864611E-4</v>
      </c>
      <c r="L94" t="s">
        <v>38</v>
      </c>
      <c r="N94" t="s">
        <v>39</v>
      </c>
      <c r="O94" t="s">
        <v>250</v>
      </c>
      <c r="P94">
        <v>5.7232433259009723E-3</v>
      </c>
      <c r="Q94" t="s">
        <v>38</v>
      </c>
      <c r="S94" t="s">
        <v>40</v>
      </c>
      <c r="T94" t="s">
        <v>250</v>
      </c>
      <c r="U94">
        <v>6.6994698073323845E-3</v>
      </c>
      <c r="V94" t="s">
        <v>38</v>
      </c>
      <c r="X94" t="s">
        <v>6</v>
      </c>
      <c r="Y94" t="s">
        <v>250</v>
      </c>
      <c r="Z94">
        <v>3.9965404341741938E-3</v>
      </c>
      <c r="AB94" t="s">
        <v>41</v>
      </c>
      <c r="AC94" t="s">
        <v>250</v>
      </c>
      <c r="AD94">
        <v>1.6783503044568437E-2</v>
      </c>
      <c r="AK94">
        <v>3.5388127853881279E-3</v>
      </c>
      <c r="AL94">
        <v>5.3435430806586613E-3</v>
      </c>
      <c r="AM94" t="s">
        <v>250</v>
      </c>
      <c r="AN94" t="s">
        <v>8</v>
      </c>
    </row>
    <row r="95" spans="9:40" x14ac:dyDescent="0.25">
      <c r="I95" t="s">
        <v>37</v>
      </c>
      <c r="J95" t="s">
        <v>251</v>
      </c>
      <c r="K95">
        <v>0</v>
      </c>
      <c r="L95" t="s">
        <v>38</v>
      </c>
      <c r="N95" t="s">
        <v>39</v>
      </c>
      <c r="O95" t="s">
        <v>251</v>
      </c>
      <c r="P95">
        <v>1.7713351772220418E-2</v>
      </c>
      <c r="Q95" t="s">
        <v>38</v>
      </c>
      <c r="S95" t="s">
        <v>40</v>
      </c>
      <c r="T95" t="s">
        <v>251</v>
      </c>
      <c r="U95">
        <v>2.1047393680301358E-2</v>
      </c>
      <c r="V95" t="s">
        <v>38</v>
      </c>
      <c r="X95" t="s">
        <v>6</v>
      </c>
      <c r="Y95" t="s">
        <v>251</v>
      </c>
      <c r="Z95">
        <v>1.1924586388884714E-2</v>
      </c>
      <c r="AB95" t="s">
        <v>41</v>
      </c>
      <c r="AC95" t="s">
        <v>251</v>
      </c>
      <c r="AD95">
        <v>2.0919140628344879E-2</v>
      </c>
      <c r="AK95">
        <v>1.0616438356164383E-2</v>
      </c>
      <c r="AL95">
        <v>1.9113442557740598E-2</v>
      </c>
      <c r="AM95" t="s">
        <v>251</v>
      </c>
      <c r="AN95" t="s">
        <v>8</v>
      </c>
    </row>
    <row r="96" spans="9:40" x14ac:dyDescent="0.25">
      <c r="I96" t="s">
        <v>37</v>
      </c>
      <c r="J96" t="s">
        <v>252</v>
      </c>
      <c r="K96">
        <v>0</v>
      </c>
      <c r="L96" t="s">
        <v>38</v>
      </c>
      <c r="N96" t="s">
        <v>39</v>
      </c>
      <c r="O96" t="s">
        <v>252</v>
      </c>
      <c r="P96">
        <v>6.0051350434172949E-3</v>
      </c>
      <c r="Q96" t="s">
        <v>38</v>
      </c>
      <c r="S96" t="s">
        <v>40</v>
      </c>
      <c r="T96" t="s">
        <v>252</v>
      </c>
      <c r="U96">
        <v>7.3470933267043058E-3</v>
      </c>
      <c r="V96" t="s">
        <v>38</v>
      </c>
      <c r="X96" t="s">
        <v>6</v>
      </c>
      <c r="Y96" t="s">
        <v>252</v>
      </c>
      <c r="Z96">
        <v>3.8462070969649763E-3</v>
      </c>
      <c r="AB96" t="s">
        <v>41</v>
      </c>
      <c r="AC96" t="s">
        <v>252</v>
      </c>
      <c r="AD96">
        <v>1.516268295251133E-2</v>
      </c>
      <c r="AK96">
        <v>3.5388127853881279E-3</v>
      </c>
      <c r="AL96">
        <v>4.8297408613645603E-3</v>
      </c>
      <c r="AM96" t="s">
        <v>252</v>
      </c>
      <c r="AN96" t="s">
        <v>8</v>
      </c>
    </row>
    <row r="97" spans="9:40" x14ac:dyDescent="0.25">
      <c r="I97" t="s">
        <v>37</v>
      </c>
      <c r="J97" t="s">
        <v>253</v>
      </c>
      <c r="K97">
        <v>0</v>
      </c>
      <c r="L97" t="s">
        <v>38</v>
      </c>
      <c r="N97" t="s">
        <v>39</v>
      </c>
      <c r="O97" t="s">
        <v>253</v>
      </c>
      <c r="P97">
        <v>5.980710060184042E-3</v>
      </c>
      <c r="Q97" t="s">
        <v>38</v>
      </c>
      <c r="S97" t="s">
        <v>40</v>
      </c>
      <c r="T97" t="s">
        <v>253</v>
      </c>
      <c r="U97">
        <v>7.3535563287540897E-3</v>
      </c>
      <c r="V97" t="s">
        <v>38</v>
      </c>
      <c r="X97" t="s">
        <v>6</v>
      </c>
      <c r="Y97" t="s">
        <v>253</v>
      </c>
      <c r="Z97">
        <v>3.6420659259459023E-3</v>
      </c>
      <c r="AB97" t="s">
        <v>41</v>
      </c>
      <c r="AC97" t="s">
        <v>253</v>
      </c>
      <c r="AD97">
        <v>1.7563087377044706E-2</v>
      </c>
      <c r="AK97">
        <v>3.5388127853881279E-3</v>
      </c>
      <c r="AL97">
        <v>3.3910946473410734E-3</v>
      </c>
      <c r="AM97" t="s">
        <v>253</v>
      </c>
      <c r="AN97" t="s">
        <v>8</v>
      </c>
    </row>
    <row r="98" spans="9:40" x14ac:dyDescent="0.25">
      <c r="I98" t="s">
        <v>37</v>
      </c>
      <c r="J98" t="s">
        <v>254</v>
      </c>
      <c r="K98">
        <v>0</v>
      </c>
      <c r="L98" t="s">
        <v>38</v>
      </c>
      <c r="N98" t="s">
        <v>39</v>
      </c>
      <c r="O98" t="s">
        <v>254</v>
      </c>
      <c r="P98">
        <v>1.7593816799919105E-2</v>
      </c>
      <c r="Q98" t="s">
        <v>38</v>
      </c>
      <c r="S98" t="s">
        <v>40</v>
      </c>
      <c r="T98" t="s">
        <v>254</v>
      </c>
      <c r="U98">
        <v>2.1718373213278262E-2</v>
      </c>
      <c r="V98" t="s">
        <v>38</v>
      </c>
      <c r="X98" t="s">
        <v>6</v>
      </c>
      <c r="Y98" t="s">
        <v>254</v>
      </c>
      <c r="Z98">
        <v>1.0138933033800368E-2</v>
      </c>
      <c r="AB98" t="s">
        <v>41</v>
      </c>
      <c r="AC98" t="s">
        <v>254</v>
      </c>
      <c r="AD98">
        <v>4.4379753424393487E-2</v>
      </c>
      <c r="AK98">
        <v>1.0616438356164383E-2</v>
      </c>
      <c r="AL98">
        <v>5.1380221929410216E-3</v>
      </c>
      <c r="AM98" t="s">
        <v>254</v>
      </c>
      <c r="AN98" t="s">
        <v>8</v>
      </c>
    </row>
    <row r="99" spans="9:40" x14ac:dyDescent="0.25">
      <c r="I99" t="s">
        <v>43</v>
      </c>
      <c r="J99" t="s">
        <v>159</v>
      </c>
      <c r="K99">
        <v>0</v>
      </c>
      <c r="L99" t="s">
        <v>38</v>
      </c>
      <c r="N99" t="s">
        <v>44</v>
      </c>
      <c r="O99" t="s">
        <v>159</v>
      </c>
      <c r="P99">
        <v>1.9871126513821284E-2</v>
      </c>
      <c r="Q99" t="s">
        <v>38</v>
      </c>
      <c r="S99" t="s">
        <v>45</v>
      </c>
      <c r="T99" t="s">
        <v>159</v>
      </c>
      <c r="U99">
        <v>2.0820519694306493E-2</v>
      </c>
      <c r="V99" t="s">
        <v>38</v>
      </c>
      <c r="X99" t="s">
        <v>5</v>
      </c>
      <c r="Y99" t="s">
        <v>159</v>
      </c>
      <c r="Z99">
        <v>1.7573439583804459E-2</v>
      </c>
    </row>
    <row r="100" spans="9:40" x14ac:dyDescent="0.25">
      <c r="I100" t="s">
        <v>43</v>
      </c>
      <c r="J100" t="s">
        <v>160</v>
      </c>
      <c r="K100">
        <v>0</v>
      </c>
      <c r="L100" t="s">
        <v>38</v>
      </c>
      <c r="N100" t="s">
        <v>44</v>
      </c>
      <c r="O100" t="s">
        <v>160</v>
      </c>
      <c r="P100">
        <v>4.2074733146987816E-3</v>
      </c>
      <c r="Q100" t="s">
        <v>38</v>
      </c>
      <c r="S100" t="s">
        <v>45</v>
      </c>
      <c r="T100" t="s">
        <v>160</v>
      </c>
      <c r="U100">
        <v>4.0598855548454301E-3</v>
      </c>
      <c r="V100" t="s">
        <v>38</v>
      </c>
      <c r="X100" t="s">
        <v>5</v>
      </c>
      <c r="Y100" t="s">
        <v>160</v>
      </c>
      <c r="Z100">
        <v>3.549030522775862E-3</v>
      </c>
    </row>
    <row r="101" spans="9:40" x14ac:dyDescent="0.25">
      <c r="I101" t="s">
        <v>43</v>
      </c>
      <c r="J101" t="s">
        <v>161</v>
      </c>
      <c r="K101">
        <v>9.1387691323202656E-3</v>
      </c>
      <c r="L101" t="s">
        <v>38</v>
      </c>
      <c r="N101" t="s">
        <v>44</v>
      </c>
      <c r="O101" t="s">
        <v>161</v>
      </c>
      <c r="P101">
        <v>3.8299052036862326E-2</v>
      </c>
      <c r="Q101" t="s">
        <v>38</v>
      </c>
      <c r="S101" t="s">
        <v>45</v>
      </c>
      <c r="T101" t="s">
        <v>161</v>
      </c>
      <c r="U101">
        <v>3.731287735758114E-2</v>
      </c>
      <c r="V101" t="s">
        <v>38</v>
      </c>
      <c r="X101" t="s">
        <v>5</v>
      </c>
      <c r="Y101" t="s">
        <v>161</v>
      </c>
      <c r="Z101">
        <v>3.2008138253697617E-2</v>
      </c>
    </row>
    <row r="102" spans="9:40" x14ac:dyDescent="0.25">
      <c r="I102" t="s">
        <v>43</v>
      </c>
      <c r="J102" t="s">
        <v>162</v>
      </c>
      <c r="K102">
        <v>1.5057382092192859E-3</v>
      </c>
      <c r="L102" t="s">
        <v>38</v>
      </c>
      <c r="N102" t="s">
        <v>44</v>
      </c>
      <c r="O102" t="s">
        <v>162</v>
      </c>
      <c r="P102">
        <v>4.2831615076360857E-3</v>
      </c>
      <c r="Q102" t="s">
        <v>38</v>
      </c>
      <c r="S102" t="s">
        <v>45</v>
      </c>
      <c r="T102" t="s">
        <v>162</v>
      </c>
      <c r="U102">
        <v>4.3195157142512939E-3</v>
      </c>
      <c r="V102" t="s">
        <v>38</v>
      </c>
      <c r="X102" t="s">
        <v>5</v>
      </c>
      <c r="Y102" t="s">
        <v>162</v>
      </c>
      <c r="Z102">
        <v>3.5595926097493078E-3</v>
      </c>
    </row>
    <row r="103" spans="9:40" x14ac:dyDescent="0.25">
      <c r="I103" t="s">
        <v>43</v>
      </c>
      <c r="J103" t="s">
        <v>163</v>
      </c>
      <c r="K103">
        <v>6.7621095169986909E-4</v>
      </c>
      <c r="L103" t="s">
        <v>38</v>
      </c>
      <c r="N103" t="s">
        <v>44</v>
      </c>
      <c r="O103" t="s">
        <v>163</v>
      </c>
      <c r="P103">
        <v>1.3048805151839194E-2</v>
      </c>
      <c r="Q103" t="s">
        <v>38</v>
      </c>
      <c r="S103" t="s">
        <v>45</v>
      </c>
      <c r="T103" t="s">
        <v>163</v>
      </c>
      <c r="U103">
        <v>1.2383257565429379E-2</v>
      </c>
      <c r="V103" t="s">
        <v>38</v>
      </c>
      <c r="X103" t="s">
        <v>5</v>
      </c>
      <c r="Y103" t="s">
        <v>163</v>
      </c>
      <c r="Z103">
        <v>1.0678471251817045E-2</v>
      </c>
    </row>
    <row r="104" spans="9:40" x14ac:dyDescent="0.25">
      <c r="I104" t="s">
        <v>43</v>
      </c>
      <c r="J104" t="s">
        <v>164</v>
      </c>
      <c r="K104">
        <v>0</v>
      </c>
      <c r="L104" t="s">
        <v>38</v>
      </c>
      <c r="N104" t="s">
        <v>44</v>
      </c>
      <c r="O104" t="s">
        <v>164</v>
      </c>
      <c r="P104">
        <v>4.3129850481404284E-3</v>
      </c>
      <c r="Q104" t="s">
        <v>38</v>
      </c>
      <c r="S104" t="s">
        <v>45</v>
      </c>
      <c r="T104" t="s">
        <v>164</v>
      </c>
      <c r="U104">
        <v>4.016331094755023E-3</v>
      </c>
      <c r="V104" t="s">
        <v>38</v>
      </c>
      <c r="X104" t="s">
        <v>5</v>
      </c>
      <c r="Y104" t="s">
        <v>164</v>
      </c>
      <c r="Z104">
        <v>3.5562894851714701E-3</v>
      </c>
    </row>
    <row r="105" spans="9:40" x14ac:dyDescent="0.25">
      <c r="I105" t="s">
        <v>43</v>
      </c>
      <c r="J105" t="s">
        <v>165</v>
      </c>
      <c r="K105">
        <v>0</v>
      </c>
      <c r="L105" t="s">
        <v>38</v>
      </c>
      <c r="N105" t="s">
        <v>44</v>
      </c>
      <c r="O105" t="s">
        <v>165</v>
      </c>
      <c r="P105">
        <v>4.2309565980505268E-3</v>
      </c>
      <c r="Q105" t="s">
        <v>38</v>
      </c>
      <c r="S105" t="s">
        <v>45</v>
      </c>
      <c r="T105" t="s">
        <v>165</v>
      </c>
      <c r="U105">
        <v>3.9668818421926847E-3</v>
      </c>
      <c r="V105" t="s">
        <v>38</v>
      </c>
      <c r="X105" t="s">
        <v>5</v>
      </c>
      <c r="Y105" t="s">
        <v>165</v>
      </c>
      <c r="Z105">
        <v>3.5440857255036491E-3</v>
      </c>
    </row>
    <row r="106" spans="9:40" x14ac:dyDescent="0.25">
      <c r="I106" t="s">
        <v>43</v>
      </c>
      <c r="J106" t="s">
        <v>166</v>
      </c>
      <c r="K106">
        <v>0</v>
      </c>
      <c r="L106" t="s">
        <v>38</v>
      </c>
      <c r="N106" t="s">
        <v>44</v>
      </c>
      <c r="O106" t="s">
        <v>166</v>
      </c>
      <c r="P106">
        <v>1.1810072150121764E-2</v>
      </c>
      <c r="Q106" t="s">
        <v>38</v>
      </c>
      <c r="S106" t="s">
        <v>45</v>
      </c>
      <c r="T106" t="s">
        <v>166</v>
      </c>
      <c r="U106">
        <v>1.1702313925163382E-2</v>
      </c>
      <c r="V106" t="s">
        <v>38</v>
      </c>
      <c r="X106" t="s">
        <v>5</v>
      </c>
      <c r="Y106" t="s">
        <v>166</v>
      </c>
      <c r="Z106">
        <v>1.0554198606771802E-2</v>
      </c>
    </row>
    <row r="107" spans="9:40" x14ac:dyDescent="0.25">
      <c r="I107" t="s">
        <v>43</v>
      </c>
      <c r="J107" t="s">
        <v>167</v>
      </c>
      <c r="K107">
        <v>0</v>
      </c>
      <c r="L107" t="s">
        <v>38</v>
      </c>
      <c r="N107" t="s">
        <v>44</v>
      </c>
      <c r="O107" t="s">
        <v>167</v>
      </c>
      <c r="P107">
        <v>1.2337553737453134E-2</v>
      </c>
      <c r="Q107" t="s">
        <v>38</v>
      </c>
      <c r="S107" t="s">
        <v>45</v>
      </c>
      <c r="T107" t="s">
        <v>167</v>
      </c>
      <c r="U107">
        <v>9.4007239184482998E-3</v>
      </c>
      <c r="V107" t="s">
        <v>38</v>
      </c>
      <c r="X107" t="s">
        <v>5</v>
      </c>
      <c r="Y107" t="s">
        <v>167</v>
      </c>
      <c r="Z107">
        <v>1.5916331913035826E-2</v>
      </c>
    </row>
    <row r="108" spans="9:40" x14ac:dyDescent="0.25">
      <c r="I108" t="s">
        <v>43</v>
      </c>
      <c r="J108" t="s">
        <v>168</v>
      </c>
      <c r="K108">
        <v>0</v>
      </c>
      <c r="L108" t="s">
        <v>38</v>
      </c>
      <c r="N108" t="s">
        <v>44</v>
      </c>
      <c r="O108" t="s">
        <v>168</v>
      </c>
      <c r="P108">
        <v>2.7921166924791065E-3</v>
      </c>
      <c r="Q108" t="s">
        <v>38</v>
      </c>
      <c r="S108" t="s">
        <v>45</v>
      </c>
      <c r="T108" t="s">
        <v>168</v>
      </c>
      <c r="U108">
        <v>2.1052256854811472E-3</v>
      </c>
      <c r="V108" t="s">
        <v>38</v>
      </c>
      <c r="X108" t="s">
        <v>5</v>
      </c>
      <c r="Y108" t="s">
        <v>168</v>
      </c>
      <c r="Z108">
        <v>3.2085184733168996E-3</v>
      </c>
    </row>
    <row r="109" spans="9:40" x14ac:dyDescent="0.25">
      <c r="I109" t="s">
        <v>43</v>
      </c>
      <c r="J109" t="s">
        <v>169</v>
      </c>
      <c r="K109">
        <v>2.2419034808399543E-2</v>
      </c>
      <c r="L109" t="s">
        <v>38</v>
      </c>
      <c r="N109" t="s">
        <v>44</v>
      </c>
      <c r="O109" t="s">
        <v>169</v>
      </c>
      <c r="P109">
        <v>2.4521323345972283E-2</v>
      </c>
      <c r="Q109" t="s">
        <v>38</v>
      </c>
      <c r="S109" t="s">
        <v>45</v>
      </c>
      <c r="T109" t="s">
        <v>169</v>
      </c>
      <c r="U109">
        <v>1.9821154701339994E-2</v>
      </c>
      <c r="V109" t="s">
        <v>38</v>
      </c>
      <c r="X109" t="s">
        <v>5</v>
      </c>
      <c r="Y109" t="s">
        <v>169</v>
      </c>
      <c r="Z109">
        <v>2.8854869593476187E-2</v>
      </c>
    </row>
    <row r="110" spans="9:40" x14ac:dyDescent="0.25">
      <c r="I110" t="s">
        <v>43</v>
      </c>
      <c r="J110" t="s">
        <v>170</v>
      </c>
      <c r="K110">
        <v>4.1666017235693761E-3</v>
      </c>
      <c r="L110" t="s">
        <v>38</v>
      </c>
      <c r="N110" t="s">
        <v>44</v>
      </c>
      <c r="O110" t="s">
        <v>170</v>
      </c>
      <c r="P110">
        <v>2.4746281561900513E-3</v>
      </c>
      <c r="Q110" t="s">
        <v>38</v>
      </c>
      <c r="S110" t="s">
        <v>45</v>
      </c>
      <c r="T110" t="s">
        <v>170</v>
      </c>
      <c r="U110">
        <v>2.3802602483602967E-3</v>
      </c>
      <c r="V110" t="s">
        <v>38</v>
      </c>
      <c r="X110" t="s">
        <v>5</v>
      </c>
      <c r="Y110" t="s">
        <v>170</v>
      </c>
      <c r="Z110">
        <v>3.2092305241240983E-3</v>
      </c>
    </row>
    <row r="111" spans="9:40" x14ac:dyDescent="0.25">
      <c r="I111" t="s">
        <v>43</v>
      </c>
      <c r="J111" t="s">
        <v>171</v>
      </c>
      <c r="K111">
        <v>4.5270081680102211E-3</v>
      </c>
      <c r="L111" t="s">
        <v>38</v>
      </c>
      <c r="N111" t="s">
        <v>44</v>
      </c>
      <c r="O111" t="s">
        <v>171</v>
      </c>
      <c r="P111">
        <v>7.696644795984098E-3</v>
      </c>
      <c r="Q111" t="s">
        <v>38</v>
      </c>
      <c r="S111" t="s">
        <v>45</v>
      </c>
      <c r="T111" t="s">
        <v>171</v>
      </c>
      <c r="U111">
        <v>7.2602863850256497E-3</v>
      </c>
      <c r="V111" t="s">
        <v>38</v>
      </c>
      <c r="X111" t="s">
        <v>5</v>
      </c>
      <c r="Y111" t="s">
        <v>171</v>
      </c>
      <c r="Z111">
        <v>9.6277410203450178E-3</v>
      </c>
    </row>
    <row r="112" spans="9:40" x14ac:dyDescent="0.25">
      <c r="I112" t="s">
        <v>43</v>
      </c>
      <c r="J112" t="s">
        <v>172</v>
      </c>
      <c r="K112">
        <v>0</v>
      </c>
      <c r="L112" t="s">
        <v>38</v>
      </c>
      <c r="N112" t="s">
        <v>44</v>
      </c>
      <c r="O112" t="s">
        <v>172</v>
      </c>
      <c r="P112">
        <v>2.6292099241547757E-3</v>
      </c>
      <c r="Q112" t="s">
        <v>38</v>
      </c>
      <c r="S112" t="s">
        <v>45</v>
      </c>
      <c r="T112" t="s">
        <v>172</v>
      </c>
      <c r="U112">
        <v>2.3490813710653137E-3</v>
      </c>
      <c r="V112" t="s">
        <v>38</v>
      </c>
      <c r="X112" t="s">
        <v>5</v>
      </c>
      <c r="Y112" t="s">
        <v>172</v>
      </c>
      <c r="Z112">
        <v>3.2091711865568314E-3</v>
      </c>
    </row>
    <row r="113" spans="9:26" x14ac:dyDescent="0.25">
      <c r="I113" t="s">
        <v>43</v>
      </c>
      <c r="J113" t="s">
        <v>173</v>
      </c>
      <c r="K113">
        <v>0</v>
      </c>
      <c r="L113" t="s">
        <v>38</v>
      </c>
      <c r="N113" t="s">
        <v>44</v>
      </c>
      <c r="O113" t="s">
        <v>173</v>
      </c>
      <c r="P113">
        <v>2.5411176397030096E-3</v>
      </c>
      <c r="Q113" t="s">
        <v>38</v>
      </c>
      <c r="S113" t="s">
        <v>45</v>
      </c>
      <c r="T113" t="s">
        <v>173</v>
      </c>
      <c r="U113">
        <v>2.1938488537845574E-3</v>
      </c>
      <c r="V113" t="s">
        <v>38</v>
      </c>
      <c r="X113" t="s">
        <v>5</v>
      </c>
      <c r="Y113" t="s">
        <v>173</v>
      </c>
      <c r="Z113">
        <v>3.1953059750055479E-3</v>
      </c>
    </row>
    <row r="114" spans="9:26" x14ac:dyDescent="0.25">
      <c r="I114" t="s">
        <v>43</v>
      </c>
      <c r="J114" t="s">
        <v>174</v>
      </c>
      <c r="K114">
        <v>0</v>
      </c>
      <c r="L114" t="s">
        <v>38</v>
      </c>
      <c r="N114" t="s">
        <v>44</v>
      </c>
      <c r="O114" t="s">
        <v>174</v>
      </c>
      <c r="P114">
        <v>7.097331838249535E-3</v>
      </c>
      <c r="Q114" t="s">
        <v>38</v>
      </c>
      <c r="S114" t="s">
        <v>45</v>
      </c>
      <c r="T114" t="s">
        <v>174</v>
      </c>
      <c r="U114">
        <v>6.2396317077534893E-3</v>
      </c>
      <c r="V114" t="s">
        <v>38</v>
      </c>
      <c r="X114" t="s">
        <v>5</v>
      </c>
      <c r="Y114" t="s">
        <v>174</v>
      </c>
      <c r="Z114">
        <v>9.546962812106154E-3</v>
      </c>
    </row>
    <row r="115" spans="9:26" x14ac:dyDescent="0.25">
      <c r="I115" t="s">
        <v>43</v>
      </c>
      <c r="J115" t="s">
        <v>175</v>
      </c>
      <c r="K115">
        <v>0</v>
      </c>
      <c r="L115" t="s">
        <v>38</v>
      </c>
      <c r="N115" t="s">
        <v>44</v>
      </c>
      <c r="O115" t="s">
        <v>175</v>
      </c>
      <c r="P115">
        <v>1.6046147740137733E-2</v>
      </c>
      <c r="Q115" t="s">
        <v>38</v>
      </c>
      <c r="S115" t="s">
        <v>45</v>
      </c>
      <c r="T115" t="s">
        <v>175</v>
      </c>
      <c r="U115">
        <v>1.6634287505993654E-2</v>
      </c>
      <c r="V115" t="s">
        <v>38</v>
      </c>
      <c r="X115" t="s">
        <v>5</v>
      </c>
      <c r="Y115" t="s">
        <v>175</v>
      </c>
      <c r="Z115">
        <v>1.7589283950463944E-2</v>
      </c>
    </row>
    <row r="116" spans="9:26" x14ac:dyDescent="0.25">
      <c r="I116" t="s">
        <v>43</v>
      </c>
      <c r="J116" t="s">
        <v>176</v>
      </c>
      <c r="K116">
        <v>0</v>
      </c>
      <c r="L116" t="s">
        <v>38</v>
      </c>
      <c r="N116" t="s">
        <v>44</v>
      </c>
      <c r="O116" t="s">
        <v>176</v>
      </c>
      <c r="P116">
        <v>3.0799086897004596E-3</v>
      </c>
      <c r="Q116" t="s">
        <v>38</v>
      </c>
      <c r="S116" t="s">
        <v>45</v>
      </c>
      <c r="T116" t="s">
        <v>176</v>
      </c>
      <c r="U116">
        <v>3.1256330795168645E-3</v>
      </c>
      <c r="V116" t="s">
        <v>38</v>
      </c>
      <c r="X116" t="s">
        <v>5</v>
      </c>
      <c r="Y116" t="s">
        <v>176</v>
      </c>
      <c r="Z116">
        <v>3.5536709677759697E-3</v>
      </c>
    </row>
    <row r="117" spans="9:26" x14ac:dyDescent="0.25">
      <c r="I117" t="s">
        <v>43</v>
      </c>
      <c r="J117" t="s">
        <v>177</v>
      </c>
      <c r="K117">
        <v>8.0548586550543838E-2</v>
      </c>
      <c r="L117" t="s">
        <v>38</v>
      </c>
      <c r="N117" t="s">
        <v>44</v>
      </c>
      <c r="O117" t="s">
        <v>177</v>
      </c>
      <c r="P117">
        <v>2.3954299118315845E-2</v>
      </c>
      <c r="Q117" t="s">
        <v>38</v>
      </c>
      <c r="S117" t="s">
        <v>45</v>
      </c>
      <c r="T117" t="s">
        <v>177</v>
      </c>
      <c r="U117">
        <v>2.6905947160185149E-2</v>
      </c>
      <c r="V117" t="s">
        <v>38</v>
      </c>
      <c r="X117" t="s">
        <v>5</v>
      </c>
      <c r="Y117" t="s">
        <v>177</v>
      </c>
      <c r="Z117">
        <v>3.2007396781346641E-2</v>
      </c>
    </row>
    <row r="118" spans="9:26" x14ac:dyDescent="0.25">
      <c r="I118" t="s">
        <v>43</v>
      </c>
      <c r="J118" t="s">
        <v>178</v>
      </c>
      <c r="K118">
        <v>1.2674229354858379E-2</v>
      </c>
      <c r="L118" t="s">
        <v>38</v>
      </c>
      <c r="N118" t="s">
        <v>44</v>
      </c>
      <c r="O118" t="s">
        <v>178</v>
      </c>
      <c r="P118">
        <v>3.2920050467493945E-3</v>
      </c>
      <c r="Q118" t="s">
        <v>38</v>
      </c>
      <c r="S118" t="s">
        <v>45</v>
      </c>
      <c r="T118" t="s">
        <v>178</v>
      </c>
      <c r="U118">
        <v>3.4704430568936809E-3</v>
      </c>
      <c r="V118" t="s">
        <v>38</v>
      </c>
      <c r="X118" t="s">
        <v>5</v>
      </c>
      <c r="Y118" t="s">
        <v>178</v>
      </c>
      <c r="Z118">
        <v>3.5703744929615035E-3</v>
      </c>
    </row>
    <row r="119" spans="9:26" x14ac:dyDescent="0.25">
      <c r="I119" t="s">
        <v>43</v>
      </c>
      <c r="J119" t="s">
        <v>179</v>
      </c>
      <c r="K119">
        <v>2.4409888634826151E-2</v>
      </c>
      <c r="L119" t="s">
        <v>38</v>
      </c>
      <c r="N119" t="s">
        <v>44</v>
      </c>
      <c r="O119" t="s">
        <v>179</v>
      </c>
      <c r="P119">
        <v>1.1111633265841218E-2</v>
      </c>
      <c r="Q119" t="s">
        <v>38</v>
      </c>
      <c r="S119" t="s">
        <v>45</v>
      </c>
      <c r="T119" t="s">
        <v>179</v>
      </c>
      <c r="U119">
        <v>1.1493082431732422E-2</v>
      </c>
      <c r="V119" t="s">
        <v>38</v>
      </c>
      <c r="X119" t="s">
        <v>5</v>
      </c>
      <c r="Y119" t="s">
        <v>179</v>
      </c>
      <c r="Z119">
        <v>1.0713378306440639E-2</v>
      </c>
    </row>
    <row r="120" spans="9:26" x14ac:dyDescent="0.25">
      <c r="I120" t="s">
        <v>43</v>
      </c>
      <c r="J120" t="s">
        <v>180</v>
      </c>
      <c r="K120">
        <v>2.6897304004032391E-4</v>
      </c>
      <c r="L120" t="s">
        <v>38</v>
      </c>
      <c r="N120" t="s">
        <v>44</v>
      </c>
      <c r="O120" t="s">
        <v>180</v>
      </c>
      <c r="P120">
        <v>4.1554038764640248E-3</v>
      </c>
      <c r="Q120" t="s">
        <v>38</v>
      </c>
      <c r="S120" t="s">
        <v>45</v>
      </c>
      <c r="T120" t="s">
        <v>180</v>
      </c>
      <c r="U120">
        <v>4.0573303573277503E-3</v>
      </c>
      <c r="V120" t="s">
        <v>38</v>
      </c>
      <c r="X120" t="s">
        <v>5</v>
      </c>
      <c r="Y120" t="s">
        <v>180</v>
      </c>
      <c r="Z120">
        <v>3.5532852735887369E-3</v>
      </c>
    </row>
    <row r="121" spans="9:26" x14ac:dyDescent="0.25">
      <c r="I121" t="s">
        <v>43</v>
      </c>
      <c r="J121" t="s">
        <v>181</v>
      </c>
      <c r="K121">
        <v>0</v>
      </c>
      <c r="L121" t="s">
        <v>38</v>
      </c>
      <c r="N121" t="s">
        <v>44</v>
      </c>
      <c r="O121" t="s">
        <v>181</v>
      </c>
      <c r="P121">
        <v>4.2034439424482907E-3</v>
      </c>
      <c r="Q121" t="s">
        <v>38</v>
      </c>
      <c r="S121" t="s">
        <v>45</v>
      </c>
      <c r="T121" t="s">
        <v>181</v>
      </c>
      <c r="U121">
        <v>4.0022576729557245E-3</v>
      </c>
      <c r="V121" t="s">
        <v>38</v>
      </c>
      <c r="X121" t="s">
        <v>5</v>
      </c>
      <c r="Y121" t="s">
        <v>181</v>
      </c>
      <c r="Z121">
        <v>3.5378871748830676E-3</v>
      </c>
    </row>
    <row r="122" spans="9:26" x14ac:dyDescent="0.25">
      <c r="I122" t="s">
        <v>43</v>
      </c>
      <c r="J122" t="s">
        <v>182</v>
      </c>
      <c r="K122">
        <v>0</v>
      </c>
      <c r="L122" t="s">
        <v>38</v>
      </c>
      <c r="N122" t="s">
        <v>44</v>
      </c>
      <c r="O122" t="s">
        <v>182</v>
      </c>
      <c r="P122">
        <v>1.1315754498376684E-2</v>
      </c>
      <c r="Q122" t="s">
        <v>38</v>
      </c>
      <c r="S122" t="s">
        <v>45</v>
      </c>
      <c r="T122" t="s">
        <v>182</v>
      </c>
      <c r="U122">
        <v>1.1046177330882791E-2</v>
      </c>
      <c r="V122" t="s">
        <v>38</v>
      </c>
      <c r="X122" t="s">
        <v>5</v>
      </c>
      <c r="Y122" t="s">
        <v>182</v>
      </c>
      <c r="Z122">
        <v>1.0542822358927487E-2</v>
      </c>
    </row>
    <row r="123" spans="9:26" x14ac:dyDescent="0.25">
      <c r="I123" t="s">
        <v>43</v>
      </c>
      <c r="J123" t="s">
        <v>183</v>
      </c>
      <c r="K123">
        <v>0</v>
      </c>
      <c r="L123" t="s">
        <v>38</v>
      </c>
      <c r="N123" t="s">
        <v>44</v>
      </c>
      <c r="O123" t="s">
        <v>183</v>
      </c>
      <c r="P123">
        <v>2.0169570988910871E-2</v>
      </c>
      <c r="Q123" t="s">
        <v>38</v>
      </c>
      <c r="S123" t="s">
        <v>45</v>
      </c>
      <c r="T123" t="s">
        <v>183</v>
      </c>
      <c r="U123">
        <v>1.8701806988477516E-2</v>
      </c>
      <c r="V123" t="s">
        <v>38</v>
      </c>
      <c r="X123" t="s">
        <v>5</v>
      </c>
      <c r="Y123" t="s">
        <v>183</v>
      </c>
      <c r="Z123">
        <v>1.705835928247789E-2</v>
      </c>
    </row>
    <row r="124" spans="9:26" x14ac:dyDescent="0.25">
      <c r="I124" t="s">
        <v>43</v>
      </c>
      <c r="J124" t="s">
        <v>184</v>
      </c>
      <c r="K124">
        <v>3.3825824017002962E-7</v>
      </c>
      <c r="L124" t="s">
        <v>38</v>
      </c>
      <c r="N124" t="s">
        <v>44</v>
      </c>
      <c r="O124" t="s">
        <v>184</v>
      </c>
      <c r="P124">
        <v>4.3564594294584818E-3</v>
      </c>
      <c r="Q124" t="s">
        <v>38</v>
      </c>
      <c r="S124" t="s">
        <v>45</v>
      </c>
      <c r="T124" t="s">
        <v>184</v>
      </c>
      <c r="U124">
        <v>3.9254996993870013E-3</v>
      </c>
      <c r="V124" t="s">
        <v>38</v>
      </c>
      <c r="X124" t="s">
        <v>5</v>
      </c>
      <c r="Y124" t="s">
        <v>184</v>
      </c>
      <c r="Z124">
        <v>3.4402943210260521E-3</v>
      </c>
    </row>
    <row r="125" spans="9:26" x14ac:dyDescent="0.25">
      <c r="I125" t="s">
        <v>43</v>
      </c>
      <c r="J125" t="s">
        <v>185</v>
      </c>
      <c r="K125">
        <v>8.2169427494228384E-2</v>
      </c>
      <c r="L125" t="s">
        <v>38</v>
      </c>
      <c r="N125" t="s">
        <v>44</v>
      </c>
      <c r="O125" t="s">
        <v>185</v>
      </c>
      <c r="P125">
        <v>3.6541544662929908E-2</v>
      </c>
      <c r="Q125" t="s">
        <v>38</v>
      </c>
      <c r="S125" t="s">
        <v>45</v>
      </c>
      <c r="T125" t="s">
        <v>185</v>
      </c>
      <c r="U125">
        <v>3.6013656081481486E-2</v>
      </c>
      <c r="V125" t="s">
        <v>38</v>
      </c>
      <c r="X125" t="s">
        <v>5</v>
      </c>
      <c r="Y125" t="s">
        <v>185</v>
      </c>
      <c r="Z125">
        <v>3.0962362090992686E-2</v>
      </c>
    </row>
    <row r="126" spans="9:26" x14ac:dyDescent="0.25">
      <c r="I126" t="s">
        <v>43</v>
      </c>
      <c r="J126" t="s">
        <v>186</v>
      </c>
      <c r="K126">
        <v>1.0748083128202386E-2</v>
      </c>
      <c r="L126" t="s">
        <v>38</v>
      </c>
      <c r="N126" t="s">
        <v>44</v>
      </c>
      <c r="O126" t="s">
        <v>186</v>
      </c>
      <c r="P126">
        <v>4.2714259662175831E-3</v>
      </c>
      <c r="Q126" t="s">
        <v>38</v>
      </c>
      <c r="S126" t="s">
        <v>45</v>
      </c>
      <c r="T126" t="s">
        <v>186</v>
      </c>
      <c r="U126">
        <v>4.2484835952422044E-3</v>
      </c>
      <c r="V126" t="s">
        <v>38</v>
      </c>
      <c r="X126" t="s">
        <v>5</v>
      </c>
      <c r="Y126" t="s">
        <v>186</v>
      </c>
      <c r="Z126">
        <v>3.4417678706131715E-3</v>
      </c>
    </row>
    <row r="127" spans="9:26" x14ac:dyDescent="0.25">
      <c r="I127" t="s">
        <v>43</v>
      </c>
      <c r="J127" t="s">
        <v>187</v>
      </c>
      <c r="K127">
        <v>2.4659024606544594E-2</v>
      </c>
      <c r="L127" t="s">
        <v>38</v>
      </c>
      <c r="N127" t="s">
        <v>44</v>
      </c>
      <c r="O127" t="s">
        <v>187</v>
      </c>
      <c r="P127">
        <v>1.2497082527736578E-2</v>
      </c>
      <c r="Q127" t="s">
        <v>38</v>
      </c>
      <c r="S127" t="s">
        <v>45</v>
      </c>
      <c r="T127" t="s">
        <v>187</v>
      </c>
      <c r="U127">
        <v>1.2448639321534602E-2</v>
      </c>
      <c r="V127" t="s">
        <v>38</v>
      </c>
      <c r="X127" t="s">
        <v>5</v>
      </c>
      <c r="Y127" t="s">
        <v>187</v>
      </c>
      <c r="Z127">
        <v>1.0311893321637275E-2</v>
      </c>
    </row>
    <row r="128" spans="9:26" x14ac:dyDescent="0.25">
      <c r="I128" t="s">
        <v>43</v>
      </c>
      <c r="J128" t="s">
        <v>188</v>
      </c>
      <c r="K128">
        <v>3.5549713036504824E-3</v>
      </c>
      <c r="L128" t="s">
        <v>38</v>
      </c>
      <c r="N128" t="s">
        <v>44</v>
      </c>
      <c r="O128" t="s">
        <v>188</v>
      </c>
      <c r="P128">
        <v>4.0594816716457245E-3</v>
      </c>
      <c r="Q128" t="s">
        <v>38</v>
      </c>
      <c r="S128" t="s">
        <v>45</v>
      </c>
      <c r="T128" t="s">
        <v>188</v>
      </c>
      <c r="U128">
        <v>4.1470294058690771E-3</v>
      </c>
      <c r="V128" t="s">
        <v>38</v>
      </c>
      <c r="X128" t="s">
        <v>5</v>
      </c>
      <c r="Y128" t="s">
        <v>188</v>
      </c>
      <c r="Z128">
        <v>3.4169054299284874E-3</v>
      </c>
    </row>
    <row r="129" spans="9:26" x14ac:dyDescent="0.25">
      <c r="I129" t="s">
        <v>43</v>
      </c>
      <c r="J129" t="s">
        <v>189</v>
      </c>
      <c r="K129">
        <v>4.6269845069146813E-4</v>
      </c>
      <c r="L129" t="s">
        <v>38</v>
      </c>
      <c r="N129" t="s">
        <v>44</v>
      </c>
      <c r="O129" t="s">
        <v>189</v>
      </c>
      <c r="P129">
        <v>4.0128422560535828E-3</v>
      </c>
      <c r="Q129" t="s">
        <v>38</v>
      </c>
      <c r="S129" t="s">
        <v>45</v>
      </c>
      <c r="T129" t="s">
        <v>189</v>
      </c>
      <c r="U129">
        <v>4.1708872647897846E-3</v>
      </c>
      <c r="V129" t="s">
        <v>38</v>
      </c>
      <c r="X129" t="s">
        <v>5</v>
      </c>
      <c r="Y129" t="s">
        <v>189</v>
      </c>
      <c r="Z129">
        <v>3.4056906297151093E-3</v>
      </c>
    </row>
    <row r="130" spans="9:26" x14ac:dyDescent="0.25">
      <c r="I130" t="s">
        <v>43</v>
      </c>
      <c r="J130" t="s">
        <v>190</v>
      </c>
      <c r="K130">
        <v>0</v>
      </c>
      <c r="L130" t="s">
        <v>38</v>
      </c>
      <c r="N130" t="s">
        <v>44</v>
      </c>
      <c r="O130" t="s">
        <v>190</v>
      </c>
      <c r="P130">
        <v>1.1824146927772233E-2</v>
      </c>
      <c r="Q130" t="s">
        <v>38</v>
      </c>
      <c r="S130" t="s">
        <v>45</v>
      </c>
      <c r="T130" t="s">
        <v>190</v>
      </c>
      <c r="U130">
        <v>1.2534936465228089E-2</v>
      </c>
      <c r="V130" t="s">
        <v>38</v>
      </c>
      <c r="X130" t="s">
        <v>5</v>
      </c>
      <c r="Y130" t="s">
        <v>190</v>
      </c>
      <c r="Z130">
        <v>1.0184624129445071E-2</v>
      </c>
    </row>
    <row r="131" spans="9:26" x14ac:dyDescent="0.25">
      <c r="I131" t="s">
        <v>43</v>
      </c>
      <c r="J131" t="s">
        <v>191</v>
      </c>
      <c r="K131">
        <v>1.8489514366009553E-6</v>
      </c>
      <c r="L131" t="s">
        <v>38</v>
      </c>
      <c r="N131" t="s">
        <v>44</v>
      </c>
      <c r="O131" t="s">
        <v>191</v>
      </c>
      <c r="P131">
        <v>1.4234308407097532E-2</v>
      </c>
      <c r="Q131" t="s">
        <v>38</v>
      </c>
      <c r="S131" t="s">
        <v>45</v>
      </c>
      <c r="T131" t="s">
        <v>191</v>
      </c>
      <c r="U131">
        <v>1.4350736605474713E-2</v>
      </c>
      <c r="V131" t="s">
        <v>38</v>
      </c>
      <c r="X131" t="s">
        <v>5</v>
      </c>
      <c r="Y131" t="s">
        <v>191</v>
      </c>
      <c r="Z131">
        <v>1.7469370144214159E-2</v>
      </c>
    </row>
    <row r="132" spans="9:26" x14ac:dyDescent="0.25">
      <c r="I132" t="s">
        <v>43</v>
      </c>
      <c r="J132" t="s">
        <v>192</v>
      </c>
      <c r="K132">
        <v>2.2117801275505834E-3</v>
      </c>
      <c r="L132" t="s">
        <v>38</v>
      </c>
      <c r="N132" t="s">
        <v>44</v>
      </c>
      <c r="O132" t="s">
        <v>192</v>
      </c>
      <c r="P132">
        <v>2.6152487971279111E-3</v>
      </c>
      <c r="Q132" t="s">
        <v>38</v>
      </c>
      <c r="S132" t="s">
        <v>45</v>
      </c>
      <c r="T132" t="s">
        <v>192</v>
      </c>
      <c r="U132">
        <v>2.6285332544106507E-3</v>
      </c>
      <c r="V132" t="s">
        <v>38</v>
      </c>
      <c r="X132" t="s">
        <v>5</v>
      </c>
      <c r="Y132" t="s">
        <v>192</v>
      </c>
      <c r="Z132">
        <v>3.5474934325437947E-3</v>
      </c>
    </row>
    <row r="133" spans="9:26" x14ac:dyDescent="0.25">
      <c r="I133" t="s">
        <v>43</v>
      </c>
      <c r="J133" t="s">
        <v>193</v>
      </c>
      <c r="K133">
        <v>9.7687059458358247E-2</v>
      </c>
      <c r="L133" t="s">
        <v>38</v>
      </c>
      <c r="N133" t="s">
        <v>44</v>
      </c>
      <c r="O133" t="s">
        <v>193</v>
      </c>
      <c r="P133">
        <v>2.0624950009452934E-2</v>
      </c>
      <c r="Q133" t="s">
        <v>38</v>
      </c>
      <c r="S133" t="s">
        <v>45</v>
      </c>
      <c r="T133" t="s">
        <v>193</v>
      </c>
      <c r="U133">
        <v>2.5511835781983697E-2</v>
      </c>
      <c r="V133" t="s">
        <v>38</v>
      </c>
      <c r="X133" t="s">
        <v>5</v>
      </c>
      <c r="Y133" t="s">
        <v>193</v>
      </c>
      <c r="Z133">
        <v>3.2073292633235329E-2</v>
      </c>
    </row>
    <row r="134" spans="9:26" x14ac:dyDescent="0.25">
      <c r="I134" t="s">
        <v>43</v>
      </c>
      <c r="J134" t="s">
        <v>194</v>
      </c>
      <c r="K134">
        <v>1.2314515678147855E-2</v>
      </c>
      <c r="L134" t="s">
        <v>38</v>
      </c>
      <c r="N134" t="s">
        <v>44</v>
      </c>
      <c r="O134" t="s">
        <v>194</v>
      </c>
      <c r="P134">
        <v>2.1112570796986436E-3</v>
      </c>
      <c r="Q134" t="s">
        <v>38</v>
      </c>
      <c r="S134" t="s">
        <v>45</v>
      </c>
      <c r="T134" t="s">
        <v>194</v>
      </c>
      <c r="U134">
        <v>3.3123493700792858E-3</v>
      </c>
      <c r="V134" t="s">
        <v>38</v>
      </c>
      <c r="X134" t="s">
        <v>5</v>
      </c>
      <c r="Y134" t="s">
        <v>194</v>
      </c>
      <c r="Z134">
        <v>3.5605180285588024E-3</v>
      </c>
    </row>
    <row r="135" spans="9:26" x14ac:dyDescent="0.25">
      <c r="I135" t="s">
        <v>43</v>
      </c>
      <c r="J135" t="s">
        <v>195</v>
      </c>
      <c r="K135">
        <v>2.8311610371016833E-2</v>
      </c>
      <c r="L135" t="s">
        <v>38</v>
      </c>
      <c r="N135" t="s">
        <v>44</v>
      </c>
      <c r="O135" t="s">
        <v>195</v>
      </c>
      <c r="P135">
        <v>6.6897609502115088E-3</v>
      </c>
      <c r="Q135" t="s">
        <v>38</v>
      </c>
      <c r="S135" t="s">
        <v>45</v>
      </c>
      <c r="T135" t="s">
        <v>195</v>
      </c>
      <c r="U135">
        <v>9.803237676148208E-3</v>
      </c>
      <c r="V135" t="s">
        <v>38</v>
      </c>
      <c r="X135" t="s">
        <v>5</v>
      </c>
      <c r="Y135" t="s">
        <v>195</v>
      </c>
      <c r="Z135">
        <v>1.0671268907350207E-2</v>
      </c>
    </row>
    <row r="136" spans="9:26" x14ac:dyDescent="0.25">
      <c r="I136" t="s">
        <v>43</v>
      </c>
      <c r="J136" t="s">
        <v>196</v>
      </c>
      <c r="K136">
        <v>5.3093243474925935E-3</v>
      </c>
      <c r="L136" t="s">
        <v>38</v>
      </c>
      <c r="N136" t="s">
        <v>44</v>
      </c>
      <c r="O136" t="s">
        <v>196</v>
      </c>
      <c r="P136">
        <v>2.5829137883980665E-3</v>
      </c>
      <c r="Q136" t="s">
        <v>38</v>
      </c>
      <c r="S136" t="s">
        <v>45</v>
      </c>
      <c r="T136" t="s">
        <v>196</v>
      </c>
      <c r="U136">
        <v>3.3547282460477607E-3</v>
      </c>
      <c r="V136" t="s">
        <v>38</v>
      </c>
      <c r="X136" t="s">
        <v>5</v>
      </c>
      <c r="Y136" t="s">
        <v>196</v>
      </c>
      <c r="Z136">
        <v>3.5436760490496462E-3</v>
      </c>
    </row>
    <row r="137" spans="9:26" x14ac:dyDescent="0.25">
      <c r="I137" t="s">
        <v>43</v>
      </c>
      <c r="J137" t="s">
        <v>197</v>
      </c>
      <c r="K137">
        <v>2.6015952735060498E-3</v>
      </c>
      <c r="L137" t="s">
        <v>38</v>
      </c>
      <c r="N137" t="s">
        <v>44</v>
      </c>
      <c r="O137" t="s">
        <v>197</v>
      </c>
      <c r="P137">
        <v>2.6157187497093557E-3</v>
      </c>
      <c r="Q137" t="s">
        <v>38</v>
      </c>
      <c r="S137" t="s">
        <v>45</v>
      </c>
      <c r="T137" t="s">
        <v>197</v>
      </c>
      <c r="U137">
        <v>3.3592806386575093E-3</v>
      </c>
      <c r="V137" t="s">
        <v>38</v>
      </c>
      <c r="X137" t="s">
        <v>5</v>
      </c>
      <c r="Y137" t="s">
        <v>197</v>
      </c>
      <c r="Z137">
        <v>3.5327974950507793E-3</v>
      </c>
    </row>
    <row r="138" spans="9:26" x14ac:dyDescent="0.25">
      <c r="I138" t="s">
        <v>43</v>
      </c>
      <c r="J138" t="s">
        <v>198</v>
      </c>
      <c r="K138">
        <v>2.3890913832560665E-4</v>
      </c>
      <c r="L138" t="s">
        <v>38</v>
      </c>
      <c r="N138" t="s">
        <v>44</v>
      </c>
      <c r="O138" t="s">
        <v>198</v>
      </c>
      <c r="P138">
        <v>7.8669924485018795E-3</v>
      </c>
      <c r="Q138" t="s">
        <v>38</v>
      </c>
      <c r="S138" t="s">
        <v>45</v>
      </c>
      <c r="T138" t="s">
        <v>198</v>
      </c>
      <c r="U138">
        <v>9.0647499895842674E-3</v>
      </c>
      <c r="V138" t="s">
        <v>38</v>
      </c>
      <c r="X138" t="s">
        <v>5</v>
      </c>
      <c r="Y138" t="s">
        <v>198</v>
      </c>
      <c r="Z138">
        <v>1.0474465975916149E-2</v>
      </c>
    </row>
    <row r="139" spans="9:26" x14ac:dyDescent="0.25">
      <c r="I139" t="s">
        <v>43</v>
      </c>
      <c r="J139" t="s">
        <v>199</v>
      </c>
      <c r="K139">
        <v>8.6101283094264388E-4</v>
      </c>
      <c r="L139" t="s">
        <v>38</v>
      </c>
      <c r="N139" t="s">
        <v>44</v>
      </c>
      <c r="O139" t="s">
        <v>199</v>
      </c>
      <c r="P139">
        <v>1.2011096176508366E-2</v>
      </c>
      <c r="Q139" t="s">
        <v>38</v>
      </c>
      <c r="S139" t="s">
        <v>45</v>
      </c>
      <c r="T139" t="s">
        <v>199</v>
      </c>
      <c r="U139">
        <v>1.0525525523439981E-2</v>
      </c>
      <c r="V139" t="s">
        <v>38</v>
      </c>
      <c r="X139" t="s">
        <v>5</v>
      </c>
      <c r="Y139" t="s">
        <v>199</v>
      </c>
      <c r="Z139">
        <v>1.6839558802278737E-2</v>
      </c>
    </row>
    <row r="140" spans="9:26" x14ac:dyDescent="0.25">
      <c r="I140" t="s">
        <v>43</v>
      </c>
      <c r="J140" t="s">
        <v>200</v>
      </c>
      <c r="K140">
        <v>3.105844158946428E-3</v>
      </c>
      <c r="L140" t="s">
        <v>38</v>
      </c>
      <c r="N140" t="s">
        <v>44</v>
      </c>
      <c r="O140" t="s">
        <v>200</v>
      </c>
      <c r="P140">
        <v>2.0005400254986504E-3</v>
      </c>
      <c r="Q140" t="s">
        <v>38</v>
      </c>
      <c r="S140" t="s">
        <v>45</v>
      </c>
      <c r="T140" t="s">
        <v>200</v>
      </c>
      <c r="U140">
        <v>1.6660855688680498E-3</v>
      </c>
      <c r="V140" t="s">
        <v>38</v>
      </c>
      <c r="X140" t="s">
        <v>5</v>
      </c>
      <c r="Y140" t="s">
        <v>200</v>
      </c>
      <c r="Z140">
        <v>3.4281868612851089E-3</v>
      </c>
    </row>
    <row r="141" spans="9:26" x14ac:dyDescent="0.25">
      <c r="I141" t="s">
        <v>43</v>
      </c>
      <c r="J141" t="s">
        <v>201</v>
      </c>
      <c r="K141">
        <v>9.4585339370910071E-2</v>
      </c>
      <c r="L141" t="s">
        <v>38</v>
      </c>
      <c r="N141" t="s">
        <v>44</v>
      </c>
      <c r="O141" t="s">
        <v>201</v>
      </c>
      <c r="P141">
        <v>1.8041862611331009E-2</v>
      </c>
      <c r="Q141" t="s">
        <v>38</v>
      </c>
      <c r="S141" t="s">
        <v>45</v>
      </c>
      <c r="T141" t="s">
        <v>201</v>
      </c>
      <c r="U141">
        <v>1.5651886745232428E-2</v>
      </c>
      <c r="V141" t="s">
        <v>38</v>
      </c>
      <c r="X141" t="s">
        <v>5</v>
      </c>
      <c r="Y141" t="s">
        <v>201</v>
      </c>
      <c r="Z141">
        <v>3.1088045363079762E-2</v>
      </c>
    </row>
    <row r="142" spans="9:26" x14ac:dyDescent="0.25">
      <c r="I142" t="s">
        <v>43</v>
      </c>
      <c r="J142" t="s">
        <v>202</v>
      </c>
      <c r="K142">
        <v>1.1211101443885997E-2</v>
      </c>
      <c r="L142" t="s">
        <v>38</v>
      </c>
      <c r="N142" t="s">
        <v>44</v>
      </c>
      <c r="O142" t="s">
        <v>202</v>
      </c>
      <c r="P142">
        <v>2.1496319180778875E-3</v>
      </c>
      <c r="Q142" t="s">
        <v>38</v>
      </c>
      <c r="S142" t="s">
        <v>45</v>
      </c>
      <c r="T142" t="s">
        <v>202</v>
      </c>
      <c r="U142">
        <v>2.3892797695717928E-3</v>
      </c>
      <c r="V142" t="s">
        <v>38</v>
      </c>
      <c r="X142" t="s">
        <v>5</v>
      </c>
      <c r="Y142" t="s">
        <v>202</v>
      </c>
      <c r="Z142">
        <v>3.4538998071006136E-3</v>
      </c>
    </row>
    <row r="143" spans="9:26" x14ac:dyDescent="0.25">
      <c r="I143" t="s">
        <v>43</v>
      </c>
      <c r="J143" t="s">
        <v>203</v>
      </c>
      <c r="K143">
        <v>2.7125355966979441E-2</v>
      </c>
      <c r="L143" t="s">
        <v>38</v>
      </c>
      <c r="N143" t="s">
        <v>44</v>
      </c>
      <c r="O143" t="s">
        <v>203</v>
      </c>
      <c r="P143">
        <v>6.1323627908295283E-3</v>
      </c>
      <c r="Q143" t="s">
        <v>38</v>
      </c>
      <c r="S143" t="s">
        <v>45</v>
      </c>
      <c r="T143" t="s">
        <v>203</v>
      </c>
      <c r="U143">
        <v>6.7320047955940869E-3</v>
      </c>
      <c r="V143" t="s">
        <v>38</v>
      </c>
      <c r="X143" t="s">
        <v>5</v>
      </c>
      <c r="Y143" t="s">
        <v>203</v>
      </c>
      <c r="Z143">
        <v>1.0343077314774688E-2</v>
      </c>
    </row>
    <row r="144" spans="9:26" x14ac:dyDescent="0.25">
      <c r="I144" t="s">
        <v>43</v>
      </c>
      <c r="J144" t="s">
        <v>204</v>
      </c>
      <c r="K144">
        <v>5.4773345809572783E-3</v>
      </c>
      <c r="L144" t="s">
        <v>38</v>
      </c>
      <c r="N144" t="s">
        <v>44</v>
      </c>
      <c r="O144" t="s">
        <v>204</v>
      </c>
      <c r="P144">
        <v>2.1385055897793527E-3</v>
      </c>
      <c r="Q144" t="s">
        <v>38</v>
      </c>
      <c r="S144" t="s">
        <v>45</v>
      </c>
      <c r="T144" t="s">
        <v>204</v>
      </c>
      <c r="U144">
        <v>2.0578392152060219E-3</v>
      </c>
      <c r="V144" t="s">
        <v>38</v>
      </c>
      <c r="X144" t="s">
        <v>5</v>
      </c>
      <c r="Y144" t="s">
        <v>204</v>
      </c>
      <c r="Z144">
        <v>3.437265509076891E-3</v>
      </c>
    </row>
    <row r="145" spans="9:26" x14ac:dyDescent="0.25">
      <c r="I145" t="s">
        <v>43</v>
      </c>
      <c r="J145" t="s">
        <v>205</v>
      </c>
      <c r="K145">
        <v>3.4100788291649893E-3</v>
      </c>
      <c r="L145" t="s">
        <v>38</v>
      </c>
      <c r="N145" t="s">
        <v>44</v>
      </c>
      <c r="O145" t="s">
        <v>205</v>
      </c>
      <c r="P145">
        <v>2.1909626284207996E-3</v>
      </c>
      <c r="Q145" t="s">
        <v>38</v>
      </c>
      <c r="S145" t="s">
        <v>45</v>
      </c>
      <c r="T145" t="s">
        <v>205</v>
      </c>
      <c r="U145">
        <v>2.0772289693973722E-3</v>
      </c>
      <c r="V145" t="s">
        <v>38</v>
      </c>
      <c r="X145" t="s">
        <v>5</v>
      </c>
      <c r="Y145" t="s">
        <v>205</v>
      </c>
      <c r="Z145">
        <v>3.419078544709693E-3</v>
      </c>
    </row>
    <row r="146" spans="9:26" x14ac:dyDescent="0.25">
      <c r="I146" t="s">
        <v>43</v>
      </c>
      <c r="J146" t="s">
        <v>206</v>
      </c>
      <c r="K146">
        <v>1.454563473271552E-3</v>
      </c>
      <c r="L146" t="s">
        <v>38</v>
      </c>
      <c r="N146" t="s">
        <v>44</v>
      </c>
      <c r="O146" t="s">
        <v>206</v>
      </c>
      <c r="P146">
        <v>6.8672866916787024E-3</v>
      </c>
      <c r="Q146" t="s">
        <v>38</v>
      </c>
      <c r="S146" t="s">
        <v>45</v>
      </c>
      <c r="T146" t="s">
        <v>206</v>
      </c>
      <c r="U146">
        <v>6.4677928259182973E-3</v>
      </c>
      <c r="V146" t="s">
        <v>38</v>
      </c>
      <c r="X146" t="s">
        <v>5</v>
      </c>
      <c r="Y146" t="s">
        <v>206</v>
      </c>
      <c r="Z146">
        <v>1.0113025566482275E-2</v>
      </c>
    </row>
    <row r="147" spans="9:26" x14ac:dyDescent="0.25">
      <c r="I147" t="s">
        <v>43</v>
      </c>
      <c r="J147" t="s">
        <v>207</v>
      </c>
      <c r="K147">
        <v>8.6850597248895681E-5</v>
      </c>
      <c r="L147" t="s">
        <v>38</v>
      </c>
      <c r="N147" t="s">
        <v>44</v>
      </c>
      <c r="O147" t="s">
        <v>207</v>
      </c>
      <c r="P147">
        <v>1.3779981867685181E-2</v>
      </c>
      <c r="Q147" t="s">
        <v>38</v>
      </c>
      <c r="S147" t="s">
        <v>45</v>
      </c>
      <c r="T147" t="s">
        <v>207</v>
      </c>
      <c r="U147">
        <v>1.1994458637999406E-2</v>
      </c>
      <c r="V147" t="s">
        <v>38</v>
      </c>
      <c r="X147" t="s">
        <v>5</v>
      </c>
      <c r="Y147" t="s">
        <v>207</v>
      </c>
      <c r="Z147">
        <v>1.7390991398851634E-2</v>
      </c>
    </row>
    <row r="148" spans="9:26" x14ac:dyDescent="0.25">
      <c r="I148" t="s">
        <v>43</v>
      </c>
      <c r="J148" t="s">
        <v>208</v>
      </c>
      <c r="K148">
        <v>2.6459409762588188E-3</v>
      </c>
      <c r="L148" t="s">
        <v>38</v>
      </c>
      <c r="N148" t="s">
        <v>44</v>
      </c>
      <c r="O148" t="s">
        <v>208</v>
      </c>
      <c r="P148">
        <v>2.1998356933390453E-3</v>
      </c>
      <c r="Q148" t="s">
        <v>38</v>
      </c>
      <c r="S148" t="s">
        <v>45</v>
      </c>
      <c r="T148" t="s">
        <v>208</v>
      </c>
      <c r="U148">
        <v>1.9713204731528432E-3</v>
      </c>
      <c r="V148" t="s">
        <v>38</v>
      </c>
      <c r="X148" t="s">
        <v>5</v>
      </c>
      <c r="Y148" t="s">
        <v>208</v>
      </c>
      <c r="Z148">
        <v>3.5422986757694718E-3</v>
      </c>
    </row>
    <row r="149" spans="9:26" x14ac:dyDescent="0.25">
      <c r="I149" t="s">
        <v>43</v>
      </c>
      <c r="J149" t="s">
        <v>209</v>
      </c>
      <c r="K149">
        <v>9.4149726640774936E-2</v>
      </c>
      <c r="L149" t="s">
        <v>38</v>
      </c>
      <c r="N149" t="s">
        <v>44</v>
      </c>
      <c r="O149" t="s">
        <v>209</v>
      </c>
      <c r="P149">
        <v>2.0407269279006272E-2</v>
      </c>
      <c r="Q149" t="s">
        <v>38</v>
      </c>
      <c r="S149" t="s">
        <v>45</v>
      </c>
      <c r="T149" t="s">
        <v>209</v>
      </c>
      <c r="U149">
        <v>1.8841276031098773E-2</v>
      </c>
      <c r="V149" t="s">
        <v>38</v>
      </c>
      <c r="X149" t="s">
        <v>5</v>
      </c>
      <c r="Y149" t="s">
        <v>209</v>
      </c>
      <c r="Z149">
        <v>3.2140319607500037E-2</v>
      </c>
    </row>
    <row r="150" spans="9:26" x14ac:dyDescent="0.25">
      <c r="I150" t="s">
        <v>43</v>
      </c>
      <c r="J150" t="s">
        <v>210</v>
      </c>
      <c r="K150">
        <v>1.1865099523450228E-2</v>
      </c>
      <c r="L150" t="s">
        <v>38</v>
      </c>
      <c r="N150" t="s">
        <v>44</v>
      </c>
      <c r="O150" t="s">
        <v>210</v>
      </c>
      <c r="P150">
        <v>2.9089555699009129E-3</v>
      </c>
      <c r="Q150" t="s">
        <v>38</v>
      </c>
      <c r="S150" t="s">
        <v>45</v>
      </c>
      <c r="T150" t="s">
        <v>210</v>
      </c>
      <c r="U150">
        <v>2.8397369332691072E-3</v>
      </c>
      <c r="V150" t="s">
        <v>38</v>
      </c>
      <c r="X150" t="s">
        <v>5</v>
      </c>
      <c r="Y150" t="s">
        <v>210</v>
      </c>
      <c r="Z150">
        <v>3.5716509923773253E-3</v>
      </c>
    </row>
    <row r="151" spans="9:26" x14ac:dyDescent="0.25">
      <c r="I151" t="s">
        <v>43</v>
      </c>
      <c r="J151" t="s">
        <v>211</v>
      </c>
      <c r="K151">
        <v>2.8978782726861396E-2</v>
      </c>
      <c r="L151" t="s">
        <v>38</v>
      </c>
      <c r="N151" t="s">
        <v>44</v>
      </c>
      <c r="O151" t="s">
        <v>211</v>
      </c>
      <c r="P151">
        <v>9.6274013323358713E-3</v>
      </c>
      <c r="Q151" t="s">
        <v>38</v>
      </c>
      <c r="S151" t="s">
        <v>45</v>
      </c>
      <c r="T151" t="s">
        <v>211</v>
      </c>
      <c r="U151">
        <v>8.7459539051971714E-3</v>
      </c>
      <c r="V151" t="s">
        <v>38</v>
      </c>
      <c r="X151" t="s">
        <v>5</v>
      </c>
      <c r="Y151" t="s">
        <v>211</v>
      </c>
      <c r="Z151">
        <v>1.0693433219403307E-2</v>
      </c>
    </row>
    <row r="152" spans="9:26" x14ac:dyDescent="0.25">
      <c r="I152" t="s">
        <v>43</v>
      </c>
      <c r="J152" t="s">
        <v>212</v>
      </c>
      <c r="K152">
        <v>6.3701454174702656E-3</v>
      </c>
      <c r="L152" t="s">
        <v>38</v>
      </c>
      <c r="N152" t="s">
        <v>44</v>
      </c>
      <c r="O152" t="s">
        <v>212</v>
      </c>
      <c r="P152">
        <v>3.2687504395658988E-3</v>
      </c>
      <c r="Q152" t="s">
        <v>38</v>
      </c>
      <c r="S152" t="s">
        <v>45</v>
      </c>
      <c r="T152" t="s">
        <v>212</v>
      </c>
      <c r="U152">
        <v>2.7182024770754445E-3</v>
      </c>
      <c r="V152" t="s">
        <v>38</v>
      </c>
      <c r="X152" t="s">
        <v>5</v>
      </c>
      <c r="Y152" t="s">
        <v>212</v>
      </c>
      <c r="Z152">
        <v>3.5532860153083276E-3</v>
      </c>
    </row>
    <row r="153" spans="9:26" x14ac:dyDescent="0.25">
      <c r="I153" t="s">
        <v>43</v>
      </c>
      <c r="J153" t="s">
        <v>213</v>
      </c>
      <c r="K153">
        <v>3.8777290153308658E-3</v>
      </c>
      <c r="L153" t="s">
        <v>38</v>
      </c>
      <c r="N153" t="s">
        <v>44</v>
      </c>
      <c r="O153" t="s">
        <v>213</v>
      </c>
      <c r="P153">
        <v>3.2288491544324978E-3</v>
      </c>
      <c r="Q153" t="s">
        <v>38</v>
      </c>
      <c r="S153" t="s">
        <v>45</v>
      </c>
      <c r="T153" t="s">
        <v>213</v>
      </c>
      <c r="U153">
        <v>2.7485071332548523E-3</v>
      </c>
      <c r="V153" t="s">
        <v>38</v>
      </c>
      <c r="X153" t="s">
        <v>5</v>
      </c>
      <c r="Y153" t="s">
        <v>213</v>
      </c>
      <c r="Z153">
        <v>3.5322607373068802E-3</v>
      </c>
    </row>
    <row r="154" spans="9:26" x14ac:dyDescent="0.25">
      <c r="I154" t="s">
        <v>43</v>
      </c>
      <c r="J154" t="s">
        <v>214</v>
      </c>
      <c r="K154">
        <v>1.4987579516935489E-3</v>
      </c>
      <c r="L154" t="s">
        <v>38</v>
      </c>
      <c r="N154" t="s">
        <v>44</v>
      </c>
      <c r="O154" t="s">
        <v>214</v>
      </c>
      <c r="P154">
        <v>9.5613720786776775E-3</v>
      </c>
      <c r="Q154" t="s">
        <v>38</v>
      </c>
      <c r="S154" t="s">
        <v>45</v>
      </c>
      <c r="T154" t="s">
        <v>214</v>
      </c>
      <c r="U154">
        <v>8.4691931074465342E-3</v>
      </c>
      <c r="V154" t="s">
        <v>38</v>
      </c>
      <c r="X154" t="s">
        <v>5</v>
      </c>
      <c r="Y154" t="s">
        <v>214</v>
      </c>
      <c r="Z154">
        <v>1.0442979237565745E-2</v>
      </c>
    </row>
    <row r="155" spans="9:26" x14ac:dyDescent="0.25">
      <c r="I155" t="s">
        <v>43</v>
      </c>
      <c r="J155" t="s">
        <v>215</v>
      </c>
      <c r="K155">
        <v>0</v>
      </c>
      <c r="L155" t="s">
        <v>38</v>
      </c>
      <c r="N155" t="s">
        <v>44</v>
      </c>
      <c r="O155" t="s">
        <v>215</v>
      </c>
      <c r="P155">
        <v>1.1731298181983669E-2</v>
      </c>
      <c r="Q155" t="s">
        <v>38</v>
      </c>
      <c r="S155" t="s">
        <v>45</v>
      </c>
      <c r="T155" t="s">
        <v>215</v>
      </c>
      <c r="U155">
        <v>9.28650364543601E-3</v>
      </c>
      <c r="V155" t="s">
        <v>38</v>
      </c>
      <c r="X155" t="s">
        <v>5</v>
      </c>
      <c r="Y155" t="s">
        <v>215</v>
      </c>
      <c r="Z155">
        <v>1.7403901028330063E-2</v>
      </c>
    </row>
    <row r="156" spans="9:26" x14ac:dyDescent="0.25">
      <c r="I156" t="s">
        <v>43</v>
      </c>
      <c r="J156" t="s">
        <v>216</v>
      </c>
      <c r="K156">
        <v>5.4508846972828079E-4</v>
      </c>
      <c r="L156" t="s">
        <v>38</v>
      </c>
      <c r="N156" t="s">
        <v>44</v>
      </c>
      <c r="O156" t="s">
        <v>216</v>
      </c>
      <c r="P156">
        <v>2.449763950493327E-3</v>
      </c>
      <c r="Q156" t="s">
        <v>38</v>
      </c>
      <c r="S156" t="s">
        <v>45</v>
      </c>
      <c r="T156" t="s">
        <v>216</v>
      </c>
      <c r="U156">
        <v>1.8828910805487166E-3</v>
      </c>
      <c r="V156" t="s">
        <v>38</v>
      </c>
      <c r="X156" t="s">
        <v>5</v>
      </c>
      <c r="Y156" t="s">
        <v>216</v>
      </c>
      <c r="Z156">
        <v>3.5416743951138551E-3</v>
      </c>
    </row>
    <row r="157" spans="9:26" x14ac:dyDescent="0.25">
      <c r="I157" t="s">
        <v>43</v>
      </c>
      <c r="J157" t="s">
        <v>217</v>
      </c>
      <c r="K157">
        <v>8.2179293335600298E-2</v>
      </c>
      <c r="L157" t="s">
        <v>38</v>
      </c>
      <c r="N157" t="s">
        <v>44</v>
      </c>
      <c r="O157" t="s">
        <v>217</v>
      </c>
      <c r="P157">
        <v>2.1412554483618628E-2</v>
      </c>
      <c r="Q157" t="s">
        <v>38</v>
      </c>
      <c r="S157" t="s">
        <v>45</v>
      </c>
      <c r="T157" t="s">
        <v>217</v>
      </c>
      <c r="U157">
        <v>1.6053048441590275E-2</v>
      </c>
      <c r="V157" t="s">
        <v>38</v>
      </c>
      <c r="X157" t="s">
        <v>5</v>
      </c>
      <c r="Y157" t="s">
        <v>217</v>
      </c>
      <c r="Z157">
        <v>3.212440601367874E-2</v>
      </c>
    </row>
    <row r="158" spans="9:26" x14ac:dyDescent="0.25">
      <c r="I158" t="s">
        <v>43</v>
      </c>
      <c r="J158" t="s">
        <v>218</v>
      </c>
      <c r="K158">
        <v>1.0464571027641532E-2</v>
      </c>
      <c r="L158" t="s">
        <v>38</v>
      </c>
      <c r="N158" t="s">
        <v>44</v>
      </c>
      <c r="O158" t="s">
        <v>218</v>
      </c>
      <c r="P158">
        <v>2.420923982951133E-3</v>
      </c>
      <c r="Q158" t="s">
        <v>38</v>
      </c>
      <c r="S158" t="s">
        <v>45</v>
      </c>
      <c r="T158" t="s">
        <v>218</v>
      </c>
      <c r="U158">
        <v>1.8708582040194101E-3</v>
      </c>
      <c r="V158" t="s">
        <v>38</v>
      </c>
      <c r="X158" t="s">
        <v>5</v>
      </c>
      <c r="Y158" t="s">
        <v>218</v>
      </c>
      <c r="Z158">
        <v>3.5695432725400445E-3</v>
      </c>
    </row>
    <row r="159" spans="9:26" x14ac:dyDescent="0.25">
      <c r="I159" t="s">
        <v>43</v>
      </c>
      <c r="J159" t="s">
        <v>219</v>
      </c>
      <c r="K159">
        <v>2.4404473217313035E-2</v>
      </c>
      <c r="L159" t="s">
        <v>38</v>
      </c>
      <c r="N159" t="s">
        <v>44</v>
      </c>
      <c r="O159" t="s">
        <v>219</v>
      </c>
      <c r="P159">
        <v>6.5669515279965507E-3</v>
      </c>
      <c r="Q159" t="s">
        <v>38</v>
      </c>
      <c r="S159" t="s">
        <v>45</v>
      </c>
      <c r="T159" t="s">
        <v>219</v>
      </c>
      <c r="U159">
        <v>5.3018777942778796E-3</v>
      </c>
      <c r="V159" t="s">
        <v>38</v>
      </c>
      <c r="X159" t="s">
        <v>5</v>
      </c>
      <c r="Y159" t="s">
        <v>219</v>
      </c>
      <c r="Z159">
        <v>1.0686645248947878E-2</v>
      </c>
    </row>
    <row r="160" spans="9:26" x14ac:dyDescent="0.25">
      <c r="I160" t="s">
        <v>43</v>
      </c>
      <c r="J160" t="s">
        <v>220</v>
      </c>
      <c r="K160">
        <v>4.2223006827038483E-3</v>
      </c>
      <c r="L160" t="s">
        <v>38</v>
      </c>
      <c r="N160" t="s">
        <v>44</v>
      </c>
      <c r="O160" t="s">
        <v>220</v>
      </c>
      <c r="P160">
        <v>2.1013836627795579E-3</v>
      </c>
      <c r="Q160" t="s">
        <v>38</v>
      </c>
      <c r="S160" t="s">
        <v>45</v>
      </c>
      <c r="T160" t="s">
        <v>220</v>
      </c>
      <c r="U160">
        <v>1.7219430472100884E-3</v>
      </c>
      <c r="V160" t="s">
        <v>38</v>
      </c>
      <c r="X160" t="s">
        <v>5</v>
      </c>
      <c r="Y160" t="s">
        <v>220</v>
      </c>
      <c r="Z160">
        <v>3.5494575060203174E-3</v>
      </c>
    </row>
    <row r="161" spans="9:26" x14ac:dyDescent="0.25">
      <c r="I161" t="s">
        <v>43</v>
      </c>
      <c r="J161" t="s">
        <v>221</v>
      </c>
      <c r="K161">
        <v>1.6874614092445323E-3</v>
      </c>
      <c r="L161" t="s">
        <v>38</v>
      </c>
      <c r="N161" t="s">
        <v>44</v>
      </c>
      <c r="O161" t="s">
        <v>221</v>
      </c>
      <c r="P161">
        <v>2.197201312958255E-3</v>
      </c>
      <c r="Q161" t="s">
        <v>38</v>
      </c>
      <c r="S161" t="s">
        <v>45</v>
      </c>
      <c r="T161" t="s">
        <v>221</v>
      </c>
      <c r="U161">
        <v>1.7546354738614959E-3</v>
      </c>
      <c r="V161" t="s">
        <v>38</v>
      </c>
      <c r="X161" t="s">
        <v>5</v>
      </c>
      <c r="Y161" t="s">
        <v>221</v>
      </c>
      <c r="Z161">
        <v>3.5336737131274154E-3</v>
      </c>
    </row>
    <row r="162" spans="9:26" x14ac:dyDescent="0.25">
      <c r="I162" t="s">
        <v>43</v>
      </c>
      <c r="J162" t="s">
        <v>222</v>
      </c>
      <c r="K162">
        <v>0</v>
      </c>
      <c r="L162" t="s">
        <v>38</v>
      </c>
      <c r="N162" t="s">
        <v>44</v>
      </c>
      <c r="O162" t="s">
        <v>222</v>
      </c>
      <c r="P162">
        <v>7.1950612022903208E-3</v>
      </c>
      <c r="Q162" t="s">
        <v>38</v>
      </c>
      <c r="S162" t="s">
        <v>45</v>
      </c>
      <c r="T162" t="s">
        <v>222</v>
      </c>
      <c r="U162">
        <v>5.823033045552599E-3</v>
      </c>
      <c r="V162" t="s">
        <v>38</v>
      </c>
      <c r="X162" t="s">
        <v>5</v>
      </c>
      <c r="Y162" t="s">
        <v>222</v>
      </c>
      <c r="Z162">
        <v>1.045090698379242E-2</v>
      </c>
    </row>
    <row r="163" spans="9:26" x14ac:dyDescent="0.25">
      <c r="I163" t="s">
        <v>43</v>
      </c>
      <c r="J163" t="s">
        <v>223</v>
      </c>
      <c r="K163">
        <v>0</v>
      </c>
      <c r="L163" t="s">
        <v>38</v>
      </c>
      <c r="N163" t="s">
        <v>44</v>
      </c>
      <c r="O163" t="s">
        <v>223</v>
      </c>
      <c r="P163">
        <v>1.2754156367868943E-2</v>
      </c>
      <c r="Q163" t="s">
        <v>38</v>
      </c>
      <c r="S163" t="s">
        <v>45</v>
      </c>
      <c r="T163" t="s">
        <v>223</v>
      </c>
      <c r="U163">
        <v>1.2003255569551809E-2</v>
      </c>
      <c r="V163" t="s">
        <v>38</v>
      </c>
      <c r="X163" t="s">
        <v>5</v>
      </c>
      <c r="Y163" t="s">
        <v>223</v>
      </c>
      <c r="Z163">
        <v>1.6902954811906457E-2</v>
      </c>
    </row>
    <row r="164" spans="9:26" x14ac:dyDescent="0.25">
      <c r="I164" t="s">
        <v>43</v>
      </c>
      <c r="J164" t="s">
        <v>224</v>
      </c>
      <c r="K164">
        <v>0</v>
      </c>
      <c r="L164" t="s">
        <v>38</v>
      </c>
      <c r="N164" t="s">
        <v>44</v>
      </c>
      <c r="O164" t="s">
        <v>224</v>
      </c>
      <c r="P164">
        <v>2.5406011016794144E-3</v>
      </c>
      <c r="Q164" t="s">
        <v>38</v>
      </c>
      <c r="S164" t="s">
        <v>45</v>
      </c>
      <c r="T164" t="s">
        <v>224</v>
      </c>
      <c r="U164">
        <v>2.624575411848443E-3</v>
      </c>
      <c r="V164" t="s">
        <v>38</v>
      </c>
      <c r="X164" t="s">
        <v>5</v>
      </c>
      <c r="Y164" t="s">
        <v>224</v>
      </c>
      <c r="Z164">
        <v>3.4320663019850226E-3</v>
      </c>
    </row>
    <row r="165" spans="9:26" x14ac:dyDescent="0.25">
      <c r="I165" t="s">
        <v>43</v>
      </c>
      <c r="J165" t="s">
        <v>225</v>
      </c>
      <c r="K165">
        <v>6.6143597507094365E-2</v>
      </c>
      <c r="L165" t="s">
        <v>38</v>
      </c>
      <c r="N165" t="s">
        <v>44</v>
      </c>
      <c r="O165" t="s">
        <v>225</v>
      </c>
      <c r="P165">
        <v>2.0525029827805547E-2</v>
      </c>
      <c r="Q165" t="s">
        <v>38</v>
      </c>
      <c r="S165" t="s">
        <v>45</v>
      </c>
      <c r="T165" t="s">
        <v>225</v>
      </c>
      <c r="U165">
        <v>1.9365322222066831E-2</v>
      </c>
      <c r="V165" t="s">
        <v>38</v>
      </c>
      <c r="X165" t="s">
        <v>5</v>
      </c>
      <c r="Y165" t="s">
        <v>225</v>
      </c>
      <c r="Z165">
        <v>3.1030225601335913E-2</v>
      </c>
    </row>
    <row r="166" spans="9:26" x14ac:dyDescent="0.25">
      <c r="I166" t="s">
        <v>43</v>
      </c>
      <c r="J166" t="s">
        <v>226</v>
      </c>
      <c r="K166">
        <v>8.7804654888898534E-3</v>
      </c>
      <c r="L166" t="s">
        <v>38</v>
      </c>
      <c r="N166" t="s">
        <v>44</v>
      </c>
      <c r="O166" t="s">
        <v>226</v>
      </c>
      <c r="P166">
        <v>2.2597978634053806E-3</v>
      </c>
      <c r="Q166" t="s">
        <v>38</v>
      </c>
      <c r="S166" t="s">
        <v>45</v>
      </c>
      <c r="T166" t="s">
        <v>226</v>
      </c>
      <c r="U166">
        <v>2.0464370772612984E-3</v>
      </c>
      <c r="V166" t="s">
        <v>38</v>
      </c>
      <c r="X166" t="s">
        <v>5</v>
      </c>
      <c r="Y166" t="s">
        <v>226</v>
      </c>
      <c r="Z166">
        <v>3.4455655985381629E-3</v>
      </c>
    </row>
    <row r="167" spans="9:26" x14ac:dyDescent="0.25">
      <c r="I167" t="s">
        <v>43</v>
      </c>
      <c r="J167" t="s">
        <v>227</v>
      </c>
      <c r="K167">
        <v>1.7800616489101601E-2</v>
      </c>
      <c r="L167" t="s">
        <v>38</v>
      </c>
      <c r="N167" t="s">
        <v>44</v>
      </c>
      <c r="O167" t="s">
        <v>227</v>
      </c>
      <c r="P167">
        <v>7.5893293263047589E-3</v>
      </c>
      <c r="Q167" t="s">
        <v>38</v>
      </c>
      <c r="S167" t="s">
        <v>45</v>
      </c>
      <c r="T167" t="s">
        <v>227</v>
      </c>
      <c r="U167">
        <v>7.5141125641226651E-3</v>
      </c>
      <c r="V167" t="s">
        <v>38</v>
      </c>
      <c r="X167" t="s">
        <v>5</v>
      </c>
      <c r="Y167" t="s">
        <v>227</v>
      </c>
      <c r="Z167">
        <v>1.0328715892817138E-2</v>
      </c>
    </row>
    <row r="168" spans="9:26" x14ac:dyDescent="0.25">
      <c r="I168" t="s">
        <v>43</v>
      </c>
      <c r="J168" t="s">
        <v>228</v>
      </c>
      <c r="K168">
        <v>1.1907924780644593E-3</v>
      </c>
      <c r="L168" t="s">
        <v>38</v>
      </c>
      <c r="N168" t="s">
        <v>44</v>
      </c>
      <c r="O168" t="s">
        <v>228</v>
      </c>
      <c r="P168">
        <v>2.9384974736124327E-3</v>
      </c>
      <c r="Q168" t="s">
        <v>38</v>
      </c>
      <c r="S168" t="s">
        <v>45</v>
      </c>
      <c r="T168" t="s">
        <v>228</v>
      </c>
      <c r="U168">
        <v>2.8705180915162337E-3</v>
      </c>
      <c r="V168" t="s">
        <v>38</v>
      </c>
      <c r="X168" t="s">
        <v>5</v>
      </c>
      <c r="Y168" t="s">
        <v>228</v>
      </c>
      <c r="Z168">
        <v>3.4291983195671393E-3</v>
      </c>
    </row>
    <row r="169" spans="9:26" x14ac:dyDescent="0.25">
      <c r="I169" t="s">
        <v>43</v>
      </c>
      <c r="J169" t="s">
        <v>229</v>
      </c>
      <c r="K169">
        <v>0</v>
      </c>
      <c r="L169" t="s">
        <v>38</v>
      </c>
      <c r="N169" t="s">
        <v>44</v>
      </c>
      <c r="O169" t="s">
        <v>229</v>
      </c>
      <c r="P169">
        <v>3.0282820899001838E-3</v>
      </c>
      <c r="Q169" t="s">
        <v>38</v>
      </c>
      <c r="S169" t="s">
        <v>45</v>
      </c>
      <c r="T169" t="s">
        <v>229</v>
      </c>
      <c r="U169">
        <v>2.88781721571879E-3</v>
      </c>
      <c r="V169" t="s">
        <v>38</v>
      </c>
      <c r="X169" t="s">
        <v>5</v>
      </c>
      <c r="Y169" t="s">
        <v>229</v>
      </c>
      <c r="Z169">
        <v>3.4192691666445375E-3</v>
      </c>
    </row>
    <row r="170" spans="9:26" x14ac:dyDescent="0.25">
      <c r="I170" t="s">
        <v>43</v>
      </c>
      <c r="J170" t="s">
        <v>230</v>
      </c>
      <c r="K170">
        <v>0</v>
      </c>
      <c r="L170" t="s">
        <v>38</v>
      </c>
      <c r="N170" t="s">
        <v>44</v>
      </c>
      <c r="O170" t="s">
        <v>230</v>
      </c>
      <c r="P170">
        <v>9.1336467205703001E-3</v>
      </c>
      <c r="Q170" t="s">
        <v>38</v>
      </c>
      <c r="S170" t="s">
        <v>45</v>
      </c>
      <c r="T170" t="s">
        <v>230</v>
      </c>
      <c r="U170">
        <v>8.2703769384281298E-3</v>
      </c>
      <c r="V170" t="s">
        <v>38</v>
      </c>
      <c r="X170" t="s">
        <v>5</v>
      </c>
      <c r="Y170" t="s">
        <v>230</v>
      </c>
      <c r="Z170">
        <v>1.0144235396185435E-2</v>
      </c>
    </row>
    <row r="171" spans="9:26" x14ac:dyDescent="0.25">
      <c r="I171" t="s">
        <v>43</v>
      </c>
      <c r="J171" t="s">
        <v>231</v>
      </c>
      <c r="K171">
        <v>0</v>
      </c>
      <c r="L171" t="s">
        <v>38</v>
      </c>
      <c r="N171" t="s">
        <v>44</v>
      </c>
      <c r="O171" t="s">
        <v>231</v>
      </c>
      <c r="P171">
        <v>2.127192405846038E-2</v>
      </c>
      <c r="Q171" t="s">
        <v>38</v>
      </c>
      <c r="S171" t="s">
        <v>45</v>
      </c>
      <c r="T171" t="s">
        <v>231</v>
      </c>
      <c r="U171">
        <v>2.3378554789995277E-2</v>
      </c>
      <c r="V171" t="s">
        <v>38</v>
      </c>
      <c r="X171" t="s">
        <v>5</v>
      </c>
      <c r="Y171" t="s">
        <v>231</v>
      </c>
      <c r="Z171">
        <v>1.7518031276070344E-2</v>
      </c>
    </row>
    <row r="172" spans="9:26" x14ac:dyDescent="0.25">
      <c r="I172" t="s">
        <v>43</v>
      </c>
      <c r="J172" t="s">
        <v>232</v>
      </c>
      <c r="K172">
        <v>0</v>
      </c>
      <c r="L172" t="s">
        <v>38</v>
      </c>
      <c r="N172" t="s">
        <v>44</v>
      </c>
      <c r="O172" t="s">
        <v>232</v>
      </c>
      <c r="P172">
        <v>4.2362633537838517E-3</v>
      </c>
      <c r="Q172" t="s">
        <v>38</v>
      </c>
      <c r="S172" t="s">
        <v>45</v>
      </c>
      <c r="T172" t="s">
        <v>232</v>
      </c>
      <c r="U172">
        <v>4.5361102673556562E-3</v>
      </c>
      <c r="V172" t="s">
        <v>38</v>
      </c>
      <c r="X172" t="s">
        <v>5</v>
      </c>
      <c r="Y172" t="s">
        <v>232</v>
      </c>
      <c r="Z172">
        <v>3.5419323899115326E-3</v>
      </c>
    </row>
    <row r="173" spans="9:26" x14ac:dyDescent="0.25">
      <c r="I173" t="s">
        <v>43</v>
      </c>
      <c r="J173" t="s">
        <v>233</v>
      </c>
      <c r="K173">
        <v>2.8257683246558422E-2</v>
      </c>
      <c r="L173" t="s">
        <v>38</v>
      </c>
      <c r="N173" t="s">
        <v>44</v>
      </c>
      <c r="O173" t="s">
        <v>233</v>
      </c>
      <c r="P173">
        <v>3.9994228107195794E-2</v>
      </c>
      <c r="Q173" t="s">
        <v>38</v>
      </c>
      <c r="S173" t="s">
        <v>45</v>
      </c>
      <c r="T173" t="s">
        <v>233</v>
      </c>
      <c r="U173">
        <v>4.0826091342465579E-2</v>
      </c>
      <c r="V173" t="s">
        <v>38</v>
      </c>
      <c r="X173" t="s">
        <v>5</v>
      </c>
      <c r="Y173" t="s">
        <v>233</v>
      </c>
      <c r="Z173">
        <v>3.2027367210469997E-2</v>
      </c>
    </row>
    <row r="174" spans="9:26" x14ac:dyDescent="0.25">
      <c r="I174" t="s">
        <v>43</v>
      </c>
      <c r="J174" t="s">
        <v>234</v>
      </c>
      <c r="K174">
        <v>3.9804433192757163E-3</v>
      </c>
      <c r="L174" t="s">
        <v>38</v>
      </c>
      <c r="N174" t="s">
        <v>44</v>
      </c>
      <c r="O174" t="s">
        <v>234</v>
      </c>
      <c r="P174">
        <v>4.5913511572546629E-3</v>
      </c>
      <c r="Q174" t="s">
        <v>38</v>
      </c>
      <c r="S174" t="s">
        <v>45</v>
      </c>
      <c r="T174" t="s">
        <v>234</v>
      </c>
      <c r="U174">
        <v>4.5950773196590643E-3</v>
      </c>
      <c r="V174" t="s">
        <v>38</v>
      </c>
      <c r="X174" t="s">
        <v>5</v>
      </c>
      <c r="Y174" t="s">
        <v>234</v>
      </c>
      <c r="Z174">
        <v>3.5604753796823299E-3</v>
      </c>
    </row>
    <row r="175" spans="9:26" x14ac:dyDescent="0.25">
      <c r="I175" t="s">
        <v>43</v>
      </c>
      <c r="J175" t="s">
        <v>235</v>
      </c>
      <c r="K175">
        <v>4.2720704420951107E-3</v>
      </c>
      <c r="L175" t="s">
        <v>38</v>
      </c>
      <c r="N175" t="s">
        <v>44</v>
      </c>
      <c r="O175" t="s">
        <v>235</v>
      </c>
      <c r="P175">
        <v>1.4149163194529135E-2</v>
      </c>
      <c r="Q175" t="s">
        <v>38</v>
      </c>
      <c r="S175" t="s">
        <v>45</v>
      </c>
      <c r="T175" t="s">
        <v>235</v>
      </c>
      <c r="U175">
        <v>1.4410209808194322E-2</v>
      </c>
      <c r="V175" t="s">
        <v>38</v>
      </c>
      <c r="X175" t="s">
        <v>5</v>
      </c>
      <c r="Y175" t="s">
        <v>235</v>
      </c>
      <c r="Z175">
        <v>1.0677104386231075E-2</v>
      </c>
    </row>
    <row r="176" spans="9:26" x14ac:dyDescent="0.25">
      <c r="I176" t="s">
        <v>43</v>
      </c>
      <c r="J176" t="s">
        <v>236</v>
      </c>
      <c r="K176">
        <v>0</v>
      </c>
      <c r="L176" t="s">
        <v>38</v>
      </c>
      <c r="N176" t="s">
        <v>44</v>
      </c>
      <c r="O176" t="s">
        <v>236</v>
      </c>
      <c r="P176">
        <v>4.7056798128975045E-3</v>
      </c>
      <c r="Q176" t="s">
        <v>38</v>
      </c>
      <c r="S176" t="s">
        <v>45</v>
      </c>
      <c r="T176" t="s">
        <v>236</v>
      </c>
      <c r="U176">
        <v>4.8489476827666004E-3</v>
      </c>
      <c r="V176" t="s">
        <v>38</v>
      </c>
      <c r="X176" t="s">
        <v>5</v>
      </c>
      <c r="Y176" t="s">
        <v>236</v>
      </c>
      <c r="Z176">
        <v>3.5475892379909441E-3</v>
      </c>
    </row>
    <row r="177" spans="9:26" x14ac:dyDescent="0.25">
      <c r="I177" t="s">
        <v>43</v>
      </c>
      <c r="J177" t="s">
        <v>237</v>
      </c>
      <c r="K177">
        <v>0</v>
      </c>
      <c r="L177" t="s">
        <v>38</v>
      </c>
      <c r="N177" t="s">
        <v>44</v>
      </c>
      <c r="O177" t="s">
        <v>237</v>
      </c>
      <c r="P177">
        <v>4.5715520022192348E-3</v>
      </c>
      <c r="Q177" t="s">
        <v>38</v>
      </c>
      <c r="S177" t="s">
        <v>45</v>
      </c>
      <c r="T177" t="s">
        <v>237</v>
      </c>
      <c r="U177">
        <v>4.8497706923050178E-3</v>
      </c>
      <c r="V177" t="s">
        <v>38</v>
      </c>
      <c r="X177" t="s">
        <v>5</v>
      </c>
      <c r="Y177" t="s">
        <v>237</v>
      </c>
      <c r="Z177">
        <v>3.5309648295617654E-3</v>
      </c>
    </row>
    <row r="178" spans="9:26" x14ac:dyDescent="0.25">
      <c r="I178" t="s">
        <v>43</v>
      </c>
      <c r="J178" t="s">
        <v>238</v>
      </c>
      <c r="K178">
        <v>0</v>
      </c>
      <c r="L178" t="s">
        <v>38</v>
      </c>
      <c r="N178" t="s">
        <v>44</v>
      </c>
      <c r="O178" t="s">
        <v>238</v>
      </c>
      <c r="P178">
        <v>1.3785016954615916E-2</v>
      </c>
      <c r="Q178" t="s">
        <v>38</v>
      </c>
      <c r="S178" t="s">
        <v>45</v>
      </c>
      <c r="T178" t="s">
        <v>238</v>
      </c>
      <c r="U178">
        <v>1.465213225237851E-2</v>
      </c>
      <c r="V178" t="s">
        <v>38</v>
      </c>
      <c r="X178" t="s">
        <v>5</v>
      </c>
      <c r="Y178" t="s">
        <v>238</v>
      </c>
      <c r="Z178">
        <v>1.0500941038611234E-2</v>
      </c>
    </row>
    <row r="179" spans="9:26" x14ac:dyDescent="0.25">
      <c r="I179" t="s">
        <v>43</v>
      </c>
      <c r="J179" t="s">
        <v>239</v>
      </c>
      <c r="K179">
        <v>0</v>
      </c>
      <c r="L179" t="s">
        <v>38</v>
      </c>
      <c r="N179" t="s">
        <v>44</v>
      </c>
      <c r="O179" t="s">
        <v>239</v>
      </c>
      <c r="P179">
        <v>2.393099774015563E-2</v>
      </c>
      <c r="Q179" t="s">
        <v>38</v>
      </c>
      <c r="S179" t="s">
        <v>45</v>
      </c>
      <c r="T179" t="s">
        <v>239</v>
      </c>
      <c r="U179">
        <v>2.7158260569155143E-2</v>
      </c>
      <c r="V179" t="s">
        <v>38</v>
      </c>
      <c r="X179" t="s">
        <v>5</v>
      </c>
      <c r="Y179" t="s">
        <v>239</v>
      </c>
      <c r="Z179">
        <v>1.6968870813844024E-2</v>
      </c>
    </row>
    <row r="180" spans="9:26" x14ac:dyDescent="0.25">
      <c r="I180" t="s">
        <v>43</v>
      </c>
      <c r="J180" t="s">
        <v>240</v>
      </c>
      <c r="K180">
        <v>0</v>
      </c>
      <c r="L180" t="s">
        <v>38</v>
      </c>
      <c r="N180" t="s">
        <v>44</v>
      </c>
      <c r="O180" t="s">
        <v>240</v>
      </c>
      <c r="P180">
        <v>4.7262310663804853E-3</v>
      </c>
      <c r="Q180" t="s">
        <v>38</v>
      </c>
      <c r="S180" t="s">
        <v>45</v>
      </c>
      <c r="T180" t="s">
        <v>240</v>
      </c>
      <c r="U180">
        <v>5.060773704294301E-3</v>
      </c>
      <c r="V180" t="s">
        <v>38</v>
      </c>
      <c r="X180" t="s">
        <v>5</v>
      </c>
      <c r="Y180" t="s">
        <v>240</v>
      </c>
      <c r="Z180">
        <v>3.4287378353211649E-3</v>
      </c>
    </row>
    <row r="181" spans="9:26" x14ac:dyDescent="0.25">
      <c r="I181" t="s">
        <v>43</v>
      </c>
      <c r="J181" t="s">
        <v>241</v>
      </c>
      <c r="K181">
        <v>1.0918178689435107E-2</v>
      </c>
      <c r="L181" t="s">
        <v>38</v>
      </c>
      <c r="N181" t="s">
        <v>44</v>
      </c>
      <c r="O181" t="s">
        <v>241</v>
      </c>
      <c r="P181">
        <v>4.1474018308126616E-2</v>
      </c>
      <c r="Q181" t="s">
        <v>38</v>
      </c>
      <c r="S181" t="s">
        <v>45</v>
      </c>
      <c r="T181" t="s">
        <v>241</v>
      </c>
      <c r="U181">
        <v>4.417243411338475E-2</v>
      </c>
      <c r="V181" t="s">
        <v>38</v>
      </c>
      <c r="X181" t="s">
        <v>5</v>
      </c>
      <c r="Y181" t="s">
        <v>241</v>
      </c>
      <c r="Z181">
        <v>3.095718043793113E-2</v>
      </c>
    </row>
    <row r="182" spans="9:26" x14ac:dyDescent="0.25">
      <c r="I182" t="s">
        <v>43</v>
      </c>
      <c r="J182" t="s">
        <v>242</v>
      </c>
      <c r="K182">
        <v>1.4672499466117709E-3</v>
      </c>
      <c r="L182" t="s">
        <v>38</v>
      </c>
      <c r="N182" t="s">
        <v>44</v>
      </c>
      <c r="O182" t="s">
        <v>242</v>
      </c>
      <c r="P182">
        <v>4.8253460360249785E-3</v>
      </c>
      <c r="Q182" t="s">
        <v>38</v>
      </c>
      <c r="S182" t="s">
        <v>45</v>
      </c>
      <c r="T182" t="s">
        <v>242</v>
      </c>
      <c r="U182">
        <v>4.8168550133682554E-3</v>
      </c>
      <c r="V182" t="s">
        <v>38</v>
      </c>
      <c r="X182" t="s">
        <v>5</v>
      </c>
      <c r="Y182" t="s">
        <v>242</v>
      </c>
      <c r="Z182">
        <v>3.4444425114577111E-3</v>
      </c>
    </row>
    <row r="183" spans="9:26" x14ac:dyDescent="0.25">
      <c r="I183" t="s">
        <v>43</v>
      </c>
      <c r="J183" t="s">
        <v>243</v>
      </c>
      <c r="K183">
        <v>3.5033017197116896E-4</v>
      </c>
      <c r="L183" t="s">
        <v>38</v>
      </c>
      <c r="N183" t="s">
        <v>44</v>
      </c>
      <c r="O183" t="s">
        <v>243</v>
      </c>
      <c r="P183">
        <v>1.4770372818017722E-2</v>
      </c>
      <c r="Q183" t="s">
        <v>38</v>
      </c>
      <c r="S183" t="s">
        <v>45</v>
      </c>
      <c r="T183" t="s">
        <v>243</v>
      </c>
      <c r="U183">
        <v>1.5315879671193902E-2</v>
      </c>
      <c r="V183" t="s">
        <v>38</v>
      </c>
      <c r="X183" t="s">
        <v>5</v>
      </c>
      <c r="Y183" t="s">
        <v>243</v>
      </c>
      <c r="Z183">
        <v>1.0328976112773587E-2</v>
      </c>
    </row>
    <row r="184" spans="9:26" x14ac:dyDescent="0.25">
      <c r="I184" t="s">
        <v>43</v>
      </c>
      <c r="J184" t="s">
        <v>244</v>
      </c>
      <c r="K184">
        <v>0</v>
      </c>
      <c r="L184" t="s">
        <v>38</v>
      </c>
      <c r="N184" t="s">
        <v>44</v>
      </c>
      <c r="O184" t="s">
        <v>244</v>
      </c>
      <c r="P184">
        <v>4.9794119001052963E-3</v>
      </c>
      <c r="Q184" t="s">
        <v>38</v>
      </c>
      <c r="S184" t="s">
        <v>45</v>
      </c>
      <c r="T184" t="s">
        <v>244</v>
      </c>
      <c r="U184">
        <v>5.5607766332989228E-3</v>
      </c>
      <c r="V184" t="s">
        <v>38</v>
      </c>
      <c r="X184" t="s">
        <v>5</v>
      </c>
      <c r="Y184" t="s">
        <v>244</v>
      </c>
      <c r="Z184">
        <v>3.4392801431055216E-3</v>
      </c>
    </row>
    <row r="185" spans="9:26" x14ac:dyDescent="0.25">
      <c r="I185" t="s">
        <v>43</v>
      </c>
      <c r="J185" t="s">
        <v>245</v>
      </c>
      <c r="K185">
        <v>0</v>
      </c>
      <c r="L185" t="s">
        <v>38</v>
      </c>
      <c r="N185" t="s">
        <v>44</v>
      </c>
      <c r="O185" t="s">
        <v>245</v>
      </c>
      <c r="P185">
        <v>5.0360676758057126E-3</v>
      </c>
      <c r="Q185" t="s">
        <v>38</v>
      </c>
      <c r="S185" t="s">
        <v>45</v>
      </c>
      <c r="T185" t="s">
        <v>245</v>
      </c>
      <c r="U185">
        <v>5.5359248121855491E-3</v>
      </c>
      <c r="V185" t="s">
        <v>38</v>
      </c>
      <c r="X185" t="s">
        <v>5</v>
      </c>
      <c r="Y185" t="s">
        <v>245</v>
      </c>
      <c r="Z185">
        <v>3.4253852627706047E-3</v>
      </c>
    </row>
    <row r="186" spans="9:26" x14ac:dyDescent="0.25">
      <c r="I186" t="s">
        <v>43</v>
      </c>
      <c r="J186" t="s">
        <v>246</v>
      </c>
      <c r="K186">
        <v>0</v>
      </c>
      <c r="L186" t="s">
        <v>38</v>
      </c>
      <c r="N186" t="s">
        <v>44</v>
      </c>
      <c r="O186" t="s">
        <v>246</v>
      </c>
      <c r="P186">
        <v>1.4883017334002921E-2</v>
      </c>
      <c r="Q186" t="s">
        <v>38</v>
      </c>
      <c r="S186" t="s">
        <v>45</v>
      </c>
      <c r="T186" t="s">
        <v>246</v>
      </c>
      <c r="U186">
        <v>1.6380444674190298E-2</v>
      </c>
      <c r="V186" t="s">
        <v>38</v>
      </c>
      <c r="X186" t="s">
        <v>5</v>
      </c>
      <c r="Y186" t="s">
        <v>246</v>
      </c>
      <c r="Z186">
        <v>1.0200688292343307E-2</v>
      </c>
    </row>
    <row r="187" spans="9:26" x14ac:dyDescent="0.25">
      <c r="I187" t="s">
        <v>43</v>
      </c>
      <c r="J187" t="s">
        <v>247</v>
      </c>
      <c r="K187">
        <v>0</v>
      </c>
      <c r="L187" t="s">
        <v>38</v>
      </c>
      <c r="N187" t="s">
        <v>44</v>
      </c>
      <c r="O187" t="s">
        <v>247</v>
      </c>
      <c r="P187">
        <v>3.0479960246644934E-2</v>
      </c>
      <c r="Q187" t="s">
        <v>38</v>
      </c>
      <c r="S187" t="s">
        <v>45</v>
      </c>
      <c r="T187" t="s">
        <v>247</v>
      </c>
      <c r="U187">
        <v>3.2128246110239428E-2</v>
      </c>
      <c r="V187" t="s">
        <v>38</v>
      </c>
      <c r="X187" t="s">
        <v>5</v>
      </c>
      <c r="Y187" t="s">
        <v>247</v>
      </c>
      <c r="Z187">
        <v>1.7564166852719741E-2</v>
      </c>
    </row>
    <row r="188" spans="9:26" x14ac:dyDescent="0.25">
      <c r="I188" t="s">
        <v>43</v>
      </c>
      <c r="J188" t="s">
        <v>248</v>
      </c>
      <c r="K188">
        <v>0</v>
      </c>
      <c r="L188" t="s">
        <v>38</v>
      </c>
      <c r="N188" t="s">
        <v>44</v>
      </c>
      <c r="O188" t="s">
        <v>248</v>
      </c>
      <c r="P188">
        <v>6.2722032571889547E-3</v>
      </c>
      <c r="Q188" t="s">
        <v>38</v>
      </c>
      <c r="S188" t="s">
        <v>45</v>
      </c>
      <c r="T188" t="s">
        <v>248</v>
      </c>
      <c r="U188">
        <v>6.5235090372336314E-3</v>
      </c>
      <c r="V188" t="s">
        <v>38</v>
      </c>
      <c r="X188" t="s">
        <v>5</v>
      </c>
      <c r="Y188" t="s">
        <v>248</v>
      </c>
      <c r="Z188">
        <v>3.5520515466693206E-3</v>
      </c>
    </row>
    <row r="189" spans="9:26" x14ac:dyDescent="0.25">
      <c r="I189" t="s">
        <v>43</v>
      </c>
      <c r="J189" t="s">
        <v>249</v>
      </c>
      <c r="K189">
        <v>5.1967906935312816E-3</v>
      </c>
      <c r="L189" t="s">
        <v>38</v>
      </c>
      <c r="N189" t="s">
        <v>44</v>
      </c>
      <c r="O189" t="s">
        <v>249</v>
      </c>
      <c r="P189">
        <v>5.6533643859254551E-2</v>
      </c>
      <c r="Q189" t="s">
        <v>38</v>
      </c>
      <c r="S189" t="s">
        <v>45</v>
      </c>
      <c r="T189" t="s">
        <v>249</v>
      </c>
      <c r="U189">
        <v>5.9053956518355287E-2</v>
      </c>
      <c r="V189" t="s">
        <v>38</v>
      </c>
      <c r="X189" t="s">
        <v>5</v>
      </c>
      <c r="Y189" t="s">
        <v>249</v>
      </c>
      <c r="Z189">
        <v>3.1997658003119024E-2</v>
      </c>
    </row>
    <row r="190" spans="9:26" x14ac:dyDescent="0.25">
      <c r="I190" t="s">
        <v>43</v>
      </c>
      <c r="J190" t="s">
        <v>250</v>
      </c>
      <c r="K190">
        <v>8.2870272011454867E-4</v>
      </c>
      <c r="L190" t="s">
        <v>38</v>
      </c>
      <c r="N190" t="s">
        <v>44</v>
      </c>
      <c r="O190" t="s">
        <v>250</v>
      </c>
      <c r="P190">
        <v>5.9220876168610687E-3</v>
      </c>
      <c r="Q190" t="s">
        <v>38</v>
      </c>
      <c r="S190" t="s">
        <v>45</v>
      </c>
      <c r="T190" t="s">
        <v>250</v>
      </c>
      <c r="U190">
        <v>6.3937168102381186E-3</v>
      </c>
      <c r="V190" t="s">
        <v>38</v>
      </c>
      <c r="X190" t="s">
        <v>5</v>
      </c>
      <c r="Y190" t="s">
        <v>250</v>
      </c>
      <c r="Z190">
        <v>3.5585490102850075E-3</v>
      </c>
    </row>
    <row r="191" spans="9:26" x14ac:dyDescent="0.25">
      <c r="I191" t="s">
        <v>43</v>
      </c>
      <c r="J191" t="s">
        <v>251</v>
      </c>
      <c r="K191">
        <v>0</v>
      </c>
      <c r="L191" t="s">
        <v>38</v>
      </c>
      <c r="N191" t="s">
        <v>44</v>
      </c>
      <c r="O191" t="s">
        <v>251</v>
      </c>
      <c r="P191">
        <v>1.7890661354902214E-2</v>
      </c>
      <c r="Q191" t="s">
        <v>38</v>
      </c>
      <c r="S191" t="s">
        <v>45</v>
      </c>
      <c r="T191" t="s">
        <v>251</v>
      </c>
      <c r="U191">
        <v>1.9970583889947602E-2</v>
      </c>
      <c r="V191" t="s">
        <v>38</v>
      </c>
      <c r="X191" t="s">
        <v>5</v>
      </c>
      <c r="Y191" t="s">
        <v>251</v>
      </c>
      <c r="Z191">
        <v>1.0670949473446422E-2</v>
      </c>
    </row>
    <row r="192" spans="9:26" x14ac:dyDescent="0.25">
      <c r="I192" t="s">
        <v>43</v>
      </c>
      <c r="J192" t="s">
        <v>252</v>
      </c>
      <c r="K192">
        <v>0</v>
      </c>
      <c r="L192" t="s">
        <v>38</v>
      </c>
      <c r="N192" t="s">
        <v>44</v>
      </c>
      <c r="O192" t="s">
        <v>252</v>
      </c>
      <c r="P192">
        <v>6.1437828824064348E-3</v>
      </c>
      <c r="Q192" t="s">
        <v>38</v>
      </c>
      <c r="S192" t="s">
        <v>45</v>
      </c>
      <c r="T192" t="s">
        <v>252</v>
      </c>
      <c r="U192">
        <v>6.8662319923348154E-3</v>
      </c>
      <c r="V192" t="s">
        <v>38</v>
      </c>
      <c r="X192" t="s">
        <v>5</v>
      </c>
      <c r="Y192" t="s">
        <v>252</v>
      </c>
      <c r="Z192">
        <v>3.5476902354752288E-3</v>
      </c>
    </row>
    <row r="193" spans="9:26" x14ac:dyDescent="0.25">
      <c r="I193" t="s">
        <v>43</v>
      </c>
      <c r="J193" t="s">
        <v>253</v>
      </c>
      <c r="K193">
        <v>0</v>
      </c>
      <c r="L193" t="s">
        <v>38</v>
      </c>
      <c r="N193" t="s">
        <v>44</v>
      </c>
      <c r="O193" t="s">
        <v>253</v>
      </c>
      <c r="P193">
        <v>6.1983385875046832E-3</v>
      </c>
      <c r="Q193" t="s">
        <v>38</v>
      </c>
      <c r="S193" t="s">
        <v>45</v>
      </c>
      <c r="T193" t="s">
        <v>253</v>
      </c>
      <c r="U193">
        <v>6.8497603049954212E-3</v>
      </c>
      <c r="V193" t="s">
        <v>38</v>
      </c>
      <c r="X193" t="s">
        <v>5</v>
      </c>
      <c r="Y193" t="s">
        <v>253</v>
      </c>
      <c r="Z193">
        <v>3.5329448500094913E-3</v>
      </c>
    </row>
    <row r="194" spans="9:26" x14ac:dyDescent="0.25">
      <c r="I194" t="s">
        <v>43</v>
      </c>
      <c r="J194" t="s">
        <v>254</v>
      </c>
      <c r="K194">
        <v>0</v>
      </c>
      <c r="L194" t="s">
        <v>38</v>
      </c>
      <c r="N194" t="s">
        <v>44</v>
      </c>
      <c r="O194" t="s">
        <v>254</v>
      </c>
      <c r="P194">
        <v>1.8883678462062028E-2</v>
      </c>
      <c r="Q194" t="s">
        <v>38</v>
      </c>
      <c r="S194" t="s">
        <v>45</v>
      </c>
      <c r="T194" t="s">
        <v>254</v>
      </c>
      <c r="U194">
        <v>2.0298909456061498E-2</v>
      </c>
      <c r="V194" t="s">
        <v>38</v>
      </c>
      <c r="X194" t="s">
        <v>5</v>
      </c>
      <c r="Y194" t="s">
        <v>254</v>
      </c>
      <c r="Z194">
        <v>1.0541969381398029E-2</v>
      </c>
    </row>
    <row r="195" spans="9:26" x14ac:dyDescent="0.25">
      <c r="I195" t="s">
        <v>46</v>
      </c>
      <c r="J195" t="s">
        <v>159</v>
      </c>
      <c r="K195">
        <v>0</v>
      </c>
      <c r="L195" t="s">
        <v>38</v>
      </c>
      <c r="N195" t="s">
        <v>47</v>
      </c>
      <c r="O195" t="s">
        <v>159</v>
      </c>
      <c r="P195">
        <v>2.0134161487182983E-2</v>
      </c>
      <c r="Q195" t="s">
        <v>38</v>
      </c>
      <c r="S195" t="s">
        <v>48</v>
      </c>
      <c r="T195" t="s">
        <v>159</v>
      </c>
      <c r="U195">
        <v>2.056906863096198E-2</v>
      </c>
      <c r="V195" t="s">
        <v>38</v>
      </c>
      <c r="X195" t="s">
        <v>71</v>
      </c>
      <c r="Y195" t="s">
        <v>159</v>
      </c>
      <c r="Z195">
        <v>1.8478957293394084E-2</v>
      </c>
    </row>
    <row r="196" spans="9:26" x14ac:dyDescent="0.25">
      <c r="I196" t="s">
        <v>46</v>
      </c>
      <c r="J196" t="s">
        <v>160</v>
      </c>
      <c r="K196">
        <v>0</v>
      </c>
      <c r="L196" t="s">
        <v>38</v>
      </c>
      <c r="N196" t="s">
        <v>47</v>
      </c>
      <c r="O196" t="s">
        <v>160</v>
      </c>
      <c r="P196">
        <v>4.1494000670336678E-3</v>
      </c>
      <c r="Q196" t="s">
        <v>38</v>
      </c>
      <c r="S196" t="s">
        <v>48</v>
      </c>
      <c r="T196" t="s">
        <v>160</v>
      </c>
      <c r="U196">
        <v>4.4819093424097508E-3</v>
      </c>
      <c r="V196" t="s">
        <v>38</v>
      </c>
      <c r="X196" t="s">
        <v>71</v>
      </c>
      <c r="Y196" t="s">
        <v>160</v>
      </c>
      <c r="Z196">
        <v>4.1712445978343074E-3</v>
      </c>
    </row>
    <row r="197" spans="9:26" x14ac:dyDescent="0.25">
      <c r="I197" t="s">
        <v>46</v>
      </c>
      <c r="J197" t="s">
        <v>161</v>
      </c>
      <c r="K197">
        <v>9.6951242573712938E-3</v>
      </c>
      <c r="L197" t="s">
        <v>38</v>
      </c>
      <c r="N197" t="s">
        <v>47</v>
      </c>
      <c r="O197" t="s">
        <v>161</v>
      </c>
      <c r="P197">
        <v>3.6792740794279917E-2</v>
      </c>
      <c r="Q197" t="s">
        <v>38</v>
      </c>
      <c r="S197" t="s">
        <v>48</v>
      </c>
      <c r="T197" t="s">
        <v>161</v>
      </c>
      <c r="U197">
        <v>3.7054893364031186E-2</v>
      </c>
      <c r="V197" t="s">
        <v>38</v>
      </c>
      <c r="X197" t="s">
        <v>71</v>
      </c>
      <c r="Y197" t="s">
        <v>161</v>
      </c>
      <c r="Z197">
        <v>3.8466887803889016E-2</v>
      </c>
    </row>
    <row r="198" spans="9:26" x14ac:dyDescent="0.25">
      <c r="I198" t="s">
        <v>46</v>
      </c>
      <c r="J198" t="s">
        <v>162</v>
      </c>
      <c r="K198">
        <v>1.6206836951612458E-3</v>
      </c>
      <c r="L198" t="s">
        <v>38</v>
      </c>
      <c r="N198" t="s">
        <v>47</v>
      </c>
      <c r="O198" t="s">
        <v>162</v>
      </c>
      <c r="P198">
        <v>4.1081273300717282E-3</v>
      </c>
      <c r="Q198" t="s">
        <v>38</v>
      </c>
      <c r="S198" t="s">
        <v>48</v>
      </c>
      <c r="T198" t="s">
        <v>162</v>
      </c>
      <c r="U198">
        <v>3.9847410388689263E-3</v>
      </c>
      <c r="V198" t="s">
        <v>38</v>
      </c>
      <c r="X198" t="s">
        <v>71</v>
      </c>
      <c r="Y198" t="s">
        <v>162</v>
      </c>
      <c r="Z198">
        <v>4.3174704668137642E-3</v>
      </c>
    </row>
    <row r="199" spans="9:26" x14ac:dyDescent="0.25">
      <c r="I199" t="s">
        <v>46</v>
      </c>
      <c r="J199" t="s">
        <v>163</v>
      </c>
      <c r="K199">
        <v>8.0381376474436637E-4</v>
      </c>
      <c r="L199" t="s">
        <v>38</v>
      </c>
      <c r="N199" t="s">
        <v>47</v>
      </c>
      <c r="O199" t="s">
        <v>163</v>
      </c>
      <c r="P199">
        <v>1.2275686961984751E-2</v>
      </c>
      <c r="Q199" t="s">
        <v>38</v>
      </c>
      <c r="S199" t="s">
        <v>48</v>
      </c>
      <c r="T199" t="s">
        <v>163</v>
      </c>
      <c r="U199">
        <v>1.2312519506193872E-2</v>
      </c>
      <c r="V199" t="s">
        <v>38</v>
      </c>
      <c r="X199" t="s">
        <v>71</v>
      </c>
      <c r="Y199" t="s">
        <v>163</v>
      </c>
      <c r="Z199">
        <v>1.2948167016603873E-2</v>
      </c>
    </row>
    <row r="200" spans="9:26" x14ac:dyDescent="0.25">
      <c r="I200" t="s">
        <v>46</v>
      </c>
      <c r="J200" t="s">
        <v>164</v>
      </c>
      <c r="K200">
        <v>0</v>
      </c>
      <c r="L200" t="s">
        <v>38</v>
      </c>
      <c r="N200" t="s">
        <v>47</v>
      </c>
      <c r="O200" t="s">
        <v>164</v>
      </c>
      <c r="P200">
        <v>4.0283983502896322E-3</v>
      </c>
      <c r="Q200" t="s">
        <v>38</v>
      </c>
      <c r="S200" t="s">
        <v>48</v>
      </c>
      <c r="T200" t="s">
        <v>164</v>
      </c>
      <c r="U200">
        <v>4.0531199933469221E-3</v>
      </c>
      <c r="V200" t="s">
        <v>38</v>
      </c>
      <c r="X200" t="s">
        <v>71</v>
      </c>
      <c r="Y200" t="s">
        <v>164</v>
      </c>
      <c r="Z200">
        <v>4.2717406538557694E-3</v>
      </c>
    </row>
    <row r="201" spans="9:26" x14ac:dyDescent="0.25">
      <c r="I201" t="s">
        <v>46</v>
      </c>
      <c r="J201" t="s">
        <v>165</v>
      </c>
      <c r="K201">
        <v>0</v>
      </c>
      <c r="L201" t="s">
        <v>38</v>
      </c>
      <c r="N201" t="s">
        <v>47</v>
      </c>
      <c r="O201" t="s">
        <v>165</v>
      </c>
      <c r="P201">
        <v>3.976548681971938E-3</v>
      </c>
      <c r="Q201" t="s">
        <v>38</v>
      </c>
      <c r="S201" t="s">
        <v>48</v>
      </c>
      <c r="T201" t="s">
        <v>165</v>
      </c>
      <c r="U201">
        <v>3.8909104175569296E-3</v>
      </c>
      <c r="V201" t="s">
        <v>38</v>
      </c>
      <c r="X201" t="s">
        <v>71</v>
      </c>
      <c r="Y201" t="s">
        <v>165</v>
      </c>
      <c r="Z201">
        <v>4.1027867940049735E-3</v>
      </c>
    </row>
    <row r="202" spans="9:26" x14ac:dyDescent="0.25">
      <c r="I202" t="s">
        <v>46</v>
      </c>
      <c r="J202" t="s">
        <v>166</v>
      </c>
      <c r="K202">
        <v>0</v>
      </c>
      <c r="L202" t="s">
        <v>38</v>
      </c>
      <c r="N202" t="s">
        <v>47</v>
      </c>
      <c r="O202" t="s">
        <v>166</v>
      </c>
      <c r="P202">
        <v>1.1757888046997674E-2</v>
      </c>
      <c r="Q202" t="s">
        <v>38</v>
      </c>
      <c r="S202" t="s">
        <v>48</v>
      </c>
      <c r="T202" t="s">
        <v>166</v>
      </c>
      <c r="U202">
        <v>1.131818293185532E-2</v>
      </c>
      <c r="V202" t="s">
        <v>38</v>
      </c>
      <c r="X202" t="s">
        <v>71</v>
      </c>
      <c r="Y202" t="s">
        <v>166</v>
      </c>
      <c r="Z202">
        <v>1.1227685490765055E-2</v>
      </c>
    </row>
    <row r="203" spans="9:26" x14ac:dyDescent="0.25">
      <c r="I203" t="s">
        <v>46</v>
      </c>
      <c r="J203" t="s">
        <v>167</v>
      </c>
      <c r="K203">
        <v>0</v>
      </c>
      <c r="L203" t="s">
        <v>38</v>
      </c>
      <c r="N203" t="s">
        <v>47</v>
      </c>
      <c r="O203" t="s">
        <v>167</v>
      </c>
      <c r="P203">
        <v>1.2792625865485517E-2</v>
      </c>
      <c r="Q203" t="s">
        <v>38</v>
      </c>
      <c r="S203" t="s">
        <v>48</v>
      </c>
      <c r="T203" t="s">
        <v>167</v>
      </c>
      <c r="U203">
        <v>8.6040444955279242E-3</v>
      </c>
      <c r="V203" t="s">
        <v>38</v>
      </c>
      <c r="X203" t="s">
        <v>71</v>
      </c>
      <c r="Y203" t="s">
        <v>167</v>
      </c>
      <c r="Z203">
        <v>1.6569501564808842E-2</v>
      </c>
    </row>
    <row r="204" spans="9:26" x14ac:dyDescent="0.25">
      <c r="I204" t="s">
        <v>46</v>
      </c>
      <c r="J204" t="s">
        <v>168</v>
      </c>
      <c r="K204">
        <v>0</v>
      </c>
      <c r="L204" t="s">
        <v>38</v>
      </c>
      <c r="N204" t="s">
        <v>47</v>
      </c>
      <c r="O204" t="s">
        <v>168</v>
      </c>
      <c r="P204">
        <v>2.7132648988844755E-3</v>
      </c>
      <c r="Q204" t="s">
        <v>38</v>
      </c>
      <c r="S204" t="s">
        <v>48</v>
      </c>
      <c r="T204" t="s">
        <v>168</v>
      </c>
      <c r="U204">
        <v>1.612289224188759E-3</v>
      </c>
      <c r="V204" t="s">
        <v>38</v>
      </c>
      <c r="X204" t="s">
        <v>71</v>
      </c>
      <c r="Y204" t="s">
        <v>168</v>
      </c>
      <c r="Z204">
        <v>3.6635006255574106E-3</v>
      </c>
    </row>
    <row r="205" spans="9:26" x14ac:dyDescent="0.25">
      <c r="I205" t="s">
        <v>46</v>
      </c>
      <c r="J205" t="s">
        <v>169</v>
      </c>
      <c r="K205">
        <v>2.4719183429194751E-2</v>
      </c>
      <c r="L205" t="s">
        <v>38</v>
      </c>
      <c r="N205" t="s">
        <v>47</v>
      </c>
      <c r="O205" t="s">
        <v>169</v>
      </c>
      <c r="P205">
        <v>2.4801468151394886E-2</v>
      </c>
      <c r="Q205" t="s">
        <v>38</v>
      </c>
      <c r="S205" t="s">
        <v>48</v>
      </c>
      <c r="T205" t="s">
        <v>169</v>
      </c>
      <c r="U205">
        <v>1.6782999007133346E-2</v>
      </c>
      <c r="V205" t="s">
        <v>38</v>
      </c>
      <c r="X205" t="s">
        <v>71</v>
      </c>
      <c r="Y205" t="s">
        <v>169</v>
      </c>
      <c r="Z205">
        <v>3.2669743630736992E-2</v>
      </c>
    </row>
    <row r="206" spans="9:26" x14ac:dyDescent="0.25">
      <c r="I206" t="s">
        <v>46</v>
      </c>
      <c r="J206" t="s">
        <v>170</v>
      </c>
      <c r="K206">
        <v>4.5558376801147502E-3</v>
      </c>
      <c r="L206" t="s">
        <v>38</v>
      </c>
      <c r="N206" t="s">
        <v>47</v>
      </c>
      <c r="O206" t="s">
        <v>170</v>
      </c>
      <c r="P206">
        <v>2.6950741777365837E-3</v>
      </c>
      <c r="Q206" t="s">
        <v>38</v>
      </c>
      <c r="S206" t="s">
        <v>48</v>
      </c>
      <c r="T206" t="s">
        <v>170</v>
      </c>
      <c r="U206">
        <v>2.0071944710504507E-3</v>
      </c>
      <c r="V206" t="s">
        <v>38</v>
      </c>
      <c r="X206" t="s">
        <v>71</v>
      </c>
      <c r="Y206" t="s">
        <v>170</v>
      </c>
      <c r="Z206">
        <v>3.6733585493088348E-3</v>
      </c>
    </row>
    <row r="207" spans="9:26" x14ac:dyDescent="0.25">
      <c r="I207" t="s">
        <v>46</v>
      </c>
      <c r="J207" t="s">
        <v>171</v>
      </c>
      <c r="K207">
        <v>5.0235844867520226E-3</v>
      </c>
      <c r="L207" t="s">
        <v>38</v>
      </c>
      <c r="N207" t="s">
        <v>47</v>
      </c>
      <c r="O207" t="s">
        <v>171</v>
      </c>
      <c r="P207">
        <v>8.2957953831311985E-3</v>
      </c>
      <c r="Q207" t="s">
        <v>38</v>
      </c>
      <c r="S207" t="s">
        <v>48</v>
      </c>
      <c r="T207" t="s">
        <v>171</v>
      </c>
      <c r="U207">
        <v>7.0475967062692919E-3</v>
      </c>
      <c r="V207" t="s">
        <v>38</v>
      </c>
      <c r="X207" t="s">
        <v>71</v>
      </c>
      <c r="Y207" t="s">
        <v>171</v>
      </c>
      <c r="Z207">
        <v>1.10207602259648E-2</v>
      </c>
    </row>
    <row r="208" spans="9:26" x14ac:dyDescent="0.25">
      <c r="I208" t="s">
        <v>46</v>
      </c>
      <c r="J208" t="s">
        <v>172</v>
      </c>
      <c r="K208">
        <v>0</v>
      </c>
      <c r="L208" t="s">
        <v>38</v>
      </c>
      <c r="N208" t="s">
        <v>47</v>
      </c>
      <c r="O208" t="s">
        <v>172</v>
      </c>
      <c r="P208">
        <v>2.8125230767672604E-3</v>
      </c>
      <c r="Q208" t="s">
        <v>38</v>
      </c>
      <c r="S208" t="s">
        <v>48</v>
      </c>
      <c r="T208" t="s">
        <v>172</v>
      </c>
      <c r="U208">
        <v>2.5084622298914513E-3</v>
      </c>
      <c r="V208" t="s">
        <v>38</v>
      </c>
      <c r="X208" t="s">
        <v>71</v>
      </c>
      <c r="Y208" t="s">
        <v>172</v>
      </c>
      <c r="Z208">
        <v>3.6725370556628832E-3</v>
      </c>
    </row>
    <row r="209" spans="9:26" x14ac:dyDescent="0.25">
      <c r="I209" t="s">
        <v>46</v>
      </c>
      <c r="J209" t="s">
        <v>173</v>
      </c>
      <c r="K209">
        <v>0</v>
      </c>
      <c r="L209" t="s">
        <v>38</v>
      </c>
      <c r="N209" t="s">
        <v>47</v>
      </c>
      <c r="O209" t="s">
        <v>173</v>
      </c>
      <c r="P209">
        <v>2.7244050977580829E-3</v>
      </c>
      <c r="Q209" t="s">
        <v>38</v>
      </c>
      <c r="S209" t="s">
        <v>48</v>
      </c>
      <c r="T209" t="s">
        <v>173</v>
      </c>
      <c r="U209">
        <v>2.4836699782463663E-3</v>
      </c>
      <c r="V209" t="s">
        <v>38</v>
      </c>
      <c r="X209" t="s">
        <v>71</v>
      </c>
      <c r="Y209" t="s">
        <v>173</v>
      </c>
      <c r="Z209">
        <v>3.4805813737254308E-3</v>
      </c>
    </row>
    <row r="210" spans="9:26" x14ac:dyDescent="0.25">
      <c r="I210" t="s">
        <v>46</v>
      </c>
      <c r="J210" t="s">
        <v>174</v>
      </c>
      <c r="K210">
        <v>0</v>
      </c>
      <c r="L210" t="s">
        <v>38</v>
      </c>
      <c r="N210" t="s">
        <v>47</v>
      </c>
      <c r="O210" t="s">
        <v>174</v>
      </c>
      <c r="P210">
        <v>7.3811596954171206E-3</v>
      </c>
      <c r="Q210" t="s">
        <v>38</v>
      </c>
      <c r="S210" t="s">
        <v>48</v>
      </c>
      <c r="T210" t="s">
        <v>174</v>
      </c>
      <c r="U210">
        <v>6.8638209214144669E-3</v>
      </c>
      <c r="V210" t="s">
        <v>38</v>
      </c>
      <c r="X210" t="s">
        <v>71</v>
      </c>
      <c r="Y210" t="s">
        <v>174</v>
      </c>
      <c r="Z210">
        <v>9.9024335426087986E-3</v>
      </c>
    </row>
    <row r="211" spans="9:26" x14ac:dyDescent="0.25">
      <c r="I211" t="s">
        <v>46</v>
      </c>
      <c r="J211" t="s">
        <v>175</v>
      </c>
      <c r="K211">
        <v>0</v>
      </c>
      <c r="L211" t="s">
        <v>38</v>
      </c>
      <c r="N211" t="s">
        <v>47</v>
      </c>
      <c r="O211" t="s">
        <v>175</v>
      </c>
      <c r="P211">
        <v>1.5363216442993648E-2</v>
      </c>
      <c r="Q211" t="s">
        <v>38</v>
      </c>
      <c r="S211" t="s">
        <v>48</v>
      </c>
      <c r="T211" t="s">
        <v>175</v>
      </c>
      <c r="U211">
        <v>1.8953336802078224E-2</v>
      </c>
      <c r="V211" t="s">
        <v>38</v>
      </c>
      <c r="X211" t="s">
        <v>71</v>
      </c>
      <c r="Y211" t="s">
        <v>175</v>
      </c>
      <c r="Z211">
        <v>1.989855025272743E-2</v>
      </c>
    </row>
    <row r="212" spans="9:26" x14ac:dyDescent="0.25">
      <c r="I212" t="s">
        <v>46</v>
      </c>
      <c r="J212" t="s">
        <v>176</v>
      </c>
      <c r="K212">
        <v>0</v>
      </c>
      <c r="L212" t="s">
        <v>38</v>
      </c>
      <c r="N212" t="s">
        <v>47</v>
      </c>
      <c r="O212" t="s">
        <v>176</v>
      </c>
      <c r="P212">
        <v>2.8922381529800389E-3</v>
      </c>
      <c r="Q212" t="s">
        <v>38</v>
      </c>
      <c r="S212" t="s">
        <v>48</v>
      </c>
      <c r="T212" t="s">
        <v>176</v>
      </c>
      <c r="U212">
        <v>3.3998265930690343E-3</v>
      </c>
      <c r="V212" t="s">
        <v>38</v>
      </c>
      <c r="X212" t="s">
        <v>71</v>
      </c>
      <c r="Y212" t="s">
        <v>176</v>
      </c>
      <c r="Z212">
        <v>4.4755362321205862E-3</v>
      </c>
    </row>
    <row r="213" spans="9:26" x14ac:dyDescent="0.25">
      <c r="I213" t="s">
        <v>46</v>
      </c>
      <c r="J213" t="s">
        <v>177</v>
      </c>
      <c r="K213">
        <v>8.167957980652471E-2</v>
      </c>
      <c r="L213" t="s">
        <v>38</v>
      </c>
      <c r="N213" t="s">
        <v>47</v>
      </c>
      <c r="O213" t="s">
        <v>177</v>
      </c>
      <c r="P213">
        <v>2.5556548907830129E-2</v>
      </c>
      <c r="Q213" t="s">
        <v>38</v>
      </c>
      <c r="S213" t="s">
        <v>48</v>
      </c>
      <c r="T213" t="s">
        <v>177</v>
      </c>
      <c r="U213">
        <v>2.6012842099494525E-2</v>
      </c>
      <c r="V213" t="s">
        <v>38</v>
      </c>
      <c r="X213" t="s">
        <v>71</v>
      </c>
      <c r="Y213" t="s">
        <v>177</v>
      </c>
      <c r="Z213">
        <v>4.0617049230748568E-2</v>
      </c>
    </row>
    <row r="214" spans="9:26" x14ac:dyDescent="0.25">
      <c r="I214" t="s">
        <v>46</v>
      </c>
      <c r="J214" t="s">
        <v>178</v>
      </c>
      <c r="K214">
        <v>1.2534307209183838E-2</v>
      </c>
      <c r="L214" t="s">
        <v>38</v>
      </c>
      <c r="N214" t="s">
        <v>47</v>
      </c>
      <c r="O214" t="s">
        <v>178</v>
      </c>
      <c r="P214">
        <v>3.2432046503898244E-3</v>
      </c>
      <c r="Q214" t="s">
        <v>38</v>
      </c>
      <c r="S214" t="s">
        <v>48</v>
      </c>
      <c r="T214" t="s">
        <v>178</v>
      </c>
      <c r="U214">
        <v>3.0337520168684717E-3</v>
      </c>
      <c r="V214" t="s">
        <v>38</v>
      </c>
      <c r="X214" t="s">
        <v>71</v>
      </c>
      <c r="Y214" t="s">
        <v>178</v>
      </c>
      <c r="Z214">
        <v>4.7067866934560757E-3</v>
      </c>
    </row>
    <row r="215" spans="9:26" x14ac:dyDescent="0.25">
      <c r="I215" t="s">
        <v>46</v>
      </c>
      <c r="J215" t="s">
        <v>179</v>
      </c>
      <c r="K215">
        <v>2.3407684061917036E-2</v>
      </c>
      <c r="L215" t="s">
        <v>38</v>
      </c>
      <c r="N215" t="s">
        <v>47</v>
      </c>
      <c r="O215" t="s">
        <v>179</v>
      </c>
      <c r="P215">
        <v>1.0939418389483702E-2</v>
      </c>
      <c r="Q215" t="s">
        <v>38</v>
      </c>
      <c r="S215" t="s">
        <v>48</v>
      </c>
      <c r="T215" t="s">
        <v>179</v>
      </c>
      <c r="U215">
        <v>1.0584084583080945E-2</v>
      </c>
      <c r="V215" t="s">
        <v>38</v>
      </c>
      <c r="X215" t="s">
        <v>71</v>
      </c>
      <c r="Y215" t="s">
        <v>179</v>
      </c>
      <c r="Z215">
        <v>1.4151576838914404E-2</v>
      </c>
    </row>
    <row r="216" spans="9:26" x14ac:dyDescent="0.25">
      <c r="I216" t="s">
        <v>46</v>
      </c>
      <c r="J216" t="s">
        <v>180</v>
      </c>
      <c r="K216">
        <v>1.8981859748783182E-4</v>
      </c>
      <c r="L216" t="s">
        <v>38</v>
      </c>
      <c r="N216" t="s">
        <v>47</v>
      </c>
      <c r="O216" t="s">
        <v>180</v>
      </c>
      <c r="P216">
        <v>3.9106489868926562E-3</v>
      </c>
      <c r="Q216" t="s">
        <v>38</v>
      </c>
      <c r="S216" t="s">
        <v>48</v>
      </c>
      <c r="T216" t="s">
        <v>180</v>
      </c>
      <c r="U216">
        <v>3.9211095949399435E-3</v>
      </c>
      <c r="V216" t="s">
        <v>38</v>
      </c>
      <c r="X216" t="s">
        <v>71</v>
      </c>
      <c r="Y216" t="s">
        <v>180</v>
      </c>
      <c r="Z216">
        <v>4.4701965234218979E-3</v>
      </c>
    </row>
    <row r="217" spans="9:26" x14ac:dyDescent="0.25">
      <c r="I217" t="s">
        <v>46</v>
      </c>
      <c r="J217" t="s">
        <v>181</v>
      </c>
      <c r="K217">
        <v>0</v>
      </c>
      <c r="L217" t="s">
        <v>38</v>
      </c>
      <c r="N217" t="s">
        <v>47</v>
      </c>
      <c r="O217" t="s">
        <v>181</v>
      </c>
      <c r="P217">
        <v>3.8509392997440181E-3</v>
      </c>
      <c r="Q217" t="s">
        <v>38</v>
      </c>
      <c r="S217" t="s">
        <v>48</v>
      </c>
      <c r="T217" t="s">
        <v>181</v>
      </c>
      <c r="U217">
        <v>3.9136861565543697E-3</v>
      </c>
      <c r="V217" t="s">
        <v>38</v>
      </c>
      <c r="X217" t="s">
        <v>71</v>
      </c>
      <c r="Y217" t="s">
        <v>181</v>
      </c>
      <c r="Z217">
        <v>4.2570189222973518E-3</v>
      </c>
    </row>
    <row r="218" spans="9:26" x14ac:dyDescent="0.25">
      <c r="I218" t="s">
        <v>46</v>
      </c>
      <c r="J218" t="s">
        <v>182</v>
      </c>
      <c r="K218">
        <v>0</v>
      </c>
      <c r="L218" t="s">
        <v>38</v>
      </c>
      <c r="N218" t="s">
        <v>47</v>
      </c>
      <c r="O218" t="s">
        <v>182</v>
      </c>
      <c r="P218">
        <v>1.0356338136781417E-2</v>
      </c>
      <c r="Q218" t="s">
        <v>38</v>
      </c>
      <c r="S218" t="s">
        <v>48</v>
      </c>
      <c r="T218" t="s">
        <v>182</v>
      </c>
      <c r="U218">
        <v>1.1744088568760655E-2</v>
      </c>
      <c r="V218" t="s">
        <v>38</v>
      </c>
      <c r="X218" t="s">
        <v>71</v>
      </c>
      <c r="Y218" t="s">
        <v>182</v>
      </c>
      <c r="Z218">
        <v>1.1790330269233018E-2</v>
      </c>
    </row>
    <row r="219" spans="9:26" x14ac:dyDescent="0.25">
      <c r="I219" t="s">
        <v>46</v>
      </c>
      <c r="J219" t="s">
        <v>183</v>
      </c>
      <c r="K219">
        <v>0</v>
      </c>
      <c r="L219" t="s">
        <v>38</v>
      </c>
      <c r="N219" t="s">
        <v>47</v>
      </c>
      <c r="O219" t="s">
        <v>183</v>
      </c>
      <c r="P219">
        <v>1.913502470763797E-2</v>
      </c>
      <c r="Q219" t="s">
        <v>38</v>
      </c>
      <c r="S219" t="s">
        <v>48</v>
      </c>
      <c r="T219" t="s">
        <v>183</v>
      </c>
      <c r="U219">
        <v>1.9282552297418886E-2</v>
      </c>
      <c r="V219" t="s">
        <v>38</v>
      </c>
      <c r="X219" t="s">
        <v>71</v>
      </c>
      <c r="Y219" t="s">
        <v>183</v>
      </c>
      <c r="Z219">
        <v>1.7030278920719268E-2</v>
      </c>
    </row>
    <row r="220" spans="9:26" x14ac:dyDescent="0.25">
      <c r="I220" t="s">
        <v>46</v>
      </c>
      <c r="J220" t="s">
        <v>184</v>
      </c>
      <c r="K220">
        <v>0</v>
      </c>
      <c r="L220" t="s">
        <v>38</v>
      </c>
      <c r="N220" t="s">
        <v>47</v>
      </c>
      <c r="O220" t="s">
        <v>184</v>
      </c>
      <c r="P220">
        <v>4.0915043053619676E-3</v>
      </c>
      <c r="Q220" t="s">
        <v>38</v>
      </c>
      <c r="S220" t="s">
        <v>48</v>
      </c>
      <c r="T220" t="s">
        <v>184</v>
      </c>
      <c r="U220">
        <v>3.8452870262880839E-3</v>
      </c>
      <c r="V220" t="s">
        <v>38</v>
      </c>
      <c r="X220" t="s">
        <v>71</v>
      </c>
      <c r="Y220" t="s">
        <v>184</v>
      </c>
      <c r="Z220">
        <v>3.8023169358295701E-3</v>
      </c>
    </row>
    <row r="221" spans="9:26" x14ac:dyDescent="0.25">
      <c r="I221" t="s">
        <v>46</v>
      </c>
      <c r="J221" t="s">
        <v>185</v>
      </c>
      <c r="K221">
        <v>8.0920554087822172E-2</v>
      </c>
      <c r="L221" t="s">
        <v>38</v>
      </c>
      <c r="N221" t="s">
        <v>47</v>
      </c>
      <c r="O221" t="s">
        <v>185</v>
      </c>
      <c r="P221">
        <v>3.6575331737477908E-2</v>
      </c>
      <c r="Q221" t="s">
        <v>38</v>
      </c>
      <c r="S221" t="s">
        <v>48</v>
      </c>
      <c r="T221" t="s">
        <v>185</v>
      </c>
      <c r="U221">
        <v>3.3339516810829507E-2</v>
      </c>
      <c r="V221" t="s">
        <v>38</v>
      </c>
      <c r="X221" t="s">
        <v>71</v>
      </c>
      <c r="Y221" t="s">
        <v>185</v>
      </c>
      <c r="Z221">
        <v>3.4216881869844028E-2</v>
      </c>
    </row>
    <row r="222" spans="9:26" x14ac:dyDescent="0.25">
      <c r="I222" t="s">
        <v>46</v>
      </c>
      <c r="J222" t="s">
        <v>186</v>
      </c>
      <c r="K222">
        <v>1.0792177117963191E-2</v>
      </c>
      <c r="L222" t="s">
        <v>38</v>
      </c>
      <c r="N222" t="s">
        <v>47</v>
      </c>
      <c r="O222" t="s">
        <v>186</v>
      </c>
      <c r="P222">
        <v>4.115202043561291E-3</v>
      </c>
      <c r="Q222" t="s">
        <v>38</v>
      </c>
      <c r="S222" t="s">
        <v>48</v>
      </c>
      <c r="T222" t="s">
        <v>186</v>
      </c>
      <c r="U222">
        <v>4.1711967936557959E-3</v>
      </c>
      <c r="V222" t="s">
        <v>38</v>
      </c>
      <c r="X222" t="s">
        <v>71</v>
      </c>
      <c r="Y222" t="s">
        <v>186</v>
      </c>
      <c r="Z222">
        <v>3.8227173613707113E-3</v>
      </c>
    </row>
    <row r="223" spans="9:26" x14ac:dyDescent="0.25">
      <c r="I223" t="s">
        <v>46</v>
      </c>
      <c r="J223" t="s">
        <v>187</v>
      </c>
      <c r="K223">
        <v>2.4312289471847055E-2</v>
      </c>
      <c r="L223" t="s">
        <v>38</v>
      </c>
      <c r="N223" t="s">
        <v>47</v>
      </c>
      <c r="O223" t="s">
        <v>187</v>
      </c>
      <c r="P223">
        <v>1.2123534759473273E-2</v>
      </c>
      <c r="Q223" t="s">
        <v>38</v>
      </c>
      <c r="S223" t="s">
        <v>48</v>
      </c>
      <c r="T223" t="s">
        <v>187</v>
      </c>
      <c r="U223">
        <v>1.3263863809745771E-2</v>
      </c>
      <c r="V223" t="s">
        <v>38</v>
      </c>
      <c r="X223" t="s">
        <v>71</v>
      </c>
      <c r="Y223" t="s">
        <v>187</v>
      </c>
      <c r="Z223">
        <v>1.128249452012698E-2</v>
      </c>
    </row>
    <row r="224" spans="9:26" x14ac:dyDescent="0.25">
      <c r="I224" t="s">
        <v>46</v>
      </c>
      <c r="J224" t="s">
        <v>188</v>
      </c>
      <c r="K224">
        <v>3.5827988049541492E-3</v>
      </c>
      <c r="L224" t="s">
        <v>38</v>
      </c>
      <c r="N224" t="s">
        <v>47</v>
      </c>
      <c r="O224" t="s">
        <v>188</v>
      </c>
      <c r="P224">
        <v>3.9054779540462436E-3</v>
      </c>
      <c r="Q224" t="s">
        <v>38</v>
      </c>
      <c r="S224" t="s">
        <v>48</v>
      </c>
      <c r="T224" t="s">
        <v>188</v>
      </c>
      <c r="U224">
        <v>4.3217655430398509E-3</v>
      </c>
      <c r="V224" t="s">
        <v>38</v>
      </c>
      <c r="X224" t="s">
        <v>71</v>
      </c>
      <c r="Y224" t="s">
        <v>188</v>
      </c>
      <c r="Z224">
        <v>3.4785115237168209E-3</v>
      </c>
    </row>
    <row r="225" spans="9:26" x14ac:dyDescent="0.25">
      <c r="I225" t="s">
        <v>46</v>
      </c>
      <c r="J225" t="s">
        <v>189</v>
      </c>
      <c r="K225">
        <v>3.9392040758701879E-4</v>
      </c>
      <c r="L225" t="s">
        <v>38</v>
      </c>
      <c r="N225" t="s">
        <v>47</v>
      </c>
      <c r="O225" t="s">
        <v>189</v>
      </c>
      <c r="P225">
        <v>3.8444442150841786E-3</v>
      </c>
      <c r="Q225" t="s">
        <v>38</v>
      </c>
      <c r="S225" t="s">
        <v>48</v>
      </c>
      <c r="T225" t="s">
        <v>189</v>
      </c>
      <c r="U225">
        <v>4.2381631202815769E-3</v>
      </c>
      <c r="V225" t="s">
        <v>38</v>
      </c>
      <c r="X225" t="s">
        <v>71</v>
      </c>
      <c r="Y225" t="s">
        <v>189</v>
      </c>
      <c r="Z225">
        <v>3.3232492246318916E-3</v>
      </c>
    </row>
    <row r="226" spans="9:26" x14ac:dyDescent="0.25">
      <c r="I226" t="s">
        <v>46</v>
      </c>
      <c r="J226" t="s">
        <v>190</v>
      </c>
      <c r="K226">
        <v>0</v>
      </c>
      <c r="L226" t="s">
        <v>38</v>
      </c>
      <c r="N226" t="s">
        <v>47</v>
      </c>
      <c r="O226" t="s">
        <v>190</v>
      </c>
      <c r="P226">
        <v>1.1421027369006055E-2</v>
      </c>
      <c r="Q226" t="s">
        <v>38</v>
      </c>
      <c r="S226" t="s">
        <v>48</v>
      </c>
      <c r="T226" t="s">
        <v>190</v>
      </c>
      <c r="U226">
        <v>1.2529592929187894E-2</v>
      </c>
      <c r="V226" t="s">
        <v>38</v>
      </c>
      <c r="X226" t="s">
        <v>71</v>
      </c>
      <c r="Y226" t="s">
        <v>190</v>
      </c>
      <c r="Z226">
        <v>9.5205275651675855E-3</v>
      </c>
    </row>
    <row r="227" spans="9:26" x14ac:dyDescent="0.25">
      <c r="I227" t="s">
        <v>46</v>
      </c>
      <c r="J227" t="s">
        <v>191</v>
      </c>
      <c r="K227">
        <v>0</v>
      </c>
      <c r="L227" t="s">
        <v>38</v>
      </c>
      <c r="N227" t="s">
        <v>47</v>
      </c>
      <c r="O227" t="s">
        <v>191</v>
      </c>
      <c r="P227">
        <v>1.6289694029045208E-2</v>
      </c>
      <c r="Q227" t="s">
        <v>38</v>
      </c>
      <c r="S227" t="s">
        <v>48</v>
      </c>
      <c r="T227" t="s">
        <v>191</v>
      </c>
      <c r="U227">
        <v>1.4993707346755701E-2</v>
      </c>
      <c r="V227" t="s">
        <v>38</v>
      </c>
      <c r="X227" t="s">
        <v>71</v>
      </c>
      <c r="Y227" t="s">
        <v>191</v>
      </c>
      <c r="Z227">
        <v>1.3014575346651859E-2</v>
      </c>
    </row>
    <row r="228" spans="9:26" x14ac:dyDescent="0.25">
      <c r="I228" t="s">
        <v>46</v>
      </c>
      <c r="J228" t="s">
        <v>192</v>
      </c>
      <c r="K228">
        <v>2.300476487782701E-3</v>
      </c>
      <c r="L228" t="s">
        <v>38</v>
      </c>
      <c r="N228" t="s">
        <v>47</v>
      </c>
      <c r="O228" t="s">
        <v>192</v>
      </c>
      <c r="P228">
        <v>3.1602912511569472E-3</v>
      </c>
      <c r="Q228" t="s">
        <v>38</v>
      </c>
      <c r="S228" t="s">
        <v>48</v>
      </c>
      <c r="T228" t="s">
        <v>192</v>
      </c>
      <c r="U228">
        <v>2.5434651355776645E-3</v>
      </c>
      <c r="V228" t="s">
        <v>38</v>
      </c>
      <c r="X228" t="s">
        <v>71</v>
      </c>
      <c r="Y228" t="s">
        <v>192</v>
      </c>
      <c r="Z228">
        <v>3.3452441109341371E-3</v>
      </c>
    </row>
    <row r="229" spans="9:26" x14ac:dyDescent="0.25">
      <c r="I229" t="s">
        <v>46</v>
      </c>
      <c r="J229" t="s">
        <v>193</v>
      </c>
      <c r="K229">
        <v>9.8898758903617504E-2</v>
      </c>
      <c r="L229" t="s">
        <v>38</v>
      </c>
      <c r="N229" t="s">
        <v>47</v>
      </c>
      <c r="O229" t="s">
        <v>193</v>
      </c>
      <c r="P229">
        <v>2.513953322296333E-2</v>
      </c>
      <c r="Q229" t="s">
        <v>38</v>
      </c>
      <c r="S229" t="s">
        <v>48</v>
      </c>
      <c r="T229" t="s">
        <v>193</v>
      </c>
      <c r="U229">
        <v>2.0528864682932271E-2</v>
      </c>
      <c r="V229" t="s">
        <v>38</v>
      </c>
      <c r="X229" t="s">
        <v>71</v>
      </c>
      <c r="Y229" t="s">
        <v>193</v>
      </c>
      <c r="Z229">
        <v>3.2126428380157265E-2</v>
      </c>
    </row>
    <row r="230" spans="9:26" x14ac:dyDescent="0.25">
      <c r="I230" t="s">
        <v>46</v>
      </c>
      <c r="J230" t="s">
        <v>194</v>
      </c>
      <c r="K230">
        <v>1.2013603303519943E-2</v>
      </c>
      <c r="L230" t="s">
        <v>38</v>
      </c>
      <c r="N230" t="s">
        <v>47</v>
      </c>
      <c r="O230" t="s">
        <v>194</v>
      </c>
      <c r="P230">
        <v>2.611572684013875E-3</v>
      </c>
      <c r="Q230" t="s">
        <v>38</v>
      </c>
      <c r="S230" t="s">
        <v>48</v>
      </c>
      <c r="T230" t="s">
        <v>194</v>
      </c>
      <c r="U230">
        <v>2.4337608227666006E-3</v>
      </c>
      <c r="V230" t="s">
        <v>38</v>
      </c>
      <c r="X230" t="s">
        <v>71</v>
      </c>
      <c r="Y230" t="s">
        <v>194</v>
      </c>
      <c r="Z230">
        <v>3.5255619662206026E-3</v>
      </c>
    </row>
    <row r="231" spans="9:26" x14ac:dyDescent="0.25">
      <c r="I231" t="s">
        <v>46</v>
      </c>
      <c r="J231" t="s">
        <v>195</v>
      </c>
      <c r="K231">
        <v>2.755274119296108E-2</v>
      </c>
      <c r="L231" t="s">
        <v>38</v>
      </c>
      <c r="N231" t="s">
        <v>47</v>
      </c>
      <c r="O231" t="s">
        <v>195</v>
      </c>
      <c r="P231">
        <v>7.9447385393417429E-3</v>
      </c>
      <c r="Q231" t="s">
        <v>38</v>
      </c>
      <c r="S231" t="s">
        <v>48</v>
      </c>
      <c r="T231" t="s">
        <v>195</v>
      </c>
      <c r="U231">
        <v>7.5155242641063184E-3</v>
      </c>
      <c r="V231" t="s">
        <v>38</v>
      </c>
      <c r="X231" t="s">
        <v>71</v>
      </c>
      <c r="Y231" t="s">
        <v>195</v>
      </c>
      <c r="Z231">
        <v>1.0434293666696794E-2</v>
      </c>
    </row>
    <row r="232" spans="9:26" x14ac:dyDescent="0.25">
      <c r="I232" t="s">
        <v>46</v>
      </c>
      <c r="J232" t="s">
        <v>196</v>
      </c>
      <c r="K232">
        <v>5.0237450764106925E-3</v>
      </c>
      <c r="L232" t="s">
        <v>38</v>
      </c>
      <c r="N232" t="s">
        <v>47</v>
      </c>
      <c r="O232" t="s">
        <v>196</v>
      </c>
      <c r="P232">
        <v>2.8522231758235325E-3</v>
      </c>
      <c r="Q232" t="s">
        <v>38</v>
      </c>
      <c r="S232" t="s">
        <v>48</v>
      </c>
      <c r="T232" t="s">
        <v>196</v>
      </c>
      <c r="U232">
        <v>2.7483147363509407E-3</v>
      </c>
      <c r="V232" t="s">
        <v>38</v>
      </c>
      <c r="X232" t="s">
        <v>71</v>
      </c>
      <c r="Y232" t="s">
        <v>196</v>
      </c>
      <c r="Z232">
        <v>3.2923946863778913E-3</v>
      </c>
    </row>
    <row r="233" spans="9:26" x14ac:dyDescent="0.25">
      <c r="I233" t="s">
        <v>46</v>
      </c>
      <c r="J233" t="s">
        <v>197</v>
      </c>
      <c r="K233">
        <v>2.388303970963498E-3</v>
      </c>
      <c r="L233" t="s">
        <v>38</v>
      </c>
      <c r="N233" t="s">
        <v>47</v>
      </c>
      <c r="O233" t="s">
        <v>197</v>
      </c>
      <c r="P233">
        <v>2.9442535801057624E-3</v>
      </c>
      <c r="Q233" t="s">
        <v>38</v>
      </c>
      <c r="S233" t="s">
        <v>48</v>
      </c>
      <c r="T233" t="s">
        <v>197</v>
      </c>
      <c r="U233">
        <v>2.862715745467224E-3</v>
      </c>
      <c r="V233" t="s">
        <v>38</v>
      </c>
      <c r="X233" t="s">
        <v>71</v>
      </c>
      <c r="Y233" t="s">
        <v>197</v>
      </c>
      <c r="Z233">
        <v>3.1417875179533565E-3</v>
      </c>
    </row>
    <row r="234" spans="9:26" x14ac:dyDescent="0.25">
      <c r="I234" t="s">
        <v>46</v>
      </c>
      <c r="J234" t="s">
        <v>198</v>
      </c>
      <c r="K234">
        <v>1.78179091166138E-4</v>
      </c>
      <c r="L234" t="s">
        <v>38</v>
      </c>
      <c r="N234" t="s">
        <v>47</v>
      </c>
      <c r="O234" t="s">
        <v>198</v>
      </c>
      <c r="P234">
        <v>8.5973716296572945E-3</v>
      </c>
      <c r="Q234" t="s">
        <v>38</v>
      </c>
      <c r="S234" t="s">
        <v>48</v>
      </c>
      <c r="T234" t="s">
        <v>198</v>
      </c>
      <c r="U234">
        <v>8.6514872962610689E-3</v>
      </c>
      <c r="V234" t="s">
        <v>38</v>
      </c>
      <c r="X234" t="s">
        <v>71</v>
      </c>
      <c r="Y234" t="s">
        <v>198</v>
      </c>
      <c r="Z234">
        <v>7.7096730742893041E-3</v>
      </c>
    </row>
    <row r="235" spans="9:26" x14ac:dyDescent="0.25">
      <c r="I235" t="s">
        <v>46</v>
      </c>
      <c r="J235" t="s">
        <v>199</v>
      </c>
      <c r="K235">
        <v>4.9981932415568491E-4</v>
      </c>
      <c r="L235" t="s">
        <v>38</v>
      </c>
      <c r="N235" t="s">
        <v>47</v>
      </c>
      <c r="O235" t="s">
        <v>199</v>
      </c>
      <c r="P235">
        <v>1.2545351799371393E-2</v>
      </c>
      <c r="Q235" t="s">
        <v>38</v>
      </c>
      <c r="S235" t="s">
        <v>48</v>
      </c>
      <c r="T235" t="s">
        <v>199</v>
      </c>
      <c r="U235">
        <v>1.0110903489921979E-2</v>
      </c>
      <c r="V235" t="s">
        <v>38</v>
      </c>
      <c r="X235" t="s">
        <v>71</v>
      </c>
      <c r="Y235" t="s">
        <v>199</v>
      </c>
      <c r="Z235">
        <v>1.1331637101402961E-2</v>
      </c>
    </row>
    <row r="236" spans="9:26" x14ac:dyDescent="0.25">
      <c r="I236" t="s">
        <v>46</v>
      </c>
      <c r="J236" t="s">
        <v>200</v>
      </c>
      <c r="K236">
        <v>3.0741969781766789E-3</v>
      </c>
      <c r="L236" t="s">
        <v>38</v>
      </c>
      <c r="N236" t="s">
        <v>47</v>
      </c>
      <c r="O236" t="s">
        <v>200</v>
      </c>
      <c r="P236">
        <v>2.4100622256746874E-3</v>
      </c>
      <c r="Q236" t="s">
        <v>38</v>
      </c>
      <c r="S236" t="s">
        <v>48</v>
      </c>
      <c r="T236" t="s">
        <v>200</v>
      </c>
      <c r="U236">
        <v>1.9028103808438161E-3</v>
      </c>
      <c r="V236" t="s">
        <v>38</v>
      </c>
      <c r="X236" t="s">
        <v>71</v>
      </c>
      <c r="Y236" t="s">
        <v>200</v>
      </c>
      <c r="Z236">
        <v>3.1008006658386411E-3</v>
      </c>
    </row>
    <row r="237" spans="9:26" x14ac:dyDescent="0.25">
      <c r="I237" t="s">
        <v>46</v>
      </c>
      <c r="J237" t="s">
        <v>201</v>
      </c>
      <c r="K237">
        <v>9.3970270694203162E-2</v>
      </c>
      <c r="L237" t="s">
        <v>38</v>
      </c>
      <c r="N237" t="s">
        <v>47</v>
      </c>
      <c r="O237" t="s">
        <v>201</v>
      </c>
      <c r="P237">
        <v>2.1677401018385344E-2</v>
      </c>
      <c r="Q237" t="s">
        <v>38</v>
      </c>
      <c r="S237" t="s">
        <v>48</v>
      </c>
      <c r="T237" t="s">
        <v>201</v>
      </c>
      <c r="U237">
        <v>1.3193199608270869E-2</v>
      </c>
      <c r="V237" t="s">
        <v>38</v>
      </c>
      <c r="X237" t="s">
        <v>71</v>
      </c>
      <c r="Y237" t="s">
        <v>201</v>
      </c>
      <c r="Z237">
        <v>3.1151832062842878E-2</v>
      </c>
    </row>
    <row r="238" spans="9:26" x14ac:dyDescent="0.25">
      <c r="I238" t="s">
        <v>46</v>
      </c>
      <c r="J238" t="s">
        <v>202</v>
      </c>
      <c r="K238">
        <v>1.0907736790918474E-2</v>
      </c>
      <c r="L238" t="s">
        <v>38</v>
      </c>
      <c r="N238" t="s">
        <v>47</v>
      </c>
      <c r="O238" t="s">
        <v>202</v>
      </c>
      <c r="P238">
        <v>2.5690783037221115E-3</v>
      </c>
      <c r="Q238" t="s">
        <v>38</v>
      </c>
      <c r="S238" t="s">
        <v>48</v>
      </c>
      <c r="T238" t="s">
        <v>202</v>
      </c>
      <c r="U238">
        <v>1.4709565278928848E-3</v>
      </c>
      <c r="V238" t="s">
        <v>38</v>
      </c>
      <c r="X238" t="s">
        <v>71</v>
      </c>
      <c r="Y238" t="s">
        <v>202</v>
      </c>
      <c r="Z238">
        <v>3.4567812457511771E-3</v>
      </c>
    </row>
    <row r="239" spans="9:26" x14ac:dyDescent="0.25">
      <c r="I239" t="s">
        <v>46</v>
      </c>
      <c r="J239" t="s">
        <v>203</v>
      </c>
      <c r="K239">
        <v>2.6522702369188439E-2</v>
      </c>
      <c r="L239" t="s">
        <v>38</v>
      </c>
      <c r="N239" t="s">
        <v>47</v>
      </c>
      <c r="O239" t="s">
        <v>203</v>
      </c>
      <c r="P239">
        <v>7.9801982129240751E-3</v>
      </c>
      <c r="Q239" t="s">
        <v>38</v>
      </c>
      <c r="S239" t="s">
        <v>48</v>
      </c>
      <c r="T239" t="s">
        <v>203</v>
      </c>
      <c r="U239">
        <v>4.3390163179150712E-3</v>
      </c>
      <c r="V239" t="s">
        <v>38</v>
      </c>
      <c r="X239" t="s">
        <v>71</v>
      </c>
      <c r="Y239" t="s">
        <v>203</v>
      </c>
      <c r="Z239">
        <v>1.0112531648032261E-2</v>
      </c>
    </row>
    <row r="240" spans="9:26" x14ac:dyDescent="0.25">
      <c r="I240" t="s">
        <v>46</v>
      </c>
      <c r="J240" t="s">
        <v>204</v>
      </c>
      <c r="K240">
        <v>5.7421289151942893E-3</v>
      </c>
      <c r="L240" t="s">
        <v>38</v>
      </c>
      <c r="N240" t="s">
        <v>47</v>
      </c>
      <c r="O240" t="s">
        <v>204</v>
      </c>
      <c r="P240">
        <v>2.5431200617500598E-3</v>
      </c>
      <c r="Q240" t="s">
        <v>38</v>
      </c>
      <c r="S240" t="s">
        <v>48</v>
      </c>
      <c r="T240" t="s">
        <v>204</v>
      </c>
      <c r="U240">
        <v>1.4421038555863766E-3</v>
      </c>
      <c r="V240" t="s">
        <v>38</v>
      </c>
      <c r="X240" t="s">
        <v>71</v>
      </c>
      <c r="Y240" t="s">
        <v>204</v>
      </c>
      <c r="Z240">
        <v>3.226489193669298E-3</v>
      </c>
    </row>
    <row r="241" spans="9:26" x14ac:dyDescent="0.25">
      <c r="I241" t="s">
        <v>46</v>
      </c>
      <c r="J241" t="s">
        <v>205</v>
      </c>
      <c r="K241">
        <v>3.5118881863212309E-3</v>
      </c>
      <c r="L241" t="s">
        <v>38</v>
      </c>
      <c r="N241" t="s">
        <v>47</v>
      </c>
      <c r="O241" t="s">
        <v>205</v>
      </c>
      <c r="P241">
        <v>2.4184415346917634E-3</v>
      </c>
      <c r="Q241" t="s">
        <v>38</v>
      </c>
      <c r="S241" t="s">
        <v>48</v>
      </c>
      <c r="T241" t="s">
        <v>205</v>
      </c>
      <c r="U241">
        <v>1.4973417600627969E-3</v>
      </c>
      <c r="V241" t="s">
        <v>38</v>
      </c>
      <c r="X241" t="s">
        <v>71</v>
      </c>
      <c r="Y241" t="s">
        <v>205</v>
      </c>
      <c r="Z241">
        <v>2.9747013911850077E-3</v>
      </c>
    </row>
    <row r="242" spans="9:26" x14ac:dyDescent="0.25">
      <c r="I242" t="s">
        <v>46</v>
      </c>
      <c r="J242" t="s">
        <v>206</v>
      </c>
      <c r="K242">
        <v>1.4100511212239352E-3</v>
      </c>
      <c r="L242" t="s">
        <v>38</v>
      </c>
      <c r="N242" t="s">
        <v>47</v>
      </c>
      <c r="O242" t="s">
        <v>206</v>
      </c>
      <c r="P242">
        <v>7.1045970970059396E-3</v>
      </c>
      <c r="Q242" t="s">
        <v>38</v>
      </c>
      <c r="S242" t="s">
        <v>48</v>
      </c>
      <c r="T242" t="s">
        <v>206</v>
      </c>
      <c r="U242">
        <v>5.4221647361911074E-3</v>
      </c>
      <c r="V242" t="s">
        <v>38</v>
      </c>
      <c r="X242" t="s">
        <v>71</v>
      </c>
      <c r="Y242" t="s">
        <v>206</v>
      </c>
      <c r="Z242">
        <v>6.927600782676329E-3</v>
      </c>
    </row>
    <row r="243" spans="9:26" x14ac:dyDescent="0.25">
      <c r="I243" t="s">
        <v>46</v>
      </c>
      <c r="J243" t="s">
        <v>207</v>
      </c>
      <c r="K243">
        <v>9.5533619202253936E-6</v>
      </c>
      <c r="L243" t="s">
        <v>38</v>
      </c>
      <c r="N243" t="s">
        <v>47</v>
      </c>
      <c r="O243" t="s">
        <v>207</v>
      </c>
      <c r="P243">
        <v>1.4102679997395144E-2</v>
      </c>
      <c r="Q243" t="s">
        <v>38</v>
      </c>
      <c r="S243" t="s">
        <v>48</v>
      </c>
      <c r="T243" t="s">
        <v>207</v>
      </c>
      <c r="U243">
        <v>1.4293908033254296E-2</v>
      </c>
      <c r="V243" t="s">
        <v>38</v>
      </c>
      <c r="X243" t="s">
        <v>71</v>
      </c>
      <c r="Y243" t="s">
        <v>207</v>
      </c>
      <c r="Z243">
        <v>1.1777936364459845E-2</v>
      </c>
    </row>
    <row r="244" spans="9:26" x14ac:dyDescent="0.25">
      <c r="I244" t="s">
        <v>46</v>
      </c>
      <c r="J244" t="s">
        <v>208</v>
      </c>
      <c r="K244">
        <v>2.5665630783710913E-3</v>
      </c>
      <c r="L244" t="s">
        <v>38</v>
      </c>
      <c r="N244" t="s">
        <v>47</v>
      </c>
      <c r="O244" t="s">
        <v>208</v>
      </c>
      <c r="P244">
        <v>2.5645103767427931E-3</v>
      </c>
      <c r="Q244" t="s">
        <v>38</v>
      </c>
      <c r="S244" t="s">
        <v>48</v>
      </c>
      <c r="T244" t="s">
        <v>208</v>
      </c>
      <c r="U244">
        <v>2.5427661875999713E-3</v>
      </c>
      <c r="V244" t="s">
        <v>38</v>
      </c>
      <c r="X244" t="s">
        <v>71</v>
      </c>
      <c r="Y244" t="s">
        <v>208</v>
      </c>
      <c r="Z244">
        <v>3.2430194754923905E-3</v>
      </c>
    </row>
    <row r="245" spans="9:26" x14ac:dyDescent="0.25">
      <c r="I245" t="s">
        <v>46</v>
      </c>
      <c r="J245" t="s">
        <v>209</v>
      </c>
      <c r="K245">
        <v>9.2678473238022349E-2</v>
      </c>
      <c r="L245" t="s">
        <v>38</v>
      </c>
      <c r="N245" t="s">
        <v>47</v>
      </c>
      <c r="O245" t="s">
        <v>209</v>
      </c>
      <c r="P245">
        <v>2.3125549902920529E-2</v>
      </c>
      <c r="Q245" t="s">
        <v>38</v>
      </c>
      <c r="S245" t="s">
        <v>48</v>
      </c>
      <c r="T245" t="s">
        <v>209</v>
      </c>
      <c r="U245">
        <v>1.8298658761149628E-2</v>
      </c>
      <c r="V245" t="s">
        <v>38</v>
      </c>
      <c r="X245" t="s">
        <v>71</v>
      </c>
      <c r="Y245" t="s">
        <v>209</v>
      </c>
      <c r="Z245">
        <v>3.2781620727294521E-2</v>
      </c>
    </row>
    <row r="246" spans="9:26" x14ac:dyDescent="0.25">
      <c r="I246" t="s">
        <v>46</v>
      </c>
      <c r="J246" t="s">
        <v>210</v>
      </c>
      <c r="K246">
        <v>1.1299766534275441E-2</v>
      </c>
      <c r="L246" t="s">
        <v>38</v>
      </c>
      <c r="N246" t="s">
        <v>47</v>
      </c>
      <c r="O246" t="s">
        <v>210</v>
      </c>
      <c r="P246">
        <v>3.3183652528770537E-3</v>
      </c>
      <c r="Q246" t="s">
        <v>38</v>
      </c>
      <c r="S246" t="s">
        <v>48</v>
      </c>
      <c r="T246" t="s">
        <v>210</v>
      </c>
      <c r="U246">
        <v>1.9146569748672202E-3</v>
      </c>
      <c r="V246" t="s">
        <v>38</v>
      </c>
      <c r="X246" t="s">
        <v>71</v>
      </c>
      <c r="Y246" t="s">
        <v>210</v>
      </c>
      <c r="Z246">
        <v>3.6493849990233166E-3</v>
      </c>
    </row>
    <row r="247" spans="9:26" x14ac:dyDescent="0.25">
      <c r="I247" t="s">
        <v>46</v>
      </c>
      <c r="J247" t="s">
        <v>211</v>
      </c>
      <c r="K247">
        <v>2.8822539358715871E-2</v>
      </c>
      <c r="L247" t="s">
        <v>38</v>
      </c>
      <c r="N247" t="s">
        <v>47</v>
      </c>
      <c r="O247" t="s">
        <v>211</v>
      </c>
      <c r="P247">
        <v>1.0173635416971501E-2</v>
      </c>
      <c r="Q247" t="s">
        <v>38</v>
      </c>
      <c r="S247" t="s">
        <v>48</v>
      </c>
      <c r="T247" t="s">
        <v>211</v>
      </c>
      <c r="U247">
        <v>6.1106287108525104E-3</v>
      </c>
      <c r="V247" t="s">
        <v>38</v>
      </c>
      <c r="X247" t="s">
        <v>71</v>
      </c>
      <c r="Y247" t="s">
        <v>211</v>
      </c>
      <c r="Z247">
        <v>1.0650226634804688E-2</v>
      </c>
    </row>
    <row r="248" spans="9:26" x14ac:dyDescent="0.25">
      <c r="I248" t="s">
        <v>46</v>
      </c>
      <c r="J248" t="s">
        <v>212</v>
      </c>
      <c r="K248">
        <v>6.3518314942693499E-3</v>
      </c>
      <c r="L248" t="s">
        <v>38</v>
      </c>
      <c r="N248" t="s">
        <v>47</v>
      </c>
      <c r="O248" t="s">
        <v>212</v>
      </c>
      <c r="P248">
        <v>3.1974671214672753E-3</v>
      </c>
      <c r="Q248" t="s">
        <v>38</v>
      </c>
      <c r="S248" t="s">
        <v>48</v>
      </c>
      <c r="T248" t="s">
        <v>212</v>
      </c>
      <c r="U248">
        <v>2.2802904334771478E-3</v>
      </c>
      <c r="V248" t="s">
        <v>38</v>
      </c>
      <c r="X248" t="s">
        <v>71</v>
      </c>
      <c r="Y248" t="s">
        <v>212</v>
      </c>
      <c r="Z248">
        <v>3.3951327156011707E-3</v>
      </c>
    </row>
    <row r="249" spans="9:26" x14ac:dyDescent="0.25">
      <c r="I249" t="s">
        <v>46</v>
      </c>
      <c r="J249" t="s">
        <v>213</v>
      </c>
      <c r="K249">
        <v>3.9250689974958987E-3</v>
      </c>
      <c r="L249" t="s">
        <v>38</v>
      </c>
      <c r="N249" t="s">
        <v>47</v>
      </c>
      <c r="O249" t="s">
        <v>213</v>
      </c>
      <c r="P249">
        <v>3.118633746771658E-3</v>
      </c>
      <c r="Q249" t="s">
        <v>38</v>
      </c>
      <c r="S249" t="s">
        <v>48</v>
      </c>
      <c r="T249" t="s">
        <v>213</v>
      </c>
      <c r="U249">
        <v>2.4612524285259943E-3</v>
      </c>
      <c r="V249" t="s">
        <v>38</v>
      </c>
      <c r="X249" t="s">
        <v>71</v>
      </c>
      <c r="Y249" t="s">
        <v>213</v>
      </c>
      <c r="Z249">
        <v>3.1040501337188425E-3</v>
      </c>
    </row>
    <row r="250" spans="9:26" x14ac:dyDescent="0.25">
      <c r="I250" t="s">
        <v>46</v>
      </c>
      <c r="J250" t="s">
        <v>214</v>
      </c>
      <c r="K250">
        <v>1.3395853207447772E-3</v>
      </c>
      <c r="L250" t="s">
        <v>38</v>
      </c>
      <c r="N250" t="s">
        <v>47</v>
      </c>
      <c r="O250" t="s">
        <v>214</v>
      </c>
      <c r="P250">
        <v>9.1522332684252916E-3</v>
      </c>
      <c r="Q250" t="s">
        <v>38</v>
      </c>
      <c r="S250" t="s">
        <v>48</v>
      </c>
      <c r="T250" t="s">
        <v>214</v>
      </c>
      <c r="U250">
        <v>7.9927707087978882E-3</v>
      </c>
      <c r="V250" t="s">
        <v>38</v>
      </c>
      <c r="X250" t="s">
        <v>71</v>
      </c>
      <c r="Y250" t="s">
        <v>214</v>
      </c>
      <c r="Z250">
        <v>7.1828388708489264E-3</v>
      </c>
    </row>
    <row r="251" spans="9:26" x14ac:dyDescent="0.25">
      <c r="I251" t="s">
        <v>46</v>
      </c>
      <c r="J251" t="s">
        <v>215</v>
      </c>
      <c r="K251">
        <v>0</v>
      </c>
      <c r="L251" t="s">
        <v>38</v>
      </c>
      <c r="N251" t="s">
        <v>47</v>
      </c>
      <c r="O251" t="s">
        <v>215</v>
      </c>
      <c r="P251">
        <v>1.1531509117666539E-2</v>
      </c>
      <c r="Q251" t="s">
        <v>38</v>
      </c>
      <c r="S251" t="s">
        <v>48</v>
      </c>
      <c r="T251" t="s">
        <v>215</v>
      </c>
      <c r="U251">
        <v>1.1721796730356705E-2</v>
      </c>
      <c r="V251" t="s">
        <v>38</v>
      </c>
      <c r="X251" t="s">
        <v>71</v>
      </c>
      <c r="Y251" t="s">
        <v>215</v>
      </c>
      <c r="Z251">
        <v>1.1769034568936449E-2</v>
      </c>
    </row>
    <row r="252" spans="9:26" x14ac:dyDescent="0.25">
      <c r="I252" t="s">
        <v>46</v>
      </c>
      <c r="J252" t="s">
        <v>216</v>
      </c>
      <c r="K252">
        <v>3.8191491905442866E-4</v>
      </c>
      <c r="L252" t="s">
        <v>38</v>
      </c>
      <c r="N252" t="s">
        <v>47</v>
      </c>
      <c r="O252" t="s">
        <v>216</v>
      </c>
      <c r="P252">
        <v>2.3864889275630047E-3</v>
      </c>
      <c r="Q252" t="s">
        <v>38</v>
      </c>
      <c r="S252" t="s">
        <v>48</v>
      </c>
      <c r="T252" t="s">
        <v>216</v>
      </c>
      <c r="U252">
        <v>2.3723456403276751E-3</v>
      </c>
      <c r="V252" t="s">
        <v>38</v>
      </c>
      <c r="X252" t="s">
        <v>71</v>
      </c>
      <c r="Y252" t="s">
        <v>216</v>
      </c>
      <c r="Z252">
        <v>3.1968510763847715E-3</v>
      </c>
    </row>
    <row r="253" spans="9:26" x14ac:dyDescent="0.25">
      <c r="I253" t="s">
        <v>46</v>
      </c>
      <c r="J253" t="s">
        <v>217</v>
      </c>
      <c r="K253">
        <v>8.4784634285819269E-2</v>
      </c>
      <c r="L253" t="s">
        <v>38</v>
      </c>
      <c r="N253" t="s">
        <v>47</v>
      </c>
      <c r="O253" t="s">
        <v>217</v>
      </c>
      <c r="P253">
        <v>2.0571555284513803E-2</v>
      </c>
      <c r="Q253" t="s">
        <v>38</v>
      </c>
      <c r="S253" t="s">
        <v>48</v>
      </c>
      <c r="T253" t="s">
        <v>217</v>
      </c>
      <c r="U253">
        <v>1.9076733850018762E-2</v>
      </c>
      <c r="V253" t="s">
        <v>38</v>
      </c>
      <c r="X253" t="s">
        <v>71</v>
      </c>
      <c r="Y253" t="s">
        <v>217</v>
      </c>
      <c r="Z253">
        <v>3.2223575987753272E-2</v>
      </c>
    </row>
    <row r="254" spans="9:26" x14ac:dyDescent="0.25">
      <c r="I254" t="s">
        <v>46</v>
      </c>
      <c r="J254" t="s">
        <v>218</v>
      </c>
      <c r="K254">
        <v>1.0214404125371127E-2</v>
      </c>
      <c r="L254" t="s">
        <v>38</v>
      </c>
      <c r="N254" t="s">
        <v>47</v>
      </c>
      <c r="O254" t="s">
        <v>218</v>
      </c>
      <c r="P254">
        <v>2.1713046730659938E-3</v>
      </c>
      <c r="Q254" t="s">
        <v>38</v>
      </c>
      <c r="S254" t="s">
        <v>48</v>
      </c>
      <c r="T254" t="s">
        <v>218</v>
      </c>
      <c r="U254">
        <v>1.6599914876447032E-3</v>
      </c>
      <c r="V254" t="s">
        <v>38</v>
      </c>
      <c r="X254" t="s">
        <v>71</v>
      </c>
      <c r="Y254" t="s">
        <v>218</v>
      </c>
      <c r="Z254">
        <v>3.5826792587668973E-3</v>
      </c>
    </row>
    <row r="255" spans="9:26" x14ac:dyDescent="0.25">
      <c r="I255" t="s">
        <v>46</v>
      </c>
      <c r="J255" t="s">
        <v>219</v>
      </c>
      <c r="K255">
        <v>2.4378037715527424E-2</v>
      </c>
      <c r="L255" t="s">
        <v>38</v>
      </c>
      <c r="N255" t="s">
        <v>47</v>
      </c>
      <c r="O255" t="s">
        <v>219</v>
      </c>
      <c r="P255">
        <v>6.5416828373220728E-3</v>
      </c>
      <c r="Q255" t="s">
        <v>38</v>
      </c>
      <c r="S255" t="s">
        <v>48</v>
      </c>
      <c r="T255" t="s">
        <v>219</v>
      </c>
      <c r="U255">
        <v>4.9023964215675099E-3</v>
      </c>
      <c r="V255" t="s">
        <v>38</v>
      </c>
      <c r="X255" t="s">
        <v>71</v>
      </c>
      <c r="Y255" t="s">
        <v>219</v>
      </c>
      <c r="Z255">
        <v>1.0443674380475474E-2</v>
      </c>
    </row>
    <row r="256" spans="9:26" x14ac:dyDescent="0.25">
      <c r="I256" t="s">
        <v>46</v>
      </c>
      <c r="J256" t="s">
        <v>220</v>
      </c>
      <c r="K256">
        <v>4.3377576271416947E-3</v>
      </c>
      <c r="L256" t="s">
        <v>38</v>
      </c>
      <c r="N256" t="s">
        <v>47</v>
      </c>
      <c r="O256" t="s">
        <v>220</v>
      </c>
      <c r="P256">
        <v>2.3142074328356172E-3</v>
      </c>
      <c r="Q256" t="s">
        <v>38</v>
      </c>
      <c r="S256" t="s">
        <v>48</v>
      </c>
      <c r="T256" t="s">
        <v>220</v>
      </c>
      <c r="U256">
        <v>1.7134933533477076E-3</v>
      </c>
      <c r="V256" t="s">
        <v>38</v>
      </c>
      <c r="X256" t="s">
        <v>71</v>
      </c>
      <c r="Y256" t="s">
        <v>220</v>
      </c>
      <c r="Z256">
        <v>3.3046036596121428E-3</v>
      </c>
    </row>
    <row r="257" spans="9:26" x14ac:dyDescent="0.25">
      <c r="I257" t="s">
        <v>46</v>
      </c>
      <c r="J257" t="s">
        <v>221</v>
      </c>
      <c r="K257">
        <v>1.6354034867809978E-3</v>
      </c>
      <c r="L257" t="s">
        <v>38</v>
      </c>
      <c r="N257" t="s">
        <v>47</v>
      </c>
      <c r="O257" t="s">
        <v>221</v>
      </c>
      <c r="P257">
        <v>2.3912599413557817E-3</v>
      </c>
      <c r="Q257" t="s">
        <v>38</v>
      </c>
      <c r="S257" t="s">
        <v>48</v>
      </c>
      <c r="T257" t="s">
        <v>221</v>
      </c>
      <c r="U257">
        <v>1.9605578658707427E-3</v>
      </c>
      <c r="V257" t="s">
        <v>38</v>
      </c>
      <c r="X257" t="s">
        <v>71</v>
      </c>
      <c r="Y257" t="s">
        <v>221</v>
      </c>
      <c r="Z257">
        <v>3.0860863497889088E-3</v>
      </c>
    </row>
    <row r="258" spans="9:26" x14ac:dyDescent="0.25">
      <c r="I258" t="s">
        <v>46</v>
      </c>
      <c r="J258" t="s">
        <v>222</v>
      </c>
      <c r="K258">
        <v>0</v>
      </c>
      <c r="L258" t="s">
        <v>38</v>
      </c>
      <c r="N258" t="s">
        <v>47</v>
      </c>
      <c r="O258" t="s">
        <v>222</v>
      </c>
      <c r="P258">
        <v>6.9305016229904122E-3</v>
      </c>
      <c r="Q258" t="s">
        <v>38</v>
      </c>
      <c r="S258" t="s">
        <v>48</v>
      </c>
      <c r="T258" t="s">
        <v>222</v>
      </c>
      <c r="U258">
        <v>6.947923656647299E-3</v>
      </c>
      <c r="V258" t="s">
        <v>38</v>
      </c>
      <c r="X258" t="s">
        <v>71</v>
      </c>
      <c r="Y258" t="s">
        <v>222</v>
      </c>
      <c r="Z258">
        <v>7.1800170407158078E-3</v>
      </c>
    </row>
    <row r="259" spans="9:26" x14ac:dyDescent="0.25">
      <c r="I259" t="s">
        <v>46</v>
      </c>
      <c r="J259" t="s">
        <v>223</v>
      </c>
      <c r="K259">
        <v>0</v>
      </c>
      <c r="L259" t="s">
        <v>38</v>
      </c>
      <c r="N259" t="s">
        <v>47</v>
      </c>
      <c r="O259" t="s">
        <v>223</v>
      </c>
      <c r="P259">
        <v>1.2864583495627713E-2</v>
      </c>
      <c r="Q259" t="s">
        <v>38</v>
      </c>
      <c r="S259" t="s">
        <v>48</v>
      </c>
      <c r="T259" t="s">
        <v>223</v>
      </c>
      <c r="U259">
        <v>1.3504924875038654E-2</v>
      </c>
      <c r="V259" t="s">
        <v>38</v>
      </c>
      <c r="X259" t="s">
        <v>71</v>
      </c>
      <c r="Y259" t="s">
        <v>223</v>
      </c>
      <c r="Z259">
        <v>1.2479406550232053E-2</v>
      </c>
    </row>
    <row r="260" spans="9:26" x14ac:dyDescent="0.25">
      <c r="I260" t="s">
        <v>46</v>
      </c>
      <c r="J260" t="s">
        <v>224</v>
      </c>
      <c r="K260">
        <v>0</v>
      </c>
      <c r="L260" t="s">
        <v>38</v>
      </c>
      <c r="N260" t="s">
        <v>47</v>
      </c>
      <c r="O260" t="s">
        <v>224</v>
      </c>
      <c r="P260">
        <v>2.6831507737377302E-3</v>
      </c>
      <c r="Q260" t="s">
        <v>38</v>
      </c>
      <c r="S260" t="s">
        <v>48</v>
      </c>
      <c r="T260" t="s">
        <v>224</v>
      </c>
      <c r="U260">
        <v>2.4888797158217936E-3</v>
      </c>
      <c r="V260" t="s">
        <v>38</v>
      </c>
      <c r="X260" t="s">
        <v>71</v>
      </c>
      <c r="Y260" t="s">
        <v>224</v>
      </c>
      <c r="Z260">
        <v>3.2085270479097765E-3</v>
      </c>
    </row>
    <row r="261" spans="9:26" x14ac:dyDescent="0.25">
      <c r="I261" t="s">
        <v>46</v>
      </c>
      <c r="J261" t="s">
        <v>225</v>
      </c>
      <c r="K261">
        <v>6.6040147727521772E-2</v>
      </c>
      <c r="L261" t="s">
        <v>38</v>
      </c>
      <c r="N261" t="s">
        <v>47</v>
      </c>
      <c r="O261" t="s">
        <v>225</v>
      </c>
      <c r="P261">
        <v>2.2891376033145776E-2</v>
      </c>
      <c r="Q261" t="s">
        <v>38</v>
      </c>
      <c r="S261" t="s">
        <v>48</v>
      </c>
      <c r="T261" t="s">
        <v>225</v>
      </c>
      <c r="U261">
        <v>1.7849604750661954E-2</v>
      </c>
      <c r="V261" t="s">
        <v>38</v>
      </c>
      <c r="X261" t="s">
        <v>71</v>
      </c>
      <c r="Y261" t="s">
        <v>225</v>
      </c>
      <c r="Z261">
        <v>3.083751184846777E-2</v>
      </c>
    </row>
    <row r="262" spans="9:26" x14ac:dyDescent="0.25">
      <c r="I262" t="s">
        <v>46</v>
      </c>
      <c r="J262" t="s">
        <v>226</v>
      </c>
      <c r="K262">
        <v>8.7380030109766721E-3</v>
      </c>
      <c r="L262" t="s">
        <v>38</v>
      </c>
      <c r="N262" t="s">
        <v>47</v>
      </c>
      <c r="O262" t="s">
        <v>226</v>
      </c>
      <c r="P262">
        <v>2.4509424880227834E-3</v>
      </c>
      <c r="Q262" t="s">
        <v>38</v>
      </c>
      <c r="S262" t="s">
        <v>48</v>
      </c>
      <c r="T262" t="s">
        <v>226</v>
      </c>
      <c r="U262">
        <v>1.8301667966387641E-3</v>
      </c>
      <c r="V262" t="s">
        <v>38</v>
      </c>
      <c r="X262" t="s">
        <v>71</v>
      </c>
      <c r="Y262" t="s">
        <v>226</v>
      </c>
      <c r="Z262">
        <v>3.3954168523638584E-3</v>
      </c>
    </row>
    <row r="263" spans="9:26" x14ac:dyDescent="0.25">
      <c r="I263" t="s">
        <v>46</v>
      </c>
      <c r="J263" t="s">
        <v>227</v>
      </c>
      <c r="K263">
        <v>1.7781153358604109E-2</v>
      </c>
      <c r="L263" t="s">
        <v>38</v>
      </c>
      <c r="N263" t="s">
        <v>47</v>
      </c>
      <c r="O263" t="s">
        <v>227</v>
      </c>
      <c r="P263">
        <v>8.6548147252425416E-3</v>
      </c>
      <c r="Q263" t="s">
        <v>38</v>
      </c>
      <c r="S263" t="s">
        <v>48</v>
      </c>
      <c r="T263" t="s">
        <v>227</v>
      </c>
      <c r="U263">
        <v>6.3497552351274786E-3</v>
      </c>
      <c r="V263" t="s">
        <v>38</v>
      </c>
      <c r="X263" t="s">
        <v>71</v>
      </c>
      <c r="Y263" t="s">
        <v>227</v>
      </c>
      <c r="Z263">
        <v>1.0075759661711028E-2</v>
      </c>
    </row>
    <row r="264" spans="9:26" x14ac:dyDescent="0.25">
      <c r="I264" t="s">
        <v>46</v>
      </c>
      <c r="J264" t="s">
        <v>228</v>
      </c>
      <c r="K264">
        <v>1.1890659952457959E-3</v>
      </c>
      <c r="L264" t="s">
        <v>38</v>
      </c>
      <c r="N264" t="s">
        <v>47</v>
      </c>
      <c r="O264" t="s">
        <v>228</v>
      </c>
      <c r="P264">
        <v>3.1097034832307207E-3</v>
      </c>
      <c r="Q264" t="s">
        <v>38</v>
      </c>
      <c r="S264" t="s">
        <v>48</v>
      </c>
      <c r="T264" t="s">
        <v>228</v>
      </c>
      <c r="U264">
        <v>2.4819563807435591E-3</v>
      </c>
      <c r="V264" t="s">
        <v>38</v>
      </c>
      <c r="X264" t="s">
        <v>71</v>
      </c>
      <c r="Y264" t="s">
        <v>228</v>
      </c>
      <c r="Z264">
        <v>3.168821521688763E-3</v>
      </c>
    </row>
    <row r="265" spans="9:26" x14ac:dyDescent="0.25">
      <c r="I265" t="s">
        <v>46</v>
      </c>
      <c r="J265" t="s">
        <v>229</v>
      </c>
      <c r="K265">
        <v>0</v>
      </c>
      <c r="L265" t="s">
        <v>38</v>
      </c>
      <c r="N265" t="s">
        <v>47</v>
      </c>
      <c r="O265" t="s">
        <v>229</v>
      </c>
      <c r="P265">
        <v>3.057890054178843E-3</v>
      </c>
      <c r="Q265" t="s">
        <v>38</v>
      </c>
      <c r="S265" t="s">
        <v>48</v>
      </c>
      <c r="T265" t="s">
        <v>229</v>
      </c>
      <c r="U265">
        <v>2.6516523160621942E-3</v>
      </c>
      <c r="V265" t="s">
        <v>38</v>
      </c>
      <c r="X265" t="s">
        <v>71</v>
      </c>
      <c r="Y265" t="s">
        <v>229</v>
      </c>
      <c r="Z265">
        <v>3.0313582515994601E-3</v>
      </c>
    </row>
    <row r="266" spans="9:26" x14ac:dyDescent="0.25">
      <c r="I266" t="s">
        <v>46</v>
      </c>
      <c r="J266" t="s">
        <v>230</v>
      </c>
      <c r="K266">
        <v>0</v>
      </c>
      <c r="L266" t="s">
        <v>38</v>
      </c>
      <c r="N266" t="s">
        <v>47</v>
      </c>
      <c r="O266" t="s">
        <v>230</v>
      </c>
      <c r="P266">
        <v>8.7465558001662991E-3</v>
      </c>
      <c r="Q266" t="s">
        <v>38</v>
      </c>
      <c r="S266" t="s">
        <v>48</v>
      </c>
      <c r="T266" t="s">
        <v>230</v>
      </c>
      <c r="U266">
        <v>8.2096939793895943E-3</v>
      </c>
      <c r="V266" t="s">
        <v>38</v>
      </c>
      <c r="X266" t="s">
        <v>71</v>
      </c>
      <c r="Y266" t="s">
        <v>230</v>
      </c>
      <c r="Z266">
        <v>7.52173591644624E-3</v>
      </c>
    </row>
    <row r="267" spans="9:26" x14ac:dyDescent="0.25">
      <c r="I267" t="s">
        <v>46</v>
      </c>
      <c r="J267" t="s">
        <v>231</v>
      </c>
      <c r="K267">
        <v>0</v>
      </c>
      <c r="L267" t="s">
        <v>38</v>
      </c>
      <c r="N267" t="s">
        <v>47</v>
      </c>
      <c r="O267" t="s">
        <v>231</v>
      </c>
      <c r="P267">
        <v>2.0335451833471338E-2</v>
      </c>
      <c r="Q267" t="s">
        <v>38</v>
      </c>
      <c r="S267" t="s">
        <v>48</v>
      </c>
      <c r="T267" t="s">
        <v>231</v>
      </c>
      <c r="U267">
        <v>2.4134964635692181E-2</v>
      </c>
      <c r="V267" t="s">
        <v>38</v>
      </c>
      <c r="X267" t="s">
        <v>71</v>
      </c>
      <c r="Y267" t="s">
        <v>231</v>
      </c>
      <c r="Z267">
        <v>1.4531792155247624E-2</v>
      </c>
    </row>
    <row r="268" spans="9:26" x14ac:dyDescent="0.25">
      <c r="I268" t="s">
        <v>46</v>
      </c>
      <c r="J268" t="s">
        <v>232</v>
      </c>
      <c r="K268">
        <v>0</v>
      </c>
      <c r="L268" t="s">
        <v>38</v>
      </c>
      <c r="N268" t="s">
        <v>47</v>
      </c>
      <c r="O268" t="s">
        <v>232</v>
      </c>
      <c r="P268">
        <v>4.0473619823510731E-3</v>
      </c>
      <c r="Q268" t="s">
        <v>38</v>
      </c>
      <c r="S268" t="s">
        <v>48</v>
      </c>
      <c r="T268" t="s">
        <v>232</v>
      </c>
      <c r="U268">
        <v>4.7771209985278448E-3</v>
      </c>
      <c r="V268" t="s">
        <v>38</v>
      </c>
      <c r="X268" t="s">
        <v>71</v>
      </c>
      <c r="Y268" t="s">
        <v>232</v>
      </c>
      <c r="Z268">
        <v>3.4369611769699262E-3</v>
      </c>
    </row>
    <row r="269" spans="9:26" x14ac:dyDescent="0.25">
      <c r="I269" t="s">
        <v>46</v>
      </c>
      <c r="J269" t="s">
        <v>233</v>
      </c>
      <c r="K269">
        <v>2.7830038170374733E-2</v>
      </c>
      <c r="L269" t="s">
        <v>38</v>
      </c>
      <c r="N269" t="s">
        <v>47</v>
      </c>
      <c r="O269" t="s">
        <v>233</v>
      </c>
      <c r="P269">
        <v>3.8378098091050243E-2</v>
      </c>
      <c r="Q269" t="s">
        <v>38</v>
      </c>
      <c r="S269" t="s">
        <v>48</v>
      </c>
      <c r="T269" t="s">
        <v>233</v>
      </c>
      <c r="U269">
        <v>4.269094696047035E-2</v>
      </c>
      <c r="V269" t="s">
        <v>38</v>
      </c>
      <c r="X269" t="s">
        <v>71</v>
      </c>
      <c r="Y269" t="s">
        <v>233</v>
      </c>
      <c r="Z269">
        <v>3.3008975782873033E-2</v>
      </c>
    </row>
    <row r="270" spans="9:26" x14ac:dyDescent="0.25">
      <c r="I270" t="s">
        <v>46</v>
      </c>
      <c r="J270" t="s">
        <v>234</v>
      </c>
      <c r="K270">
        <v>3.9845765940151549E-3</v>
      </c>
      <c r="L270" t="s">
        <v>38</v>
      </c>
      <c r="N270" t="s">
        <v>47</v>
      </c>
      <c r="O270" t="s">
        <v>234</v>
      </c>
      <c r="P270">
        <v>4.3538646261021535E-3</v>
      </c>
      <c r="Q270" t="s">
        <v>38</v>
      </c>
      <c r="S270" t="s">
        <v>48</v>
      </c>
      <c r="T270" t="s">
        <v>234</v>
      </c>
      <c r="U270">
        <v>4.2171328093462438E-3</v>
      </c>
      <c r="V270" t="s">
        <v>38</v>
      </c>
      <c r="X270" t="s">
        <v>71</v>
      </c>
      <c r="Y270" t="s">
        <v>234</v>
      </c>
      <c r="Z270">
        <v>3.6936779413299283E-3</v>
      </c>
    </row>
    <row r="271" spans="9:26" x14ac:dyDescent="0.25">
      <c r="I271" t="s">
        <v>46</v>
      </c>
      <c r="J271" t="s">
        <v>235</v>
      </c>
      <c r="K271">
        <v>4.2125652615765154E-3</v>
      </c>
      <c r="L271" t="s">
        <v>38</v>
      </c>
      <c r="N271" t="s">
        <v>47</v>
      </c>
      <c r="O271" t="s">
        <v>235</v>
      </c>
      <c r="P271">
        <v>1.2989892016897124E-2</v>
      </c>
      <c r="Q271" t="s">
        <v>38</v>
      </c>
      <c r="S271" t="s">
        <v>48</v>
      </c>
      <c r="T271" t="s">
        <v>235</v>
      </c>
      <c r="U271">
        <v>1.3821212124597171E-2</v>
      </c>
      <c r="V271" t="s">
        <v>38</v>
      </c>
      <c r="X271" t="s">
        <v>71</v>
      </c>
      <c r="Y271" t="s">
        <v>235</v>
      </c>
      <c r="Z271">
        <v>1.1021201703442948E-2</v>
      </c>
    </row>
    <row r="272" spans="9:26" x14ac:dyDescent="0.25">
      <c r="I272" t="s">
        <v>46</v>
      </c>
      <c r="J272" t="s">
        <v>236</v>
      </c>
      <c r="K272">
        <v>0</v>
      </c>
      <c r="L272" t="s">
        <v>38</v>
      </c>
      <c r="N272" t="s">
        <v>47</v>
      </c>
      <c r="O272" t="s">
        <v>236</v>
      </c>
      <c r="P272">
        <v>4.294515956523309E-3</v>
      </c>
      <c r="Q272" t="s">
        <v>38</v>
      </c>
      <c r="S272" t="s">
        <v>48</v>
      </c>
      <c r="T272" t="s">
        <v>236</v>
      </c>
      <c r="U272">
        <v>5.2426647505304392E-3</v>
      </c>
      <c r="V272" t="s">
        <v>38</v>
      </c>
      <c r="X272" t="s">
        <v>71</v>
      </c>
      <c r="Y272" t="s">
        <v>236</v>
      </c>
      <c r="Z272">
        <v>3.5152769045506843E-3</v>
      </c>
    </row>
    <row r="273" spans="9:26" x14ac:dyDescent="0.25">
      <c r="I273" t="s">
        <v>46</v>
      </c>
      <c r="J273" t="s">
        <v>237</v>
      </c>
      <c r="K273">
        <v>0</v>
      </c>
      <c r="L273" t="s">
        <v>38</v>
      </c>
      <c r="N273" t="s">
        <v>47</v>
      </c>
      <c r="O273" t="s">
        <v>237</v>
      </c>
      <c r="P273">
        <v>4.3006273541231817E-3</v>
      </c>
      <c r="Q273" t="s">
        <v>38</v>
      </c>
      <c r="S273" t="s">
        <v>48</v>
      </c>
      <c r="T273" t="s">
        <v>237</v>
      </c>
      <c r="U273">
        <v>5.3529922426453587E-3</v>
      </c>
      <c r="V273" t="s">
        <v>38</v>
      </c>
      <c r="X273" t="s">
        <v>71</v>
      </c>
      <c r="Y273" t="s">
        <v>237</v>
      </c>
      <c r="Z273">
        <v>3.2851217680764633E-3</v>
      </c>
    </row>
    <row r="274" spans="9:26" x14ac:dyDescent="0.25">
      <c r="I274" t="s">
        <v>46</v>
      </c>
      <c r="J274" t="s">
        <v>238</v>
      </c>
      <c r="K274">
        <v>0</v>
      </c>
      <c r="L274" t="s">
        <v>38</v>
      </c>
      <c r="N274" t="s">
        <v>47</v>
      </c>
      <c r="O274" t="s">
        <v>238</v>
      </c>
      <c r="P274">
        <v>1.3245583907460754E-2</v>
      </c>
      <c r="Q274" t="s">
        <v>38</v>
      </c>
      <c r="S274" t="s">
        <v>48</v>
      </c>
      <c r="T274" t="s">
        <v>238</v>
      </c>
      <c r="U274">
        <v>1.5657677956526679E-2</v>
      </c>
      <c r="V274" t="s">
        <v>38</v>
      </c>
      <c r="X274" t="s">
        <v>71</v>
      </c>
      <c r="Y274" t="s">
        <v>238</v>
      </c>
      <c r="Z274">
        <v>8.5823239842190962E-3</v>
      </c>
    </row>
    <row r="275" spans="9:26" x14ac:dyDescent="0.25">
      <c r="I275" t="s">
        <v>46</v>
      </c>
      <c r="J275" t="s">
        <v>239</v>
      </c>
      <c r="K275">
        <v>0</v>
      </c>
      <c r="L275" t="s">
        <v>38</v>
      </c>
      <c r="N275" t="s">
        <v>47</v>
      </c>
      <c r="O275" t="s">
        <v>239</v>
      </c>
      <c r="P275">
        <v>2.2673057052832332E-2</v>
      </c>
      <c r="Q275" t="s">
        <v>38</v>
      </c>
      <c r="S275" t="s">
        <v>48</v>
      </c>
      <c r="T275" t="s">
        <v>239</v>
      </c>
      <c r="U275">
        <v>2.9616965590810288E-2</v>
      </c>
      <c r="V275" t="s">
        <v>38</v>
      </c>
      <c r="X275" t="s">
        <v>71</v>
      </c>
      <c r="Y275" t="s">
        <v>239</v>
      </c>
      <c r="Z275">
        <v>1.5033124372636795E-2</v>
      </c>
    </row>
    <row r="276" spans="9:26" x14ac:dyDescent="0.25">
      <c r="I276" t="s">
        <v>46</v>
      </c>
      <c r="J276" t="s">
        <v>240</v>
      </c>
      <c r="K276">
        <v>0</v>
      </c>
      <c r="L276" t="s">
        <v>38</v>
      </c>
      <c r="N276" t="s">
        <v>47</v>
      </c>
      <c r="O276" t="s">
        <v>240</v>
      </c>
      <c r="P276">
        <v>4.4225848797631792E-3</v>
      </c>
      <c r="Q276" t="s">
        <v>38</v>
      </c>
      <c r="S276" t="s">
        <v>48</v>
      </c>
      <c r="T276" t="s">
        <v>240</v>
      </c>
      <c r="U276">
        <v>5.711285204006121E-3</v>
      </c>
      <c r="V276" t="s">
        <v>38</v>
      </c>
      <c r="X276" t="s">
        <v>71</v>
      </c>
      <c r="Y276" t="s">
        <v>240</v>
      </c>
      <c r="Z276">
        <v>3.4906763138438132E-3</v>
      </c>
    </row>
    <row r="277" spans="9:26" x14ac:dyDescent="0.25">
      <c r="I277" t="s">
        <v>46</v>
      </c>
      <c r="J277" t="s">
        <v>241</v>
      </c>
      <c r="K277">
        <v>1.054576618552322E-2</v>
      </c>
      <c r="L277" t="s">
        <v>38</v>
      </c>
      <c r="N277" t="s">
        <v>47</v>
      </c>
      <c r="O277" t="s">
        <v>241</v>
      </c>
      <c r="P277">
        <v>3.9095379537426637E-2</v>
      </c>
      <c r="Q277" t="s">
        <v>38</v>
      </c>
      <c r="S277" t="s">
        <v>48</v>
      </c>
      <c r="T277" t="s">
        <v>241</v>
      </c>
      <c r="U277">
        <v>4.7104017753627971E-2</v>
      </c>
      <c r="V277" t="s">
        <v>38</v>
      </c>
      <c r="X277" t="s">
        <v>71</v>
      </c>
      <c r="Y277" t="s">
        <v>241</v>
      </c>
      <c r="Z277">
        <v>3.2780313939305285E-2</v>
      </c>
    </row>
    <row r="278" spans="9:26" x14ac:dyDescent="0.25">
      <c r="I278" t="s">
        <v>46</v>
      </c>
      <c r="J278" t="s">
        <v>242</v>
      </c>
      <c r="K278">
        <v>1.4366997665877397E-3</v>
      </c>
      <c r="L278" t="s">
        <v>38</v>
      </c>
      <c r="N278" t="s">
        <v>47</v>
      </c>
      <c r="O278" t="s">
        <v>242</v>
      </c>
      <c r="P278">
        <v>4.6584937062767269E-3</v>
      </c>
      <c r="Q278" t="s">
        <v>38</v>
      </c>
      <c r="S278" t="s">
        <v>48</v>
      </c>
      <c r="T278" t="s">
        <v>242</v>
      </c>
      <c r="U278">
        <v>5.0429953544333722E-3</v>
      </c>
      <c r="V278" t="s">
        <v>38</v>
      </c>
      <c r="X278" t="s">
        <v>71</v>
      </c>
      <c r="Y278" t="s">
        <v>242</v>
      </c>
      <c r="Z278">
        <v>3.7080982988057778E-3</v>
      </c>
    </row>
    <row r="279" spans="9:26" x14ac:dyDescent="0.25">
      <c r="I279" t="s">
        <v>46</v>
      </c>
      <c r="J279" t="s">
        <v>243</v>
      </c>
      <c r="K279">
        <v>5.3594488869825811E-4</v>
      </c>
      <c r="L279" t="s">
        <v>38</v>
      </c>
      <c r="N279" t="s">
        <v>47</v>
      </c>
      <c r="O279" t="s">
        <v>243</v>
      </c>
      <c r="P279">
        <v>1.4113144759570314E-2</v>
      </c>
      <c r="Q279" t="s">
        <v>38</v>
      </c>
      <c r="S279" t="s">
        <v>48</v>
      </c>
      <c r="T279" t="s">
        <v>243</v>
      </c>
      <c r="U279">
        <v>1.5658237662651515E-2</v>
      </c>
      <c r="V279" t="s">
        <v>38</v>
      </c>
      <c r="X279" t="s">
        <v>71</v>
      </c>
      <c r="Y279" t="s">
        <v>243</v>
      </c>
      <c r="Z279">
        <v>1.1064052029047521E-2</v>
      </c>
    </row>
    <row r="280" spans="9:26" x14ac:dyDescent="0.25">
      <c r="I280" t="s">
        <v>46</v>
      </c>
      <c r="J280" t="s">
        <v>244</v>
      </c>
      <c r="K280">
        <v>0</v>
      </c>
      <c r="L280" t="s">
        <v>38</v>
      </c>
      <c r="N280" t="s">
        <v>47</v>
      </c>
      <c r="O280" t="s">
        <v>244</v>
      </c>
      <c r="P280">
        <v>4.7835144625134052E-3</v>
      </c>
      <c r="Q280" t="s">
        <v>38</v>
      </c>
      <c r="S280" t="s">
        <v>48</v>
      </c>
      <c r="T280" t="s">
        <v>244</v>
      </c>
      <c r="U280">
        <v>5.579195197813051E-3</v>
      </c>
      <c r="V280" t="s">
        <v>38</v>
      </c>
      <c r="X280" t="s">
        <v>71</v>
      </c>
      <c r="Y280" t="s">
        <v>244</v>
      </c>
      <c r="Z280">
        <v>3.6366283516079531E-3</v>
      </c>
    </row>
    <row r="281" spans="9:26" x14ac:dyDescent="0.25">
      <c r="I281" t="s">
        <v>46</v>
      </c>
      <c r="J281" t="s">
        <v>245</v>
      </c>
      <c r="K281">
        <v>0</v>
      </c>
      <c r="L281" t="s">
        <v>38</v>
      </c>
      <c r="N281" t="s">
        <v>47</v>
      </c>
      <c r="O281" t="s">
        <v>245</v>
      </c>
      <c r="P281">
        <v>4.843330118886424E-3</v>
      </c>
      <c r="Q281" t="s">
        <v>38</v>
      </c>
      <c r="S281" t="s">
        <v>48</v>
      </c>
      <c r="T281" t="s">
        <v>245</v>
      </c>
      <c r="U281">
        <v>5.7992307320414195E-3</v>
      </c>
      <c r="V281" t="s">
        <v>38</v>
      </c>
      <c r="X281" t="s">
        <v>71</v>
      </c>
      <c r="Y281" t="s">
        <v>245</v>
      </c>
      <c r="Z281">
        <v>3.4442619228475251E-3</v>
      </c>
    </row>
    <row r="282" spans="9:26" x14ac:dyDescent="0.25">
      <c r="I282" t="s">
        <v>46</v>
      </c>
      <c r="J282" t="s">
        <v>246</v>
      </c>
      <c r="K282">
        <v>0</v>
      </c>
      <c r="L282" t="s">
        <v>38</v>
      </c>
      <c r="N282" t="s">
        <v>47</v>
      </c>
      <c r="O282" t="s">
        <v>246</v>
      </c>
      <c r="P282">
        <v>1.4198501271256197E-2</v>
      </c>
      <c r="Q282" t="s">
        <v>38</v>
      </c>
      <c r="S282" t="s">
        <v>48</v>
      </c>
      <c r="T282" t="s">
        <v>246</v>
      </c>
      <c r="U282">
        <v>1.8135555009851523E-2</v>
      </c>
      <c r="V282" t="s">
        <v>38</v>
      </c>
      <c r="X282" t="s">
        <v>71</v>
      </c>
      <c r="Y282" t="s">
        <v>246</v>
      </c>
      <c r="Z282">
        <v>9.2879827664992809E-3</v>
      </c>
    </row>
    <row r="283" spans="9:26" x14ac:dyDescent="0.25">
      <c r="I283" t="s">
        <v>46</v>
      </c>
      <c r="J283" t="s">
        <v>247</v>
      </c>
      <c r="K283">
        <v>0</v>
      </c>
      <c r="L283" t="s">
        <v>38</v>
      </c>
      <c r="N283" t="s">
        <v>47</v>
      </c>
      <c r="O283" t="s">
        <v>247</v>
      </c>
      <c r="P283">
        <v>2.8639147389027769E-2</v>
      </c>
      <c r="Q283" t="s">
        <v>38</v>
      </c>
      <c r="S283" t="s">
        <v>48</v>
      </c>
      <c r="T283" t="s">
        <v>247</v>
      </c>
      <c r="U283">
        <v>3.4474467885681766E-2</v>
      </c>
      <c r="V283" t="s">
        <v>38</v>
      </c>
      <c r="X283" t="s">
        <v>71</v>
      </c>
      <c r="Y283" t="s">
        <v>247</v>
      </c>
      <c r="Z283">
        <v>1.6818171731056177E-2</v>
      </c>
    </row>
    <row r="284" spans="9:26" x14ac:dyDescent="0.25">
      <c r="I284" t="s">
        <v>46</v>
      </c>
      <c r="J284" t="s">
        <v>248</v>
      </c>
      <c r="K284">
        <v>0</v>
      </c>
      <c r="L284" t="s">
        <v>38</v>
      </c>
      <c r="N284" t="s">
        <v>47</v>
      </c>
      <c r="O284" t="s">
        <v>248</v>
      </c>
      <c r="P284">
        <v>5.7930711647441241E-3</v>
      </c>
      <c r="Q284" t="s">
        <v>38</v>
      </c>
      <c r="S284" t="s">
        <v>48</v>
      </c>
      <c r="T284" t="s">
        <v>248</v>
      </c>
      <c r="U284">
        <v>6.8064172487385301E-3</v>
      </c>
      <c r="V284" t="s">
        <v>38</v>
      </c>
      <c r="X284" t="s">
        <v>71</v>
      </c>
      <c r="Y284" t="s">
        <v>248</v>
      </c>
      <c r="Z284">
        <v>3.9065868799424489E-3</v>
      </c>
    </row>
    <row r="285" spans="9:26" x14ac:dyDescent="0.25">
      <c r="I285" t="s">
        <v>46</v>
      </c>
      <c r="J285" t="s">
        <v>249</v>
      </c>
      <c r="K285">
        <v>5.8014141982313545E-3</v>
      </c>
      <c r="L285" t="s">
        <v>38</v>
      </c>
      <c r="N285" t="s">
        <v>47</v>
      </c>
      <c r="O285" t="s">
        <v>249</v>
      </c>
      <c r="P285">
        <v>5.2672746156923196E-2</v>
      </c>
      <c r="Q285" t="s">
        <v>38</v>
      </c>
      <c r="S285" t="s">
        <v>48</v>
      </c>
      <c r="T285" t="s">
        <v>249</v>
      </c>
      <c r="U285">
        <v>6.1367368521016798E-2</v>
      </c>
      <c r="V285" t="s">
        <v>38</v>
      </c>
      <c r="X285" t="s">
        <v>71</v>
      </c>
      <c r="Y285" t="s">
        <v>249</v>
      </c>
      <c r="Z285">
        <v>3.5563456793290427E-2</v>
      </c>
    </row>
    <row r="286" spans="9:26" x14ac:dyDescent="0.25">
      <c r="I286" t="s">
        <v>46</v>
      </c>
      <c r="J286" t="s">
        <v>250</v>
      </c>
      <c r="K286">
        <v>9.5313201470516979E-4</v>
      </c>
      <c r="L286" t="s">
        <v>38</v>
      </c>
      <c r="N286" t="s">
        <v>47</v>
      </c>
      <c r="O286" t="s">
        <v>250</v>
      </c>
      <c r="P286">
        <v>5.5221046109330671E-3</v>
      </c>
      <c r="Q286" t="s">
        <v>38</v>
      </c>
      <c r="S286" t="s">
        <v>48</v>
      </c>
      <c r="T286" t="s">
        <v>250</v>
      </c>
      <c r="U286">
        <v>6.6484930254977568E-3</v>
      </c>
      <c r="V286" t="s">
        <v>38</v>
      </c>
      <c r="X286" t="s">
        <v>71</v>
      </c>
      <c r="Y286" t="s">
        <v>250</v>
      </c>
      <c r="Z286">
        <v>3.9965404341741938E-3</v>
      </c>
    </row>
    <row r="287" spans="9:26" x14ac:dyDescent="0.25">
      <c r="I287" t="s">
        <v>46</v>
      </c>
      <c r="J287" t="s">
        <v>251</v>
      </c>
      <c r="K287">
        <v>0</v>
      </c>
      <c r="L287" t="s">
        <v>38</v>
      </c>
      <c r="N287" t="s">
        <v>47</v>
      </c>
      <c r="O287" t="s">
        <v>251</v>
      </c>
      <c r="P287">
        <v>1.7339582405055461E-2</v>
      </c>
      <c r="Q287" t="s">
        <v>38</v>
      </c>
      <c r="S287" t="s">
        <v>48</v>
      </c>
      <c r="T287" t="s">
        <v>251</v>
      </c>
      <c r="U287">
        <v>2.0418824830404744E-2</v>
      </c>
      <c r="V287" t="s">
        <v>38</v>
      </c>
      <c r="X287" t="s">
        <v>71</v>
      </c>
      <c r="Y287" t="s">
        <v>251</v>
      </c>
      <c r="Z287">
        <v>1.1924586388884714E-2</v>
      </c>
    </row>
    <row r="288" spans="9:26" x14ac:dyDescent="0.25">
      <c r="I288" t="s">
        <v>46</v>
      </c>
      <c r="J288" t="s">
        <v>252</v>
      </c>
      <c r="K288">
        <v>0</v>
      </c>
      <c r="L288" t="s">
        <v>38</v>
      </c>
      <c r="N288" t="s">
        <v>47</v>
      </c>
      <c r="O288" t="s">
        <v>252</v>
      </c>
      <c r="P288">
        <v>5.951858881827035E-3</v>
      </c>
      <c r="Q288" t="s">
        <v>38</v>
      </c>
      <c r="S288" t="s">
        <v>48</v>
      </c>
      <c r="T288" t="s">
        <v>252</v>
      </c>
      <c r="U288">
        <v>7.1237320807127748E-3</v>
      </c>
      <c r="V288" t="s">
        <v>38</v>
      </c>
      <c r="X288" t="s">
        <v>71</v>
      </c>
      <c r="Y288" t="s">
        <v>252</v>
      </c>
      <c r="Z288">
        <v>3.8462070969649763E-3</v>
      </c>
    </row>
    <row r="289" spans="9:26" x14ac:dyDescent="0.25">
      <c r="I289" t="s">
        <v>46</v>
      </c>
      <c r="J289" t="s">
        <v>253</v>
      </c>
      <c r="K289">
        <v>0</v>
      </c>
      <c r="L289" t="s">
        <v>38</v>
      </c>
      <c r="N289" t="s">
        <v>47</v>
      </c>
      <c r="O289" t="s">
        <v>253</v>
      </c>
      <c r="P289">
        <v>5.9416031001716333E-3</v>
      </c>
      <c r="Q289" t="s">
        <v>38</v>
      </c>
      <c r="S289" t="s">
        <v>48</v>
      </c>
      <c r="T289" t="s">
        <v>253</v>
      </c>
      <c r="U289">
        <v>7.3082401676047319E-3</v>
      </c>
      <c r="V289" t="s">
        <v>38</v>
      </c>
      <c r="X289" t="s">
        <v>71</v>
      </c>
      <c r="Y289" t="s">
        <v>253</v>
      </c>
      <c r="Z289">
        <v>3.6420659259459023E-3</v>
      </c>
    </row>
    <row r="290" spans="9:26" x14ac:dyDescent="0.25">
      <c r="I290" t="s">
        <v>46</v>
      </c>
      <c r="J290" t="s">
        <v>254</v>
      </c>
      <c r="K290">
        <v>0</v>
      </c>
      <c r="L290" t="s">
        <v>38</v>
      </c>
      <c r="N290" t="s">
        <v>47</v>
      </c>
      <c r="O290" t="s">
        <v>254</v>
      </c>
      <c r="P290">
        <v>1.7804586469812991E-2</v>
      </c>
      <c r="Q290" t="s">
        <v>38</v>
      </c>
      <c r="S290" t="s">
        <v>48</v>
      </c>
      <c r="T290" t="s">
        <v>254</v>
      </c>
      <c r="U290">
        <v>2.1907032251837134E-2</v>
      </c>
      <c r="V290" t="s">
        <v>38</v>
      </c>
      <c r="X290" t="s">
        <v>71</v>
      </c>
      <c r="Y290" t="s">
        <v>254</v>
      </c>
      <c r="Z290">
        <v>1.0138933033800368E-2</v>
      </c>
    </row>
    <row r="291" spans="9:26" x14ac:dyDescent="0.25">
      <c r="I291" t="s">
        <v>49</v>
      </c>
      <c r="J291" t="s">
        <v>159</v>
      </c>
      <c r="K291">
        <v>0</v>
      </c>
      <c r="L291" t="s">
        <v>38</v>
      </c>
      <c r="N291" t="s">
        <v>50</v>
      </c>
      <c r="O291" t="s">
        <v>159</v>
      </c>
      <c r="P291">
        <v>1.8423819656926823E-2</v>
      </c>
      <c r="Q291" t="s">
        <v>38</v>
      </c>
      <c r="S291" t="s">
        <v>51</v>
      </c>
      <c r="T291" t="s">
        <v>159</v>
      </c>
      <c r="U291">
        <v>1.8890181673318022E-2</v>
      </c>
      <c r="V291" t="s">
        <v>38</v>
      </c>
    </row>
    <row r="292" spans="9:26" x14ac:dyDescent="0.25">
      <c r="I292" t="s">
        <v>49</v>
      </c>
      <c r="J292" t="s">
        <v>160</v>
      </c>
      <c r="K292">
        <v>0</v>
      </c>
      <c r="L292" t="s">
        <v>38</v>
      </c>
      <c r="N292" t="s">
        <v>50</v>
      </c>
      <c r="O292" t="s">
        <v>160</v>
      </c>
      <c r="P292">
        <v>3.7372721359804325E-3</v>
      </c>
      <c r="Q292" t="s">
        <v>38</v>
      </c>
      <c r="S292" t="s">
        <v>51</v>
      </c>
      <c r="T292" t="s">
        <v>160</v>
      </c>
      <c r="U292">
        <v>3.877683110191584E-3</v>
      </c>
      <c r="V292" t="s">
        <v>38</v>
      </c>
    </row>
    <row r="293" spans="9:26" x14ac:dyDescent="0.25">
      <c r="I293" t="s">
        <v>49</v>
      </c>
      <c r="J293" t="s">
        <v>161</v>
      </c>
      <c r="K293">
        <v>8.3446179324316253E-3</v>
      </c>
      <c r="L293" t="s">
        <v>38</v>
      </c>
      <c r="N293" t="s">
        <v>50</v>
      </c>
      <c r="O293" t="s">
        <v>161</v>
      </c>
      <c r="P293">
        <v>3.7613383998598454E-2</v>
      </c>
      <c r="Q293" t="s">
        <v>38</v>
      </c>
      <c r="S293" t="s">
        <v>51</v>
      </c>
      <c r="T293" t="s">
        <v>161</v>
      </c>
      <c r="U293">
        <v>3.7858802183879693E-2</v>
      </c>
      <c r="V293" t="s">
        <v>38</v>
      </c>
    </row>
    <row r="294" spans="9:26" x14ac:dyDescent="0.25">
      <c r="I294" t="s">
        <v>49</v>
      </c>
      <c r="J294" t="s">
        <v>162</v>
      </c>
      <c r="K294">
        <v>8.0505253489232759E-4</v>
      </c>
      <c r="L294" t="s">
        <v>38</v>
      </c>
      <c r="N294" t="s">
        <v>50</v>
      </c>
      <c r="O294" t="s">
        <v>162</v>
      </c>
      <c r="P294">
        <v>4.2097008274737261E-3</v>
      </c>
      <c r="Q294" t="s">
        <v>38</v>
      </c>
      <c r="S294" t="s">
        <v>51</v>
      </c>
      <c r="T294" t="s">
        <v>162</v>
      </c>
      <c r="U294">
        <v>4.4039994334205508E-3</v>
      </c>
      <c r="V294" t="s">
        <v>38</v>
      </c>
    </row>
    <row r="295" spans="9:26" x14ac:dyDescent="0.25">
      <c r="I295" t="s">
        <v>49</v>
      </c>
      <c r="J295" t="s">
        <v>163</v>
      </c>
      <c r="K295">
        <v>0</v>
      </c>
      <c r="L295" t="s">
        <v>38</v>
      </c>
      <c r="N295" t="s">
        <v>50</v>
      </c>
      <c r="O295" t="s">
        <v>163</v>
      </c>
      <c r="P295">
        <v>1.2733911561264242E-2</v>
      </c>
      <c r="Q295" t="s">
        <v>38</v>
      </c>
      <c r="S295" t="s">
        <v>51</v>
      </c>
      <c r="T295" t="s">
        <v>163</v>
      </c>
      <c r="U295">
        <v>1.2599569522166012E-2</v>
      </c>
      <c r="V295" t="s">
        <v>38</v>
      </c>
    </row>
    <row r="296" spans="9:26" x14ac:dyDescent="0.25">
      <c r="I296" t="s">
        <v>49</v>
      </c>
      <c r="J296" t="s">
        <v>164</v>
      </c>
      <c r="K296">
        <v>0</v>
      </c>
      <c r="L296" t="s">
        <v>38</v>
      </c>
      <c r="N296" t="s">
        <v>50</v>
      </c>
      <c r="O296" t="s">
        <v>164</v>
      </c>
      <c r="P296">
        <v>4.2542143479637785E-3</v>
      </c>
      <c r="Q296" t="s">
        <v>38</v>
      </c>
      <c r="S296" t="s">
        <v>51</v>
      </c>
      <c r="T296" t="s">
        <v>164</v>
      </c>
      <c r="U296">
        <v>3.9903809406242954E-3</v>
      </c>
      <c r="V296" t="s">
        <v>38</v>
      </c>
    </row>
    <row r="297" spans="9:26" x14ac:dyDescent="0.25">
      <c r="I297" t="s">
        <v>49</v>
      </c>
      <c r="J297" t="s">
        <v>165</v>
      </c>
      <c r="K297">
        <v>0</v>
      </c>
      <c r="L297" t="s">
        <v>38</v>
      </c>
      <c r="N297" t="s">
        <v>50</v>
      </c>
      <c r="O297" t="s">
        <v>165</v>
      </c>
      <c r="P297">
        <v>4.1701584815298778E-3</v>
      </c>
      <c r="Q297" t="s">
        <v>38</v>
      </c>
      <c r="S297" t="s">
        <v>51</v>
      </c>
      <c r="T297" t="s">
        <v>165</v>
      </c>
      <c r="U297">
        <v>3.9130113517867682E-3</v>
      </c>
      <c r="V297" t="s">
        <v>38</v>
      </c>
    </row>
    <row r="298" spans="9:26" x14ac:dyDescent="0.25">
      <c r="I298" t="s">
        <v>49</v>
      </c>
      <c r="J298" t="s">
        <v>166</v>
      </c>
      <c r="K298">
        <v>0</v>
      </c>
      <c r="L298" t="s">
        <v>38</v>
      </c>
      <c r="N298" t="s">
        <v>50</v>
      </c>
      <c r="O298" t="s">
        <v>166</v>
      </c>
      <c r="P298">
        <v>1.1946860702155773E-2</v>
      </c>
      <c r="Q298" t="s">
        <v>38</v>
      </c>
      <c r="S298" t="s">
        <v>51</v>
      </c>
      <c r="T298" t="s">
        <v>166</v>
      </c>
      <c r="U298">
        <v>1.1624211461096429E-2</v>
      </c>
      <c r="V298" t="s">
        <v>38</v>
      </c>
    </row>
    <row r="299" spans="9:26" x14ac:dyDescent="0.25">
      <c r="I299" t="s">
        <v>49</v>
      </c>
      <c r="J299" t="s">
        <v>167</v>
      </c>
      <c r="K299">
        <v>0</v>
      </c>
      <c r="L299" t="s">
        <v>38</v>
      </c>
      <c r="N299" t="s">
        <v>50</v>
      </c>
      <c r="O299" t="s">
        <v>167</v>
      </c>
      <c r="P299">
        <v>1.0247461122180938E-2</v>
      </c>
      <c r="Q299" t="s">
        <v>38</v>
      </c>
      <c r="S299" t="s">
        <v>51</v>
      </c>
      <c r="T299" t="s">
        <v>167</v>
      </c>
      <c r="U299">
        <v>1.059978377165232E-2</v>
      </c>
      <c r="V299" t="s">
        <v>38</v>
      </c>
    </row>
    <row r="300" spans="9:26" x14ac:dyDescent="0.25">
      <c r="I300" t="s">
        <v>49</v>
      </c>
      <c r="J300" t="s">
        <v>168</v>
      </c>
      <c r="K300">
        <v>0</v>
      </c>
      <c r="L300" t="s">
        <v>38</v>
      </c>
      <c r="N300" t="s">
        <v>50</v>
      </c>
      <c r="O300" t="s">
        <v>168</v>
      </c>
      <c r="P300">
        <v>2.1419751352278727E-3</v>
      </c>
      <c r="Q300" t="s">
        <v>38</v>
      </c>
      <c r="S300" t="s">
        <v>51</v>
      </c>
      <c r="T300" t="s">
        <v>168</v>
      </c>
      <c r="U300">
        <v>2.3797157202479343E-3</v>
      </c>
      <c r="V300" t="s">
        <v>38</v>
      </c>
    </row>
    <row r="301" spans="9:26" x14ac:dyDescent="0.25">
      <c r="I301" t="s">
        <v>49</v>
      </c>
      <c r="J301" t="s">
        <v>169</v>
      </c>
      <c r="K301">
        <v>2.7209726520394311E-2</v>
      </c>
      <c r="L301" t="s">
        <v>38</v>
      </c>
      <c r="N301" t="s">
        <v>50</v>
      </c>
      <c r="O301" t="s">
        <v>169</v>
      </c>
      <c r="P301">
        <v>1.9886446768409866E-2</v>
      </c>
      <c r="Q301" t="s">
        <v>38</v>
      </c>
      <c r="S301" t="s">
        <v>51</v>
      </c>
      <c r="T301" t="s">
        <v>169</v>
      </c>
      <c r="U301">
        <v>2.1966052185823533E-2</v>
      </c>
      <c r="V301" t="s">
        <v>38</v>
      </c>
    </row>
    <row r="302" spans="9:26" x14ac:dyDescent="0.25">
      <c r="I302" t="s">
        <v>49</v>
      </c>
      <c r="J302" t="s">
        <v>170</v>
      </c>
      <c r="K302">
        <v>3.7863477304897262E-3</v>
      </c>
      <c r="L302" t="s">
        <v>38</v>
      </c>
      <c r="N302" t="s">
        <v>50</v>
      </c>
      <c r="O302" t="s">
        <v>170</v>
      </c>
      <c r="P302">
        <v>1.8137275103591007E-3</v>
      </c>
      <c r="Q302" t="s">
        <v>38</v>
      </c>
      <c r="S302" t="s">
        <v>51</v>
      </c>
      <c r="T302" t="s">
        <v>170</v>
      </c>
      <c r="U302">
        <v>2.4831278805900621E-3</v>
      </c>
      <c r="V302" t="s">
        <v>38</v>
      </c>
    </row>
    <row r="303" spans="9:26" x14ac:dyDescent="0.25">
      <c r="I303" t="s">
        <v>49</v>
      </c>
      <c r="J303" t="s">
        <v>171</v>
      </c>
      <c r="K303">
        <v>2.9151729667521689E-3</v>
      </c>
      <c r="L303" t="s">
        <v>38</v>
      </c>
      <c r="N303" t="s">
        <v>50</v>
      </c>
      <c r="O303" t="s">
        <v>171</v>
      </c>
      <c r="P303">
        <v>6.3535883179442199E-3</v>
      </c>
      <c r="Q303" t="s">
        <v>38</v>
      </c>
      <c r="S303" t="s">
        <v>51</v>
      </c>
      <c r="T303" t="s">
        <v>171</v>
      </c>
      <c r="U303">
        <v>7.5279756759146855E-3</v>
      </c>
      <c r="V303" t="s">
        <v>38</v>
      </c>
    </row>
    <row r="304" spans="9:26" x14ac:dyDescent="0.25">
      <c r="I304" t="s">
        <v>49</v>
      </c>
      <c r="J304" t="s">
        <v>172</v>
      </c>
      <c r="K304">
        <v>0</v>
      </c>
      <c r="L304" t="s">
        <v>38</v>
      </c>
      <c r="N304" t="s">
        <v>50</v>
      </c>
      <c r="O304" t="s">
        <v>172</v>
      </c>
      <c r="P304">
        <v>2.3878543413974529E-3</v>
      </c>
      <c r="Q304" t="s">
        <v>38</v>
      </c>
      <c r="S304" t="s">
        <v>51</v>
      </c>
      <c r="T304" t="s">
        <v>172</v>
      </c>
      <c r="U304">
        <v>2.449472009368691E-3</v>
      </c>
      <c r="V304" t="s">
        <v>38</v>
      </c>
    </row>
    <row r="305" spans="9:22" x14ac:dyDescent="0.25">
      <c r="I305" t="s">
        <v>49</v>
      </c>
      <c r="J305" t="s">
        <v>173</v>
      </c>
      <c r="K305">
        <v>0</v>
      </c>
      <c r="L305" t="s">
        <v>38</v>
      </c>
      <c r="N305" t="s">
        <v>50</v>
      </c>
      <c r="O305" t="s">
        <v>173</v>
      </c>
      <c r="P305">
        <v>2.3656148989943363E-3</v>
      </c>
      <c r="Q305" t="s">
        <v>38</v>
      </c>
      <c r="S305" t="s">
        <v>51</v>
      </c>
      <c r="T305" t="s">
        <v>173</v>
      </c>
      <c r="U305">
        <v>2.369560682248641E-3</v>
      </c>
      <c r="V305" t="s">
        <v>38</v>
      </c>
    </row>
    <row r="306" spans="9:22" x14ac:dyDescent="0.25">
      <c r="I306" t="s">
        <v>49</v>
      </c>
      <c r="J306" t="s">
        <v>174</v>
      </c>
      <c r="K306">
        <v>0</v>
      </c>
      <c r="L306" t="s">
        <v>38</v>
      </c>
      <c r="N306" t="s">
        <v>50</v>
      </c>
      <c r="O306" t="s">
        <v>174</v>
      </c>
      <c r="P306">
        <v>6.9385536748896104E-3</v>
      </c>
      <c r="Q306" t="s">
        <v>38</v>
      </c>
      <c r="S306" t="s">
        <v>51</v>
      </c>
      <c r="T306" t="s">
        <v>174</v>
      </c>
      <c r="U306">
        <v>6.4694681040346844E-3</v>
      </c>
      <c r="V306" t="s">
        <v>38</v>
      </c>
    </row>
    <row r="307" spans="9:22" x14ac:dyDescent="0.25">
      <c r="I307" t="s">
        <v>49</v>
      </c>
      <c r="J307" t="s">
        <v>175</v>
      </c>
      <c r="K307">
        <v>0</v>
      </c>
      <c r="L307" t="s">
        <v>38</v>
      </c>
      <c r="N307" t="s">
        <v>50</v>
      </c>
      <c r="O307" t="s">
        <v>175</v>
      </c>
      <c r="P307">
        <v>1.9200669895246606E-2</v>
      </c>
      <c r="Q307" t="s">
        <v>38</v>
      </c>
      <c r="S307" t="s">
        <v>51</v>
      </c>
      <c r="T307" t="s">
        <v>175</v>
      </c>
      <c r="U307">
        <v>1.3888769208519371E-2</v>
      </c>
      <c r="V307" t="s">
        <v>38</v>
      </c>
    </row>
    <row r="308" spans="9:22" x14ac:dyDescent="0.25">
      <c r="I308" t="s">
        <v>49</v>
      </c>
      <c r="J308" t="s">
        <v>176</v>
      </c>
      <c r="K308">
        <v>0</v>
      </c>
      <c r="L308" t="s">
        <v>38</v>
      </c>
      <c r="N308" t="s">
        <v>50</v>
      </c>
      <c r="O308" t="s">
        <v>176</v>
      </c>
      <c r="P308">
        <v>3.6340581027578356E-3</v>
      </c>
      <c r="Q308" t="s">
        <v>38</v>
      </c>
      <c r="S308" t="s">
        <v>51</v>
      </c>
      <c r="T308" t="s">
        <v>176</v>
      </c>
      <c r="U308">
        <v>2.6782251977924506E-3</v>
      </c>
      <c r="V308" t="s">
        <v>38</v>
      </c>
    </row>
    <row r="309" spans="9:22" x14ac:dyDescent="0.25">
      <c r="I309" t="s">
        <v>49</v>
      </c>
      <c r="J309" t="s">
        <v>177</v>
      </c>
      <c r="K309">
        <v>8.2776464617015003E-2</v>
      </c>
      <c r="L309" t="s">
        <v>38</v>
      </c>
      <c r="N309" t="s">
        <v>50</v>
      </c>
      <c r="O309" t="s">
        <v>177</v>
      </c>
      <c r="P309">
        <v>2.6076647594319224E-2</v>
      </c>
      <c r="Q309" t="s">
        <v>38</v>
      </c>
      <c r="S309" t="s">
        <v>51</v>
      </c>
      <c r="T309" t="s">
        <v>177</v>
      </c>
      <c r="U309">
        <v>2.8122533883868438E-2</v>
      </c>
      <c r="V309" t="s">
        <v>38</v>
      </c>
    </row>
    <row r="310" spans="9:22" x14ac:dyDescent="0.25">
      <c r="I310" t="s">
        <v>49</v>
      </c>
      <c r="J310" t="s">
        <v>178</v>
      </c>
      <c r="K310">
        <v>1.045788929092172E-2</v>
      </c>
      <c r="L310" t="s">
        <v>38</v>
      </c>
      <c r="N310" t="s">
        <v>50</v>
      </c>
      <c r="O310" t="s">
        <v>178</v>
      </c>
      <c r="P310">
        <v>3.3623471649981652E-3</v>
      </c>
      <c r="Q310" t="s">
        <v>38</v>
      </c>
      <c r="S310" t="s">
        <v>51</v>
      </c>
      <c r="T310" t="s">
        <v>178</v>
      </c>
      <c r="U310">
        <v>3.643602105444376E-3</v>
      </c>
      <c r="V310" t="s">
        <v>38</v>
      </c>
    </row>
    <row r="311" spans="9:22" x14ac:dyDescent="0.25">
      <c r="I311" t="s">
        <v>49</v>
      </c>
      <c r="J311" t="s">
        <v>179</v>
      </c>
      <c r="K311">
        <v>1.481297032621332E-2</v>
      </c>
      <c r="L311" t="s">
        <v>38</v>
      </c>
      <c r="N311" t="s">
        <v>50</v>
      </c>
      <c r="O311" t="s">
        <v>179</v>
      </c>
      <c r="P311">
        <v>1.0823267297463048E-2</v>
      </c>
      <c r="Q311" t="s">
        <v>38</v>
      </c>
      <c r="S311" t="s">
        <v>51</v>
      </c>
      <c r="T311" t="s">
        <v>179</v>
      </c>
      <c r="U311">
        <v>1.1247724245037659E-2</v>
      </c>
      <c r="V311" t="s">
        <v>38</v>
      </c>
    </row>
    <row r="312" spans="9:22" x14ac:dyDescent="0.25">
      <c r="I312" t="s">
        <v>49</v>
      </c>
      <c r="J312" t="s">
        <v>180</v>
      </c>
      <c r="K312">
        <v>0</v>
      </c>
      <c r="L312" t="s">
        <v>38</v>
      </c>
      <c r="N312" t="s">
        <v>50</v>
      </c>
      <c r="O312" t="s">
        <v>180</v>
      </c>
      <c r="P312">
        <v>4.3242772525187208E-3</v>
      </c>
      <c r="Q312" t="s">
        <v>38</v>
      </c>
      <c r="S312" t="s">
        <v>51</v>
      </c>
      <c r="T312" t="s">
        <v>180</v>
      </c>
      <c r="U312">
        <v>3.7764227208383562E-3</v>
      </c>
      <c r="V312" t="s">
        <v>38</v>
      </c>
    </row>
    <row r="313" spans="9:22" x14ac:dyDescent="0.25">
      <c r="I313" t="s">
        <v>49</v>
      </c>
      <c r="J313" t="s">
        <v>181</v>
      </c>
      <c r="K313">
        <v>0</v>
      </c>
      <c r="L313" t="s">
        <v>38</v>
      </c>
      <c r="N313" t="s">
        <v>50</v>
      </c>
      <c r="O313" t="s">
        <v>181</v>
      </c>
      <c r="P313">
        <v>4.511186516760632E-3</v>
      </c>
      <c r="Q313" t="s">
        <v>38</v>
      </c>
      <c r="S313" t="s">
        <v>51</v>
      </c>
      <c r="T313" t="s">
        <v>181</v>
      </c>
      <c r="U313">
        <v>3.5276596049913381E-3</v>
      </c>
      <c r="V313" t="s">
        <v>38</v>
      </c>
    </row>
    <row r="314" spans="9:22" x14ac:dyDescent="0.25">
      <c r="I314" t="s">
        <v>49</v>
      </c>
      <c r="J314" t="s">
        <v>182</v>
      </c>
      <c r="K314">
        <v>0</v>
      </c>
      <c r="L314" t="s">
        <v>38</v>
      </c>
      <c r="N314" t="s">
        <v>50</v>
      </c>
      <c r="O314" t="s">
        <v>182</v>
      </c>
      <c r="P314">
        <v>1.2867413251390934E-2</v>
      </c>
      <c r="Q314" t="s">
        <v>38</v>
      </c>
      <c r="S314" t="s">
        <v>51</v>
      </c>
      <c r="T314" t="s">
        <v>182</v>
      </c>
      <c r="U314">
        <v>9.2150783091797268E-3</v>
      </c>
      <c r="V314" t="s">
        <v>38</v>
      </c>
    </row>
    <row r="315" spans="9:22" x14ac:dyDescent="0.25">
      <c r="I315" t="s">
        <v>49</v>
      </c>
      <c r="J315" t="s">
        <v>183</v>
      </c>
      <c r="K315">
        <v>0</v>
      </c>
      <c r="L315" t="s">
        <v>38</v>
      </c>
      <c r="N315" t="s">
        <v>50</v>
      </c>
      <c r="O315" t="s">
        <v>183</v>
      </c>
      <c r="P315">
        <v>2.0591407812297381E-2</v>
      </c>
      <c r="Q315" t="s">
        <v>38</v>
      </c>
      <c r="S315" t="s">
        <v>51</v>
      </c>
      <c r="T315" t="s">
        <v>183</v>
      </c>
      <c r="U315">
        <v>1.8941144276559903E-2</v>
      </c>
      <c r="V315" t="s">
        <v>38</v>
      </c>
    </row>
    <row r="316" spans="9:22" x14ac:dyDescent="0.25">
      <c r="I316" t="s">
        <v>49</v>
      </c>
      <c r="J316" t="s">
        <v>184</v>
      </c>
      <c r="K316">
        <v>1.2326418083860838E-3</v>
      </c>
      <c r="L316" t="s">
        <v>38</v>
      </c>
      <c r="N316" t="s">
        <v>50</v>
      </c>
      <c r="O316" t="s">
        <v>184</v>
      </c>
      <c r="P316">
        <v>4.2008666770013466E-3</v>
      </c>
      <c r="Q316" t="s">
        <v>38</v>
      </c>
      <c r="S316" t="s">
        <v>51</v>
      </c>
      <c r="T316" t="s">
        <v>184</v>
      </c>
      <c r="U316">
        <v>4.0428843335061585E-3</v>
      </c>
      <c r="V316" t="s">
        <v>38</v>
      </c>
    </row>
    <row r="317" spans="9:22" x14ac:dyDescent="0.25">
      <c r="I317" t="s">
        <v>49</v>
      </c>
      <c r="J317" t="s">
        <v>185</v>
      </c>
      <c r="K317">
        <v>8.5120138941186516E-2</v>
      </c>
      <c r="L317" t="s">
        <v>38</v>
      </c>
      <c r="N317" t="s">
        <v>50</v>
      </c>
      <c r="O317" t="s">
        <v>185</v>
      </c>
      <c r="P317">
        <v>3.6283001463465844E-2</v>
      </c>
      <c r="Q317" t="s">
        <v>38</v>
      </c>
      <c r="S317" t="s">
        <v>51</v>
      </c>
      <c r="T317" t="s">
        <v>185</v>
      </c>
      <c r="U317">
        <v>3.6805098080845103E-2</v>
      </c>
      <c r="V317" t="s">
        <v>38</v>
      </c>
    </row>
    <row r="318" spans="9:22" x14ac:dyDescent="0.25">
      <c r="I318" t="s">
        <v>49</v>
      </c>
      <c r="J318" t="s">
        <v>186</v>
      </c>
      <c r="K318">
        <v>1.0630875846070233E-2</v>
      </c>
      <c r="L318" t="s">
        <v>38</v>
      </c>
      <c r="N318" t="s">
        <v>50</v>
      </c>
      <c r="O318" t="s">
        <v>186</v>
      </c>
      <c r="P318">
        <v>4.3123873685604955E-3</v>
      </c>
      <c r="Q318" t="s">
        <v>38</v>
      </c>
      <c r="S318" t="s">
        <v>51</v>
      </c>
      <c r="T318" t="s">
        <v>186</v>
      </c>
      <c r="U318">
        <v>4.0812527495283878E-3</v>
      </c>
      <c r="V318" t="s">
        <v>38</v>
      </c>
    </row>
    <row r="319" spans="9:22" x14ac:dyDescent="0.25">
      <c r="I319" t="s">
        <v>49</v>
      </c>
      <c r="J319" t="s">
        <v>187</v>
      </c>
      <c r="K319">
        <v>2.1155264272543387E-2</v>
      </c>
      <c r="L319" t="s">
        <v>38</v>
      </c>
      <c r="N319" t="s">
        <v>50</v>
      </c>
      <c r="O319" t="s">
        <v>187</v>
      </c>
      <c r="P319">
        <v>1.3345407961403502E-2</v>
      </c>
      <c r="Q319" t="s">
        <v>38</v>
      </c>
      <c r="S319" t="s">
        <v>51</v>
      </c>
      <c r="T319" t="s">
        <v>187</v>
      </c>
      <c r="U319">
        <v>1.225980898272724E-2</v>
      </c>
      <c r="V319" t="s">
        <v>38</v>
      </c>
    </row>
    <row r="320" spans="9:22" x14ac:dyDescent="0.25">
      <c r="I320" t="s">
        <v>49</v>
      </c>
      <c r="J320" t="s">
        <v>188</v>
      </c>
      <c r="K320">
        <v>1.2353476000033765E-3</v>
      </c>
      <c r="L320" t="s">
        <v>38</v>
      </c>
      <c r="N320" t="s">
        <v>50</v>
      </c>
      <c r="O320" t="s">
        <v>188</v>
      </c>
      <c r="P320">
        <v>4.5061196839021721E-3</v>
      </c>
      <c r="Q320" t="s">
        <v>38</v>
      </c>
      <c r="S320" t="s">
        <v>51</v>
      </c>
      <c r="T320" t="s">
        <v>188</v>
      </c>
      <c r="U320">
        <v>4.0842864663908733E-3</v>
      </c>
      <c r="V320" t="s">
        <v>38</v>
      </c>
    </row>
    <row r="321" spans="9:22" x14ac:dyDescent="0.25">
      <c r="I321" t="s">
        <v>49</v>
      </c>
      <c r="J321" t="s">
        <v>189</v>
      </c>
      <c r="K321">
        <v>0</v>
      </c>
      <c r="L321" t="s">
        <v>38</v>
      </c>
      <c r="N321" t="s">
        <v>50</v>
      </c>
      <c r="O321" t="s">
        <v>189</v>
      </c>
      <c r="P321">
        <v>4.5483159460725136E-3</v>
      </c>
      <c r="Q321" t="s">
        <v>38</v>
      </c>
      <c r="S321" t="s">
        <v>51</v>
      </c>
      <c r="T321" t="s">
        <v>189</v>
      </c>
      <c r="U321">
        <v>4.0786592531473079E-3</v>
      </c>
      <c r="V321" t="s">
        <v>38</v>
      </c>
    </row>
    <row r="322" spans="9:22" x14ac:dyDescent="0.25">
      <c r="I322" t="s">
        <v>49</v>
      </c>
      <c r="J322" t="s">
        <v>190</v>
      </c>
      <c r="K322">
        <v>0</v>
      </c>
      <c r="L322" t="s">
        <v>38</v>
      </c>
      <c r="N322" t="s">
        <v>50</v>
      </c>
      <c r="O322" t="s">
        <v>190</v>
      </c>
      <c r="P322">
        <v>1.3423258965675271E-2</v>
      </c>
      <c r="Q322" t="s">
        <v>38</v>
      </c>
      <c r="S322" t="s">
        <v>51</v>
      </c>
      <c r="T322" t="s">
        <v>190</v>
      </c>
      <c r="U322">
        <v>1.2110271204603279E-2</v>
      </c>
      <c r="V322" t="s">
        <v>38</v>
      </c>
    </row>
    <row r="323" spans="9:22" x14ac:dyDescent="0.25">
      <c r="I323" t="s">
        <v>49</v>
      </c>
      <c r="J323" t="s">
        <v>191</v>
      </c>
      <c r="K323">
        <v>1.261779497750643E-3</v>
      </c>
      <c r="L323" t="s">
        <v>38</v>
      </c>
      <c r="N323" t="s">
        <v>50</v>
      </c>
      <c r="O323" t="s">
        <v>191</v>
      </c>
      <c r="P323">
        <v>1.2886767819930513E-2</v>
      </c>
      <c r="Q323" t="s">
        <v>38</v>
      </c>
      <c r="S323" t="s">
        <v>51</v>
      </c>
      <c r="T323" t="s">
        <v>191</v>
      </c>
      <c r="U323">
        <v>1.7177054236230688E-2</v>
      </c>
      <c r="V323" t="s">
        <v>38</v>
      </c>
    </row>
    <row r="324" spans="9:22" x14ac:dyDescent="0.25">
      <c r="I324" t="s">
        <v>49</v>
      </c>
      <c r="J324" t="s">
        <v>192</v>
      </c>
      <c r="K324">
        <v>4.5090441148823782E-3</v>
      </c>
      <c r="L324" t="s">
        <v>38</v>
      </c>
      <c r="N324" t="s">
        <v>50</v>
      </c>
      <c r="O324" t="s">
        <v>192</v>
      </c>
      <c r="P324">
        <v>2.312603994192277E-3</v>
      </c>
      <c r="Q324" t="s">
        <v>38</v>
      </c>
      <c r="S324" t="s">
        <v>51</v>
      </c>
      <c r="T324" t="s">
        <v>192</v>
      </c>
      <c r="U324">
        <v>3.2823731531826817E-3</v>
      </c>
      <c r="V324" t="s">
        <v>38</v>
      </c>
    </row>
    <row r="325" spans="9:22" x14ac:dyDescent="0.25">
      <c r="I325" t="s">
        <v>49</v>
      </c>
      <c r="J325" t="s">
        <v>193</v>
      </c>
      <c r="K325">
        <v>0.1036122707236025</v>
      </c>
      <c r="L325" t="s">
        <v>38</v>
      </c>
      <c r="N325" t="s">
        <v>50</v>
      </c>
      <c r="O325" t="s">
        <v>193</v>
      </c>
      <c r="P325">
        <v>1.8945794465640764E-2</v>
      </c>
      <c r="Q325" t="s">
        <v>38</v>
      </c>
      <c r="S325" t="s">
        <v>51</v>
      </c>
      <c r="T325" t="s">
        <v>193</v>
      </c>
      <c r="U325">
        <v>3.0989329253889197E-2</v>
      </c>
      <c r="V325" t="s">
        <v>38</v>
      </c>
    </row>
    <row r="326" spans="9:22" x14ac:dyDescent="0.25">
      <c r="I326" t="s">
        <v>49</v>
      </c>
      <c r="J326" t="s">
        <v>194</v>
      </c>
      <c r="K326">
        <v>1.1803791512211635E-2</v>
      </c>
      <c r="L326" t="s">
        <v>38</v>
      </c>
      <c r="N326" t="s">
        <v>50</v>
      </c>
      <c r="O326" t="s">
        <v>194</v>
      </c>
      <c r="P326">
        <v>2.5498182789867136E-3</v>
      </c>
      <c r="Q326" t="s">
        <v>38</v>
      </c>
      <c r="S326" t="s">
        <v>51</v>
      </c>
      <c r="T326" t="s">
        <v>194</v>
      </c>
      <c r="U326">
        <v>3.6350012249223721E-3</v>
      </c>
      <c r="V326" t="s">
        <v>38</v>
      </c>
    </row>
    <row r="327" spans="9:22" x14ac:dyDescent="0.25">
      <c r="I327" t="s">
        <v>49</v>
      </c>
      <c r="J327" t="s">
        <v>195</v>
      </c>
      <c r="K327">
        <v>2.559249058851433E-2</v>
      </c>
      <c r="L327" t="s">
        <v>38</v>
      </c>
      <c r="N327" t="s">
        <v>50</v>
      </c>
      <c r="O327" t="s">
        <v>195</v>
      </c>
      <c r="P327">
        <v>7.6872873531222295E-3</v>
      </c>
      <c r="Q327" t="s">
        <v>38</v>
      </c>
      <c r="S327" t="s">
        <v>51</v>
      </c>
      <c r="T327" t="s">
        <v>195</v>
      </c>
      <c r="U327">
        <v>1.0918021953460366E-2</v>
      </c>
      <c r="V327" t="s">
        <v>38</v>
      </c>
    </row>
    <row r="328" spans="9:22" x14ac:dyDescent="0.25">
      <c r="I328" t="s">
        <v>49</v>
      </c>
      <c r="J328" t="s">
        <v>196</v>
      </c>
      <c r="K328">
        <v>3.3553418526722418E-3</v>
      </c>
      <c r="L328" t="s">
        <v>38</v>
      </c>
      <c r="N328" t="s">
        <v>50</v>
      </c>
      <c r="O328" t="s">
        <v>196</v>
      </c>
      <c r="P328">
        <v>2.5231387712872718E-3</v>
      </c>
      <c r="Q328" t="s">
        <v>38</v>
      </c>
      <c r="S328" t="s">
        <v>51</v>
      </c>
      <c r="T328" t="s">
        <v>196</v>
      </c>
      <c r="U328">
        <v>3.5819969094354935E-3</v>
      </c>
      <c r="V328" t="s">
        <v>38</v>
      </c>
    </row>
    <row r="329" spans="9:22" x14ac:dyDescent="0.25">
      <c r="I329" t="s">
        <v>49</v>
      </c>
      <c r="J329" t="s">
        <v>197</v>
      </c>
      <c r="K329">
        <v>6.2146384111984949E-4</v>
      </c>
      <c r="L329" t="s">
        <v>38</v>
      </c>
      <c r="N329" t="s">
        <v>50</v>
      </c>
      <c r="O329" t="s">
        <v>197</v>
      </c>
      <c r="P329">
        <v>2.6563794600494598E-3</v>
      </c>
      <c r="Q329" t="s">
        <v>38</v>
      </c>
      <c r="S329" t="s">
        <v>51</v>
      </c>
      <c r="T329" t="s">
        <v>197</v>
      </c>
      <c r="U329">
        <v>3.4748618957557969E-3</v>
      </c>
      <c r="V329" t="s">
        <v>38</v>
      </c>
    </row>
    <row r="330" spans="9:22" x14ac:dyDescent="0.25">
      <c r="I330" t="s">
        <v>49</v>
      </c>
      <c r="J330" t="s">
        <v>198</v>
      </c>
      <c r="K330">
        <v>0</v>
      </c>
      <c r="L330" t="s">
        <v>38</v>
      </c>
      <c r="N330" t="s">
        <v>50</v>
      </c>
      <c r="O330" t="s">
        <v>198</v>
      </c>
      <c r="P330">
        <v>8.2354632383220515E-3</v>
      </c>
      <c r="Q330" t="s">
        <v>38</v>
      </c>
      <c r="S330" t="s">
        <v>51</v>
      </c>
      <c r="T330" t="s">
        <v>198</v>
      </c>
      <c r="U330">
        <v>1.0041407998919269E-2</v>
      </c>
      <c r="V330" t="s">
        <v>38</v>
      </c>
    </row>
    <row r="331" spans="9:22" x14ac:dyDescent="0.25">
      <c r="I331" t="s">
        <v>49</v>
      </c>
      <c r="J331" t="s">
        <v>199</v>
      </c>
      <c r="K331">
        <v>2.3701507863409274E-3</v>
      </c>
      <c r="L331" t="s">
        <v>38</v>
      </c>
      <c r="N331" t="s">
        <v>50</v>
      </c>
      <c r="O331" t="s">
        <v>199</v>
      </c>
      <c r="P331">
        <v>1.0850158359052304E-2</v>
      </c>
      <c r="Q331" t="s">
        <v>38</v>
      </c>
      <c r="S331" t="s">
        <v>51</v>
      </c>
      <c r="T331" t="s">
        <v>199</v>
      </c>
      <c r="U331">
        <v>1.1544367098966109E-2</v>
      </c>
      <c r="V331" t="s">
        <v>38</v>
      </c>
    </row>
    <row r="332" spans="9:22" x14ac:dyDescent="0.25">
      <c r="I332" t="s">
        <v>49</v>
      </c>
      <c r="J332" t="s">
        <v>200</v>
      </c>
      <c r="K332">
        <v>4.7700106977898084E-3</v>
      </c>
      <c r="L332" t="s">
        <v>38</v>
      </c>
      <c r="N332" t="s">
        <v>50</v>
      </c>
      <c r="O332" t="s">
        <v>200</v>
      </c>
      <c r="P332">
        <v>1.8655131028027514E-3</v>
      </c>
      <c r="Q332" t="s">
        <v>38</v>
      </c>
      <c r="S332" t="s">
        <v>51</v>
      </c>
      <c r="T332" t="s">
        <v>200</v>
      </c>
      <c r="U332">
        <v>2.126388968038261E-3</v>
      </c>
      <c r="V332" t="s">
        <v>38</v>
      </c>
    </row>
    <row r="333" spans="9:22" x14ac:dyDescent="0.25">
      <c r="I333" t="s">
        <v>49</v>
      </c>
      <c r="J333" t="s">
        <v>201</v>
      </c>
      <c r="K333">
        <v>9.8480349398921738E-2</v>
      </c>
      <c r="L333" t="s">
        <v>38</v>
      </c>
      <c r="N333" t="s">
        <v>50</v>
      </c>
      <c r="O333" t="s">
        <v>201</v>
      </c>
      <c r="P333">
        <v>1.5860860056461729E-2</v>
      </c>
      <c r="Q333" t="s">
        <v>38</v>
      </c>
      <c r="S333" t="s">
        <v>51</v>
      </c>
      <c r="T333" t="s">
        <v>201</v>
      </c>
      <c r="U333">
        <v>2.0014622765506859E-2</v>
      </c>
      <c r="V333" t="s">
        <v>38</v>
      </c>
    </row>
    <row r="334" spans="9:22" x14ac:dyDescent="0.25">
      <c r="I334" t="s">
        <v>49</v>
      </c>
      <c r="J334" t="s">
        <v>202</v>
      </c>
      <c r="K334">
        <v>1.1857142185059495E-2</v>
      </c>
      <c r="L334" t="s">
        <v>38</v>
      </c>
      <c r="N334" t="s">
        <v>50</v>
      </c>
      <c r="O334" t="s">
        <v>202</v>
      </c>
      <c r="P334">
        <v>1.8278603803070931E-3</v>
      </c>
      <c r="Q334" t="s">
        <v>38</v>
      </c>
      <c r="S334" t="s">
        <v>51</v>
      </c>
      <c r="T334" t="s">
        <v>202</v>
      </c>
      <c r="U334">
        <v>2.5161150179169416E-3</v>
      </c>
      <c r="V334" t="s">
        <v>38</v>
      </c>
    </row>
    <row r="335" spans="9:22" x14ac:dyDescent="0.25">
      <c r="I335" t="s">
        <v>49</v>
      </c>
      <c r="J335" t="s">
        <v>203</v>
      </c>
      <c r="K335">
        <v>2.7263031177314399E-2</v>
      </c>
      <c r="L335" t="s">
        <v>38</v>
      </c>
      <c r="N335" t="s">
        <v>50</v>
      </c>
      <c r="O335" t="s">
        <v>203</v>
      </c>
      <c r="P335">
        <v>5.1982640046076174E-3</v>
      </c>
      <c r="Q335" t="s">
        <v>38</v>
      </c>
      <c r="S335" t="s">
        <v>51</v>
      </c>
      <c r="T335" t="s">
        <v>203</v>
      </c>
      <c r="U335">
        <v>7.8723298224076046E-3</v>
      </c>
      <c r="V335" t="s">
        <v>38</v>
      </c>
    </row>
    <row r="336" spans="9:22" x14ac:dyDescent="0.25">
      <c r="I336" t="s">
        <v>49</v>
      </c>
      <c r="J336" t="s">
        <v>204</v>
      </c>
      <c r="K336">
        <v>4.8143918264581358E-3</v>
      </c>
      <c r="L336" t="s">
        <v>38</v>
      </c>
      <c r="N336" t="s">
        <v>50</v>
      </c>
      <c r="O336" t="s">
        <v>204</v>
      </c>
      <c r="P336">
        <v>1.5495073430944111E-3</v>
      </c>
      <c r="Q336" t="s">
        <v>38</v>
      </c>
      <c r="S336" t="s">
        <v>51</v>
      </c>
      <c r="T336" t="s">
        <v>204</v>
      </c>
      <c r="U336">
        <v>2.6962759254410711E-3</v>
      </c>
      <c r="V336" t="s">
        <v>38</v>
      </c>
    </row>
    <row r="337" spans="9:22" x14ac:dyDescent="0.25">
      <c r="I337" t="s">
        <v>49</v>
      </c>
      <c r="J337" t="s">
        <v>205</v>
      </c>
      <c r="K337">
        <v>2.1416483659774548E-3</v>
      </c>
      <c r="L337" t="s">
        <v>38</v>
      </c>
      <c r="N337" t="s">
        <v>50</v>
      </c>
      <c r="O337" t="s">
        <v>205</v>
      </c>
      <c r="P337">
        <v>1.5673431621922708E-3</v>
      </c>
      <c r="Q337" t="s">
        <v>38</v>
      </c>
      <c r="S337" t="s">
        <v>51</v>
      </c>
      <c r="T337" t="s">
        <v>205</v>
      </c>
      <c r="U337">
        <v>2.606721334815475E-3</v>
      </c>
      <c r="V337" t="s">
        <v>38</v>
      </c>
    </row>
    <row r="338" spans="9:22" x14ac:dyDescent="0.25">
      <c r="I338" t="s">
        <v>49</v>
      </c>
      <c r="J338" t="s">
        <v>206</v>
      </c>
      <c r="K338">
        <v>0</v>
      </c>
      <c r="L338" t="s">
        <v>38</v>
      </c>
      <c r="N338" t="s">
        <v>50</v>
      </c>
      <c r="O338" t="s">
        <v>206</v>
      </c>
      <c r="P338">
        <v>5.4675473248649523E-3</v>
      </c>
      <c r="Q338" t="s">
        <v>38</v>
      </c>
      <c r="S338" t="s">
        <v>51</v>
      </c>
      <c r="T338" t="s">
        <v>206</v>
      </c>
      <c r="U338">
        <v>7.5951615357051578E-3</v>
      </c>
      <c r="V338" t="s">
        <v>38</v>
      </c>
    </row>
    <row r="339" spans="9:22" x14ac:dyDescent="0.25">
      <c r="I339" t="s">
        <v>49</v>
      </c>
      <c r="J339" t="s">
        <v>207</v>
      </c>
      <c r="K339">
        <v>2.0902703237939122E-3</v>
      </c>
      <c r="L339" t="s">
        <v>38</v>
      </c>
      <c r="N339" t="s">
        <v>50</v>
      </c>
      <c r="O339" t="s">
        <v>207</v>
      </c>
      <c r="P339">
        <v>1.3590925662966746E-2</v>
      </c>
      <c r="Q339" t="s">
        <v>38</v>
      </c>
      <c r="S339" t="s">
        <v>51</v>
      </c>
      <c r="T339" t="s">
        <v>207</v>
      </c>
      <c r="U339">
        <v>1.2391490654412819E-2</v>
      </c>
      <c r="V339" t="s">
        <v>38</v>
      </c>
    </row>
    <row r="340" spans="9:22" x14ac:dyDescent="0.25">
      <c r="I340" t="s">
        <v>49</v>
      </c>
      <c r="J340" t="s">
        <v>208</v>
      </c>
      <c r="K340">
        <v>4.6695002780676583E-3</v>
      </c>
      <c r="L340" t="s">
        <v>38</v>
      </c>
      <c r="N340" t="s">
        <v>50</v>
      </c>
      <c r="O340" t="s">
        <v>208</v>
      </c>
      <c r="P340">
        <v>2.3365316825646756E-3</v>
      </c>
      <c r="Q340" t="s">
        <v>38</v>
      </c>
      <c r="S340" t="s">
        <v>51</v>
      </c>
      <c r="T340" t="s">
        <v>208</v>
      </c>
      <c r="U340">
        <v>2.3978164198089139E-3</v>
      </c>
      <c r="V340" t="s">
        <v>38</v>
      </c>
    </row>
    <row r="341" spans="9:22" x14ac:dyDescent="0.25">
      <c r="I341" t="s">
        <v>49</v>
      </c>
      <c r="J341" t="s">
        <v>209</v>
      </c>
      <c r="K341">
        <v>9.6174081072899611E-2</v>
      </c>
      <c r="L341" t="s">
        <v>38</v>
      </c>
      <c r="N341" t="s">
        <v>50</v>
      </c>
      <c r="O341" t="s">
        <v>209</v>
      </c>
      <c r="P341">
        <v>1.6881646114045482E-2</v>
      </c>
      <c r="Q341" t="s">
        <v>38</v>
      </c>
      <c r="S341" t="s">
        <v>51</v>
      </c>
      <c r="T341" t="s">
        <v>209</v>
      </c>
      <c r="U341">
        <v>2.34938946082082E-2</v>
      </c>
      <c r="V341" t="s">
        <v>38</v>
      </c>
    </row>
    <row r="342" spans="9:22" x14ac:dyDescent="0.25">
      <c r="I342" t="s">
        <v>49</v>
      </c>
      <c r="J342" t="s">
        <v>210</v>
      </c>
      <c r="K342">
        <v>1.1600472373186385E-2</v>
      </c>
      <c r="L342" t="s">
        <v>38</v>
      </c>
      <c r="N342" t="s">
        <v>50</v>
      </c>
      <c r="O342" t="s">
        <v>210</v>
      </c>
      <c r="P342">
        <v>2.0430864734535944E-3</v>
      </c>
      <c r="Q342" t="s">
        <v>38</v>
      </c>
      <c r="S342" t="s">
        <v>51</v>
      </c>
      <c r="T342" t="s">
        <v>210</v>
      </c>
      <c r="U342">
        <v>3.1372025222761927E-3</v>
      </c>
      <c r="V342" t="s">
        <v>38</v>
      </c>
    </row>
    <row r="343" spans="9:22" x14ac:dyDescent="0.25">
      <c r="I343" t="s">
        <v>49</v>
      </c>
      <c r="J343" t="s">
        <v>211</v>
      </c>
      <c r="K343">
        <v>2.7041143469829696E-2</v>
      </c>
      <c r="L343" t="s">
        <v>38</v>
      </c>
      <c r="N343" t="s">
        <v>50</v>
      </c>
      <c r="O343" t="s">
        <v>211</v>
      </c>
      <c r="P343">
        <v>6.7861506380688767E-3</v>
      </c>
      <c r="Q343" t="s">
        <v>38</v>
      </c>
      <c r="S343" t="s">
        <v>51</v>
      </c>
      <c r="T343" t="s">
        <v>211</v>
      </c>
      <c r="U343">
        <v>9.4729617400158613E-3</v>
      </c>
      <c r="V343" t="s">
        <v>38</v>
      </c>
    </row>
    <row r="344" spans="9:22" x14ac:dyDescent="0.25">
      <c r="I344" t="s">
        <v>49</v>
      </c>
      <c r="J344" t="s">
        <v>212</v>
      </c>
      <c r="K344">
        <v>4.6854848541670836E-3</v>
      </c>
      <c r="L344" t="s">
        <v>38</v>
      </c>
      <c r="N344" t="s">
        <v>50</v>
      </c>
      <c r="O344" t="s">
        <v>212</v>
      </c>
      <c r="P344">
        <v>2.1508881036899409E-3</v>
      </c>
      <c r="Q344" t="s">
        <v>38</v>
      </c>
      <c r="S344" t="s">
        <v>51</v>
      </c>
      <c r="T344" t="s">
        <v>212</v>
      </c>
      <c r="U344">
        <v>3.1459963015491245E-3</v>
      </c>
      <c r="V344" t="s">
        <v>38</v>
      </c>
    </row>
    <row r="345" spans="9:22" x14ac:dyDescent="0.25">
      <c r="I345" t="s">
        <v>49</v>
      </c>
      <c r="J345" t="s">
        <v>213</v>
      </c>
      <c r="K345">
        <v>1.8976224462301339E-3</v>
      </c>
      <c r="L345" t="s">
        <v>38</v>
      </c>
      <c r="N345" t="s">
        <v>50</v>
      </c>
      <c r="O345" t="s">
        <v>213</v>
      </c>
      <c r="P345">
        <v>2.233379306678736E-3</v>
      </c>
      <c r="Q345" t="s">
        <v>38</v>
      </c>
      <c r="S345" t="s">
        <v>51</v>
      </c>
      <c r="T345" t="s">
        <v>213</v>
      </c>
      <c r="U345">
        <v>3.136311330314515E-3</v>
      </c>
      <c r="V345" t="s">
        <v>38</v>
      </c>
    </row>
    <row r="346" spans="9:22" x14ac:dyDescent="0.25">
      <c r="I346" t="s">
        <v>49</v>
      </c>
      <c r="J346" t="s">
        <v>214</v>
      </c>
      <c r="K346">
        <v>0</v>
      </c>
      <c r="L346" t="s">
        <v>38</v>
      </c>
      <c r="N346" t="s">
        <v>50</v>
      </c>
      <c r="O346" t="s">
        <v>214</v>
      </c>
      <c r="P346">
        <v>7.7194818420221606E-3</v>
      </c>
      <c r="Q346" t="s">
        <v>38</v>
      </c>
      <c r="S346" t="s">
        <v>51</v>
      </c>
      <c r="T346" t="s">
        <v>214</v>
      </c>
      <c r="U346">
        <v>8.7217598074038998E-3</v>
      </c>
      <c r="V346" t="s">
        <v>38</v>
      </c>
    </row>
    <row r="347" spans="9:22" x14ac:dyDescent="0.25">
      <c r="I347" t="s">
        <v>49</v>
      </c>
      <c r="J347" t="s">
        <v>215</v>
      </c>
      <c r="K347">
        <v>2.5962689152166071E-6</v>
      </c>
      <c r="L347" t="s">
        <v>38</v>
      </c>
      <c r="N347" t="s">
        <v>50</v>
      </c>
      <c r="O347" t="s">
        <v>215</v>
      </c>
      <c r="P347">
        <v>1.2257694584843083E-2</v>
      </c>
      <c r="Q347" t="s">
        <v>38</v>
      </c>
      <c r="S347" t="s">
        <v>51</v>
      </c>
      <c r="T347" t="s">
        <v>215</v>
      </c>
      <c r="U347">
        <v>9.9565876032355755E-3</v>
      </c>
      <c r="V347" t="s">
        <v>38</v>
      </c>
    </row>
    <row r="348" spans="9:22" x14ac:dyDescent="0.25">
      <c r="I348" t="s">
        <v>49</v>
      </c>
      <c r="J348" t="s">
        <v>216</v>
      </c>
      <c r="K348">
        <v>2.3980605043411865E-3</v>
      </c>
      <c r="L348" t="s">
        <v>38</v>
      </c>
      <c r="N348" t="s">
        <v>50</v>
      </c>
      <c r="O348" t="s">
        <v>216</v>
      </c>
      <c r="P348">
        <v>2.4893257619105756E-3</v>
      </c>
      <c r="Q348" t="s">
        <v>38</v>
      </c>
      <c r="S348" t="s">
        <v>51</v>
      </c>
      <c r="T348" t="s">
        <v>216</v>
      </c>
      <c r="U348">
        <v>1.9567348809454506E-3</v>
      </c>
      <c r="V348" t="s">
        <v>38</v>
      </c>
    </row>
    <row r="349" spans="9:22" x14ac:dyDescent="0.25">
      <c r="I349" t="s">
        <v>49</v>
      </c>
      <c r="J349" t="s">
        <v>217</v>
      </c>
      <c r="K349">
        <v>8.9864458478676273E-2</v>
      </c>
      <c r="L349" t="s">
        <v>38</v>
      </c>
      <c r="N349" t="s">
        <v>50</v>
      </c>
      <c r="O349" t="s">
        <v>217</v>
      </c>
      <c r="P349">
        <v>1.7955772526997881E-2</v>
      </c>
      <c r="Q349" t="s">
        <v>38</v>
      </c>
      <c r="S349" t="s">
        <v>51</v>
      </c>
      <c r="T349" t="s">
        <v>217</v>
      </c>
      <c r="U349">
        <v>1.690056346853927E-2</v>
      </c>
      <c r="V349" t="s">
        <v>38</v>
      </c>
    </row>
    <row r="350" spans="9:22" x14ac:dyDescent="0.25">
      <c r="I350" t="s">
        <v>49</v>
      </c>
      <c r="J350" t="s">
        <v>218</v>
      </c>
      <c r="K350">
        <v>1.0203711683786795E-2</v>
      </c>
      <c r="L350" t="s">
        <v>38</v>
      </c>
      <c r="N350" t="s">
        <v>50</v>
      </c>
      <c r="O350" t="s">
        <v>218</v>
      </c>
      <c r="P350">
        <v>2.1866794493448859E-3</v>
      </c>
      <c r="Q350" t="s">
        <v>38</v>
      </c>
      <c r="S350" t="s">
        <v>51</v>
      </c>
      <c r="T350" t="s">
        <v>218</v>
      </c>
      <c r="U350">
        <v>1.9081572020643953E-3</v>
      </c>
      <c r="V350" t="s">
        <v>38</v>
      </c>
    </row>
    <row r="351" spans="9:22" x14ac:dyDescent="0.25">
      <c r="I351" t="s">
        <v>49</v>
      </c>
      <c r="J351" t="s">
        <v>219</v>
      </c>
      <c r="K351">
        <v>2.2157437225001311E-2</v>
      </c>
      <c r="L351" t="s">
        <v>38</v>
      </c>
      <c r="N351" t="s">
        <v>50</v>
      </c>
      <c r="O351" t="s">
        <v>219</v>
      </c>
      <c r="P351">
        <v>6.033987546297844E-3</v>
      </c>
      <c r="Q351" t="s">
        <v>38</v>
      </c>
      <c r="S351" t="s">
        <v>51</v>
      </c>
      <c r="T351" t="s">
        <v>219</v>
      </c>
      <c r="U351">
        <v>6.094999355074294E-3</v>
      </c>
      <c r="V351" t="s">
        <v>38</v>
      </c>
    </row>
    <row r="352" spans="9:22" x14ac:dyDescent="0.25">
      <c r="I352" t="s">
        <v>49</v>
      </c>
      <c r="J352" t="s">
        <v>220</v>
      </c>
      <c r="K352">
        <v>2.5164094025879936E-3</v>
      </c>
      <c r="L352" t="s">
        <v>38</v>
      </c>
      <c r="N352" t="s">
        <v>50</v>
      </c>
      <c r="O352" t="s">
        <v>220</v>
      </c>
      <c r="P352">
        <v>2.0646699160191831E-3</v>
      </c>
      <c r="Q352" t="s">
        <v>38</v>
      </c>
      <c r="S352" t="s">
        <v>51</v>
      </c>
      <c r="T352" t="s">
        <v>220</v>
      </c>
      <c r="U352">
        <v>2.158025768838211E-3</v>
      </c>
      <c r="V352" t="s">
        <v>38</v>
      </c>
    </row>
    <row r="353" spans="9:22" x14ac:dyDescent="0.25">
      <c r="I353" t="s">
        <v>49</v>
      </c>
      <c r="J353" t="s">
        <v>221</v>
      </c>
      <c r="K353">
        <v>1.4966520620238569E-5</v>
      </c>
      <c r="L353" t="s">
        <v>38</v>
      </c>
      <c r="N353" t="s">
        <v>50</v>
      </c>
      <c r="O353" t="s">
        <v>221</v>
      </c>
      <c r="P353">
        <v>2.2762493351670171E-3</v>
      </c>
      <c r="Q353" t="s">
        <v>38</v>
      </c>
      <c r="S353" t="s">
        <v>51</v>
      </c>
      <c r="T353" t="s">
        <v>221</v>
      </c>
      <c r="U353">
        <v>2.1358928588088122E-3</v>
      </c>
      <c r="V353" t="s">
        <v>38</v>
      </c>
    </row>
    <row r="354" spans="9:22" x14ac:dyDescent="0.25">
      <c r="I354" t="s">
        <v>49</v>
      </c>
      <c r="J354" t="s">
        <v>222</v>
      </c>
      <c r="K354">
        <v>0</v>
      </c>
      <c r="L354" t="s">
        <v>38</v>
      </c>
      <c r="N354" t="s">
        <v>50</v>
      </c>
      <c r="O354" t="s">
        <v>222</v>
      </c>
      <c r="P354">
        <v>7.3539791188864927E-3</v>
      </c>
      <c r="Q354" t="s">
        <v>38</v>
      </c>
      <c r="S354" t="s">
        <v>51</v>
      </c>
      <c r="T354" t="s">
        <v>222</v>
      </c>
      <c r="U354">
        <v>6.1409638613405459E-3</v>
      </c>
      <c r="V354" t="s">
        <v>38</v>
      </c>
    </row>
    <row r="355" spans="9:22" x14ac:dyDescent="0.25">
      <c r="I355" t="s">
        <v>49</v>
      </c>
      <c r="J355" t="s">
        <v>223</v>
      </c>
      <c r="K355">
        <v>0</v>
      </c>
      <c r="L355" t="s">
        <v>38</v>
      </c>
      <c r="N355" t="s">
        <v>50</v>
      </c>
      <c r="O355" t="s">
        <v>223</v>
      </c>
      <c r="P355">
        <v>1.4164303731140986E-2</v>
      </c>
      <c r="Q355" t="s">
        <v>38</v>
      </c>
      <c r="S355" t="s">
        <v>51</v>
      </c>
      <c r="T355" t="s">
        <v>223</v>
      </c>
      <c r="U355">
        <v>1.3472945942286339E-2</v>
      </c>
      <c r="V355" t="s">
        <v>38</v>
      </c>
    </row>
    <row r="356" spans="9:22" x14ac:dyDescent="0.25">
      <c r="I356" t="s">
        <v>49</v>
      </c>
      <c r="J356" t="s">
        <v>224</v>
      </c>
      <c r="K356">
        <v>0</v>
      </c>
      <c r="L356" t="s">
        <v>38</v>
      </c>
      <c r="N356" t="s">
        <v>50</v>
      </c>
      <c r="O356" t="s">
        <v>224</v>
      </c>
      <c r="P356">
        <v>2.6720505241849967E-3</v>
      </c>
      <c r="Q356" t="s">
        <v>38</v>
      </c>
      <c r="S356" t="s">
        <v>51</v>
      </c>
      <c r="T356" t="s">
        <v>224</v>
      </c>
      <c r="U356">
        <v>2.7174167090349543E-3</v>
      </c>
      <c r="V356" t="s">
        <v>38</v>
      </c>
    </row>
    <row r="357" spans="9:22" x14ac:dyDescent="0.25">
      <c r="I357" t="s">
        <v>49</v>
      </c>
      <c r="J357" t="s">
        <v>225</v>
      </c>
      <c r="K357">
        <v>6.5772057678916751E-2</v>
      </c>
      <c r="L357" t="s">
        <v>38</v>
      </c>
      <c r="N357" t="s">
        <v>50</v>
      </c>
      <c r="O357" t="s">
        <v>225</v>
      </c>
      <c r="P357">
        <v>2.0815792002767817E-2</v>
      </c>
      <c r="Q357" t="s">
        <v>38</v>
      </c>
      <c r="S357" t="s">
        <v>51</v>
      </c>
      <c r="T357" t="s">
        <v>225</v>
      </c>
      <c r="U357">
        <v>2.4206922663005705E-2</v>
      </c>
      <c r="V357" t="s">
        <v>38</v>
      </c>
    </row>
    <row r="358" spans="9:22" x14ac:dyDescent="0.25">
      <c r="I358" t="s">
        <v>49</v>
      </c>
      <c r="J358" t="s">
        <v>226</v>
      </c>
      <c r="K358">
        <v>8.0779771878417873E-3</v>
      </c>
      <c r="L358" t="s">
        <v>38</v>
      </c>
      <c r="N358" t="s">
        <v>50</v>
      </c>
      <c r="O358" t="s">
        <v>226</v>
      </c>
      <c r="P358">
        <v>2.5007194789985823E-3</v>
      </c>
      <c r="Q358" t="s">
        <v>38</v>
      </c>
      <c r="S358" t="s">
        <v>51</v>
      </c>
      <c r="T358" t="s">
        <v>226</v>
      </c>
      <c r="U358">
        <v>2.56153482835001E-3</v>
      </c>
      <c r="V358" t="s">
        <v>38</v>
      </c>
    </row>
    <row r="359" spans="9:22" x14ac:dyDescent="0.25">
      <c r="I359" t="s">
        <v>49</v>
      </c>
      <c r="J359" t="s">
        <v>227</v>
      </c>
      <c r="K359">
        <v>1.3055692133766412E-2</v>
      </c>
      <c r="L359" t="s">
        <v>38</v>
      </c>
      <c r="N359" t="s">
        <v>50</v>
      </c>
      <c r="O359" t="s">
        <v>227</v>
      </c>
      <c r="P359">
        <v>7.9829486339604676E-3</v>
      </c>
      <c r="Q359" t="s">
        <v>38</v>
      </c>
      <c r="S359" t="s">
        <v>51</v>
      </c>
      <c r="T359" t="s">
        <v>227</v>
      </c>
      <c r="U359">
        <v>8.5794008578024515E-3</v>
      </c>
      <c r="V359" t="s">
        <v>38</v>
      </c>
    </row>
    <row r="360" spans="9:22" x14ac:dyDescent="0.25">
      <c r="I360" t="s">
        <v>49</v>
      </c>
      <c r="J360" t="s">
        <v>228</v>
      </c>
      <c r="K360">
        <v>0</v>
      </c>
      <c r="L360" t="s">
        <v>38</v>
      </c>
      <c r="N360" t="s">
        <v>50</v>
      </c>
      <c r="O360" t="s">
        <v>228</v>
      </c>
      <c r="P360">
        <v>2.9898035881776122E-3</v>
      </c>
      <c r="Q360" t="s">
        <v>38</v>
      </c>
      <c r="S360" t="s">
        <v>51</v>
      </c>
      <c r="T360" t="s">
        <v>228</v>
      </c>
      <c r="U360">
        <v>3.1083596367500474E-3</v>
      </c>
      <c r="V360" t="s">
        <v>38</v>
      </c>
    </row>
    <row r="361" spans="9:22" x14ac:dyDescent="0.25">
      <c r="I361" t="s">
        <v>49</v>
      </c>
      <c r="J361" t="s">
        <v>229</v>
      </c>
      <c r="K361">
        <v>0</v>
      </c>
      <c r="L361" t="s">
        <v>38</v>
      </c>
      <c r="N361" t="s">
        <v>50</v>
      </c>
      <c r="O361" t="s">
        <v>229</v>
      </c>
      <c r="P361">
        <v>3.1869789648957749E-3</v>
      </c>
      <c r="Q361" t="s">
        <v>38</v>
      </c>
      <c r="S361" t="s">
        <v>51</v>
      </c>
      <c r="T361" t="s">
        <v>229</v>
      </c>
      <c r="U361">
        <v>3.0948596091100937E-3</v>
      </c>
      <c r="V361" t="s">
        <v>38</v>
      </c>
    </row>
    <row r="362" spans="9:22" x14ac:dyDescent="0.25">
      <c r="I362" t="s">
        <v>49</v>
      </c>
      <c r="J362" t="s">
        <v>230</v>
      </c>
      <c r="K362">
        <v>0</v>
      </c>
      <c r="L362" t="s">
        <v>38</v>
      </c>
      <c r="N362" t="s">
        <v>50</v>
      </c>
      <c r="O362" t="s">
        <v>230</v>
      </c>
      <c r="P362">
        <v>9.3069039596036709E-3</v>
      </c>
      <c r="Q362" t="s">
        <v>38</v>
      </c>
      <c r="S362" t="s">
        <v>51</v>
      </c>
      <c r="T362" t="s">
        <v>230</v>
      </c>
      <c r="U362">
        <v>9.0364800916799062E-3</v>
      </c>
      <c r="V362" t="s">
        <v>38</v>
      </c>
    </row>
    <row r="363" spans="9:22" x14ac:dyDescent="0.25">
      <c r="I363" t="s">
        <v>49</v>
      </c>
      <c r="J363" t="s">
        <v>231</v>
      </c>
      <c r="K363">
        <v>0</v>
      </c>
      <c r="L363" t="s">
        <v>38</v>
      </c>
      <c r="N363" t="s">
        <v>50</v>
      </c>
      <c r="O363" t="s">
        <v>231</v>
      </c>
      <c r="P363">
        <v>2.356966150450434E-2</v>
      </c>
      <c r="Q363" t="s">
        <v>38</v>
      </c>
      <c r="S363" t="s">
        <v>51</v>
      </c>
      <c r="T363" t="s">
        <v>231</v>
      </c>
      <c r="U363">
        <v>2.0871364893187846E-2</v>
      </c>
      <c r="V363" t="s">
        <v>38</v>
      </c>
    </row>
    <row r="364" spans="9:22" x14ac:dyDescent="0.25">
      <c r="I364" t="s">
        <v>49</v>
      </c>
      <c r="J364" t="s">
        <v>232</v>
      </c>
      <c r="K364">
        <v>0</v>
      </c>
      <c r="L364" t="s">
        <v>38</v>
      </c>
      <c r="N364" t="s">
        <v>50</v>
      </c>
      <c r="O364" t="s">
        <v>232</v>
      </c>
      <c r="P364">
        <v>4.6665132842259064E-3</v>
      </c>
      <c r="Q364" t="s">
        <v>38</v>
      </c>
      <c r="S364" t="s">
        <v>51</v>
      </c>
      <c r="T364" t="s">
        <v>232</v>
      </c>
      <c r="U364">
        <v>4.2565266126164845E-3</v>
      </c>
      <c r="V364" t="s">
        <v>38</v>
      </c>
    </row>
    <row r="365" spans="9:22" x14ac:dyDescent="0.25">
      <c r="I365" t="s">
        <v>49</v>
      </c>
      <c r="J365" t="s">
        <v>233</v>
      </c>
      <c r="K365">
        <v>3.4138581144924976E-2</v>
      </c>
      <c r="L365" t="s">
        <v>38</v>
      </c>
      <c r="N365" t="s">
        <v>50</v>
      </c>
      <c r="O365" t="s">
        <v>233</v>
      </c>
      <c r="P365">
        <v>4.2435514515676898E-2</v>
      </c>
      <c r="Q365" t="s">
        <v>38</v>
      </c>
      <c r="S365" t="s">
        <v>51</v>
      </c>
      <c r="T365" t="s">
        <v>233</v>
      </c>
      <c r="U365">
        <v>3.8069798878117483E-2</v>
      </c>
      <c r="V365" t="s">
        <v>38</v>
      </c>
    </row>
    <row r="366" spans="9:22" x14ac:dyDescent="0.25">
      <c r="I366" t="s">
        <v>49</v>
      </c>
      <c r="J366" t="s">
        <v>234</v>
      </c>
      <c r="K366">
        <v>3.906414286053767E-3</v>
      </c>
      <c r="L366" t="s">
        <v>38</v>
      </c>
      <c r="N366" t="s">
        <v>50</v>
      </c>
      <c r="O366" t="s">
        <v>234</v>
      </c>
      <c r="P366">
        <v>4.6319479229366776E-3</v>
      </c>
      <c r="Q366" t="s">
        <v>38</v>
      </c>
      <c r="S366" t="s">
        <v>51</v>
      </c>
      <c r="T366" t="s">
        <v>234</v>
      </c>
      <c r="U366">
        <v>4.2069406494308417E-3</v>
      </c>
      <c r="V366" t="s">
        <v>38</v>
      </c>
    </row>
    <row r="367" spans="9:22" x14ac:dyDescent="0.25">
      <c r="I367" t="s">
        <v>49</v>
      </c>
      <c r="J367" t="s">
        <v>235</v>
      </c>
      <c r="K367">
        <v>2.4961158299122406E-3</v>
      </c>
      <c r="L367" t="s">
        <v>38</v>
      </c>
      <c r="N367" t="s">
        <v>50</v>
      </c>
      <c r="O367" t="s">
        <v>235</v>
      </c>
      <c r="P367">
        <v>1.4129578546412612E-2</v>
      </c>
      <c r="Q367" t="s">
        <v>38</v>
      </c>
      <c r="S367" t="s">
        <v>51</v>
      </c>
      <c r="T367" t="s">
        <v>235</v>
      </c>
      <c r="U367">
        <v>1.2843216685695456E-2</v>
      </c>
      <c r="V367" t="s">
        <v>38</v>
      </c>
    </row>
    <row r="368" spans="9:22" x14ac:dyDescent="0.25">
      <c r="I368" t="s">
        <v>49</v>
      </c>
      <c r="J368" t="s">
        <v>236</v>
      </c>
      <c r="K368">
        <v>0</v>
      </c>
      <c r="L368" t="s">
        <v>38</v>
      </c>
      <c r="N368" t="s">
        <v>50</v>
      </c>
      <c r="O368" t="s">
        <v>236</v>
      </c>
      <c r="P368">
        <v>4.8475406904490382E-3</v>
      </c>
      <c r="Q368" t="s">
        <v>38</v>
      </c>
      <c r="S368" t="s">
        <v>51</v>
      </c>
      <c r="T368" t="s">
        <v>236</v>
      </c>
      <c r="U368">
        <v>4.27722716834058E-3</v>
      </c>
      <c r="V368" t="s">
        <v>38</v>
      </c>
    </row>
    <row r="369" spans="9:22" x14ac:dyDescent="0.25">
      <c r="I369" t="s">
        <v>49</v>
      </c>
      <c r="J369" t="s">
        <v>237</v>
      </c>
      <c r="K369">
        <v>0</v>
      </c>
      <c r="L369" t="s">
        <v>38</v>
      </c>
      <c r="N369" t="s">
        <v>50</v>
      </c>
      <c r="O369" t="s">
        <v>237</v>
      </c>
      <c r="P369">
        <v>4.9560503881973849E-3</v>
      </c>
      <c r="Q369" t="s">
        <v>38</v>
      </c>
      <c r="S369" t="s">
        <v>51</v>
      </c>
      <c r="T369" t="s">
        <v>237</v>
      </c>
      <c r="U369">
        <v>4.3019371270927847E-3</v>
      </c>
      <c r="V369" t="s">
        <v>38</v>
      </c>
    </row>
    <row r="370" spans="9:22" x14ac:dyDescent="0.25">
      <c r="I370" t="s">
        <v>49</v>
      </c>
      <c r="J370" t="s">
        <v>238</v>
      </c>
      <c r="K370">
        <v>0</v>
      </c>
      <c r="L370" t="s">
        <v>38</v>
      </c>
      <c r="N370" t="s">
        <v>50</v>
      </c>
      <c r="O370" t="s">
        <v>238</v>
      </c>
      <c r="P370">
        <v>1.512985628726298E-2</v>
      </c>
      <c r="Q370" t="s">
        <v>38</v>
      </c>
      <c r="S370" t="s">
        <v>51</v>
      </c>
      <c r="T370" t="s">
        <v>238</v>
      </c>
      <c r="U370">
        <v>1.3241756442775105E-2</v>
      </c>
      <c r="V370" t="s">
        <v>38</v>
      </c>
    </row>
    <row r="371" spans="9:22" x14ac:dyDescent="0.25">
      <c r="I371" t="s">
        <v>49</v>
      </c>
      <c r="J371" t="s">
        <v>239</v>
      </c>
      <c r="K371">
        <v>0</v>
      </c>
      <c r="L371" t="s">
        <v>38</v>
      </c>
      <c r="N371" t="s">
        <v>50</v>
      </c>
      <c r="O371" t="s">
        <v>239</v>
      </c>
      <c r="P371">
        <v>2.5711857452892395E-2</v>
      </c>
      <c r="Q371" t="s">
        <v>38</v>
      </c>
      <c r="S371" t="s">
        <v>51</v>
      </c>
      <c r="T371" t="s">
        <v>239</v>
      </c>
      <c r="U371">
        <v>2.347597618657643E-2</v>
      </c>
      <c r="V371" t="s">
        <v>38</v>
      </c>
    </row>
    <row r="372" spans="9:22" x14ac:dyDescent="0.25">
      <c r="I372" t="s">
        <v>49</v>
      </c>
      <c r="J372" t="s">
        <v>240</v>
      </c>
      <c r="K372">
        <v>0</v>
      </c>
      <c r="L372" t="s">
        <v>38</v>
      </c>
      <c r="N372" t="s">
        <v>50</v>
      </c>
      <c r="O372" t="s">
        <v>240</v>
      </c>
      <c r="P372">
        <v>5.1688166028517508E-3</v>
      </c>
      <c r="Q372" t="s">
        <v>38</v>
      </c>
      <c r="S372" t="s">
        <v>51</v>
      </c>
      <c r="T372" t="s">
        <v>240</v>
      </c>
      <c r="U372">
        <v>4.3438748428371986E-3</v>
      </c>
      <c r="V372" t="s">
        <v>38</v>
      </c>
    </row>
    <row r="373" spans="9:22" x14ac:dyDescent="0.25">
      <c r="I373" t="s">
        <v>49</v>
      </c>
      <c r="J373" t="s">
        <v>241</v>
      </c>
      <c r="K373">
        <v>1.6010443687771082E-2</v>
      </c>
      <c r="L373" t="s">
        <v>38</v>
      </c>
      <c r="N373" t="s">
        <v>50</v>
      </c>
      <c r="O373" t="s">
        <v>241</v>
      </c>
      <c r="P373">
        <v>4.3635471864863086E-2</v>
      </c>
      <c r="Q373" t="s">
        <v>38</v>
      </c>
      <c r="S373" t="s">
        <v>51</v>
      </c>
      <c r="T373" t="s">
        <v>241</v>
      </c>
      <c r="U373">
        <v>4.0130570773634425E-2</v>
      </c>
      <c r="V373" t="s">
        <v>38</v>
      </c>
    </row>
    <row r="374" spans="9:22" x14ac:dyDescent="0.25">
      <c r="I374" t="s">
        <v>49</v>
      </c>
      <c r="J374" t="s">
        <v>242</v>
      </c>
      <c r="K374">
        <v>1.0975997735081758E-3</v>
      </c>
      <c r="L374" t="s">
        <v>38</v>
      </c>
      <c r="N374" t="s">
        <v>50</v>
      </c>
      <c r="O374" t="s">
        <v>242</v>
      </c>
      <c r="P374">
        <v>4.5531868065639535E-3</v>
      </c>
      <c r="Q374" t="s">
        <v>38</v>
      </c>
      <c r="S374" t="s">
        <v>51</v>
      </c>
      <c r="T374" t="s">
        <v>242</v>
      </c>
      <c r="U374">
        <v>4.5275875162874533E-3</v>
      </c>
      <c r="V374" t="s">
        <v>38</v>
      </c>
    </row>
    <row r="375" spans="9:22" x14ac:dyDescent="0.25">
      <c r="I375" t="s">
        <v>49</v>
      </c>
      <c r="J375" t="s">
        <v>243</v>
      </c>
      <c r="K375">
        <v>0</v>
      </c>
      <c r="L375" t="s">
        <v>38</v>
      </c>
      <c r="N375" t="s">
        <v>50</v>
      </c>
      <c r="O375" t="s">
        <v>243</v>
      </c>
      <c r="P375">
        <v>1.436246967704333E-2</v>
      </c>
      <c r="Q375" t="s">
        <v>38</v>
      </c>
      <c r="S375" t="s">
        <v>51</v>
      </c>
      <c r="T375" t="s">
        <v>243</v>
      </c>
      <c r="U375">
        <v>1.4524622242395875E-2</v>
      </c>
      <c r="V375" t="s">
        <v>38</v>
      </c>
    </row>
    <row r="376" spans="9:22" x14ac:dyDescent="0.25">
      <c r="I376" t="s">
        <v>49</v>
      </c>
      <c r="J376" t="s">
        <v>244</v>
      </c>
      <c r="K376">
        <v>0</v>
      </c>
      <c r="L376" t="s">
        <v>38</v>
      </c>
      <c r="N376" t="s">
        <v>50</v>
      </c>
      <c r="O376" t="s">
        <v>244</v>
      </c>
      <c r="P376">
        <v>5.1825556616650476E-3</v>
      </c>
      <c r="Q376" t="s">
        <v>38</v>
      </c>
      <c r="S376" t="s">
        <v>51</v>
      </c>
      <c r="T376" t="s">
        <v>244</v>
      </c>
      <c r="U376">
        <v>5.0108461223830241E-3</v>
      </c>
      <c r="V376" t="s">
        <v>38</v>
      </c>
    </row>
    <row r="377" spans="9:22" x14ac:dyDescent="0.25">
      <c r="I377" t="s">
        <v>49</v>
      </c>
      <c r="J377" t="s">
        <v>245</v>
      </c>
      <c r="K377">
        <v>0</v>
      </c>
      <c r="L377" t="s">
        <v>38</v>
      </c>
      <c r="N377" t="s">
        <v>50</v>
      </c>
      <c r="O377" t="s">
        <v>245</v>
      </c>
      <c r="P377">
        <v>5.3445136458824608E-3</v>
      </c>
      <c r="Q377" t="s">
        <v>38</v>
      </c>
      <c r="S377" t="s">
        <v>51</v>
      </c>
      <c r="T377" t="s">
        <v>245</v>
      </c>
      <c r="U377">
        <v>4.997445662737663E-3</v>
      </c>
      <c r="V377" t="s">
        <v>38</v>
      </c>
    </row>
    <row r="378" spans="9:22" x14ac:dyDescent="0.25">
      <c r="I378" t="s">
        <v>49</v>
      </c>
      <c r="J378" t="s">
        <v>246</v>
      </c>
      <c r="K378">
        <v>0</v>
      </c>
      <c r="L378" t="s">
        <v>38</v>
      </c>
      <c r="N378" t="s">
        <v>50</v>
      </c>
      <c r="O378" t="s">
        <v>246</v>
      </c>
      <c r="P378">
        <v>1.6299921150180266E-2</v>
      </c>
      <c r="Q378" t="s">
        <v>38</v>
      </c>
      <c r="S378" t="s">
        <v>51</v>
      </c>
      <c r="T378" t="s">
        <v>246</v>
      </c>
      <c r="U378">
        <v>1.4629761534106613E-2</v>
      </c>
      <c r="V378" t="s">
        <v>38</v>
      </c>
    </row>
    <row r="379" spans="9:22" x14ac:dyDescent="0.25">
      <c r="I379" t="s">
        <v>49</v>
      </c>
      <c r="J379" t="s">
        <v>247</v>
      </c>
      <c r="K379">
        <v>0</v>
      </c>
      <c r="L379" t="s">
        <v>38</v>
      </c>
      <c r="N379" t="s">
        <v>50</v>
      </c>
      <c r="O379" t="s">
        <v>247</v>
      </c>
      <c r="P379">
        <v>3.2264617103647641E-2</v>
      </c>
      <c r="Q379" t="s">
        <v>38</v>
      </c>
      <c r="S379" t="s">
        <v>51</v>
      </c>
      <c r="T379" t="s">
        <v>247</v>
      </c>
      <c r="U379">
        <v>2.8324780404352271E-2</v>
      </c>
      <c r="V379" t="s">
        <v>38</v>
      </c>
    </row>
    <row r="380" spans="9:22" x14ac:dyDescent="0.25">
      <c r="I380" t="s">
        <v>49</v>
      </c>
      <c r="J380" t="s">
        <v>248</v>
      </c>
      <c r="K380">
        <v>0</v>
      </c>
      <c r="L380" t="s">
        <v>38</v>
      </c>
      <c r="N380" t="s">
        <v>50</v>
      </c>
      <c r="O380" t="s">
        <v>248</v>
      </c>
      <c r="P380">
        <v>6.3598408798082578E-3</v>
      </c>
      <c r="Q380" t="s">
        <v>38</v>
      </c>
      <c r="S380" t="s">
        <v>51</v>
      </c>
      <c r="T380" t="s">
        <v>248</v>
      </c>
      <c r="U380">
        <v>5.6766133491505614E-3</v>
      </c>
      <c r="V380" t="s">
        <v>38</v>
      </c>
    </row>
    <row r="381" spans="9:22" x14ac:dyDescent="0.25">
      <c r="I381" t="s">
        <v>49</v>
      </c>
      <c r="J381" t="s">
        <v>249</v>
      </c>
      <c r="K381">
        <v>7.1934864192834472E-3</v>
      </c>
      <c r="L381" t="s">
        <v>38</v>
      </c>
      <c r="N381" t="s">
        <v>50</v>
      </c>
      <c r="O381" t="s">
        <v>249</v>
      </c>
      <c r="P381">
        <v>5.9106473561761276E-2</v>
      </c>
      <c r="Q381" t="s">
        <v>38</v>
      </c>
      <c r="S381" t="s">
        <v>51</v>
      </c>
      <c r="T381" t="s">
        <v>249</v>
      </c>
      <c r="U381">
        <v>5.3029657629057883E-2</v>
      </c>
      <c r="V381" t="s">
        <v>38</v>
      </c>
    </row>
    <row r="382" spans="9:22" x14ac:dyDescent="0.25">
      <c r="I382" t="s">
        <v>49</v>
      </c>
      <c r="J382" t="s">
        <v>250</v>
      </c>
      <c r="K382">
        <v>0</v>
      </c>
      <c r="L382" t="s">
        <v>38</v>
      </c>
      <c r="N382" t="s">
        <v>50</v>
      </c>
      <c r="O382" t="s">
        <v>250</v>
      </c>
      <c r="P382">
        <v>6.6921072480540583E-3</v>
      </c>
      <c r="Q382" t="s">
        <v>38</v>
      </c>
      <c r="S382" t="s">
        <v>51</v>
      </c>
      <c r="T382" t="s">
        <v>250</v>
      </c>
      <c r="U382">
        <v>5.7932097365929651E-3</v>
      </c>
      <c r="V382" t="s">
        <v>38</v>
      </c>
    </row>
    <row r="383" spans="9:22" x14ac:dyDescent="0.25">
      <c r="I383" t="s">
        <v>49</v>
      </c>
      <c r="J383" t="s">
        <v>251</v>
      </c>
      <c r="K383">
        <v>0</v>
      </c>
      <c r="L383" t="s">
        <v>38</v>
      </c>
      <c r="N383" t="s">
        <v>50</v>
      </c>
      <c r="O383" t="s">
        <v>251</v>
      </c>
      <c r="P383">
        <v>1.9911106372493499E-2</v>
      </c>
      <c r="Q383" t="s">
        <v>38</v>
      </c>
      <c r="S383" t="s">
        <v>51</v>
      </c>
      <c r="T383" t="s">
        <v>251</v>
      </c>
      <c r="U383">
        <v>1.7851873365474235E-2</v>
      </c>
      <c r="V383" t="s">
        <v>38</v>
      </c>
    </row>
    <row r="384" spans="9:22" x14ac:dyDescent="0.25">
      <c r="I384" t="s">
        <v>49</v>
      </c>
      <c r="J384" t="s">
        <v>252</v>
      </c>
      <c r="K384">
        <v>0</v>
      </c>
      <c r="L384" t="s">
        <v>38</v>
      </c>
      <c r="N384" t="s">
        <v>50</v>
      </c>
      <c r="O384" t="s">
        <v>252</v>
      </c>
      <c r="P384">
        <v>6.6317545364981542E-3</v>
      </c>
      <c r="Q384" t="s">
        <v>38</v>
      </c>
      <c r="S384" t="s">
        <v>51</v>
      </c>
      <c r="T384" t="s">
        <v>252</v>
      </c>
      <c r="U384">
        <v>6.0024551229102595E-3</v>
      </c>
      <c r="V384" t="s">
        <v>38</v>
      </c>
    </row>
    <row r="385" spans="9:22" x14ac:dyDescent="0.25">
      <c r="I385" t="s">
        <v>49</v>
      </c>
      <c r="J385" t="s">
        <v>253</v>
      </c>
      <c r="K385">
        <v>0</v>
      </c>
      <c r="L385" t="s">
        <v>38</v>
      </c>
      <c r="N385" t="s">
        <v>50</v>
      </c>
      <c r="O385" t="s">
        <v>253</v>
      </c>
      <c r="P385">
        <v>6.7565991362296077E-3</v>
      </c>
      <c r="Q385" t="s">
        <v>38</v>
      </c>
      <c r="S385" t="s">
        <v>51</v>
      </c>
      <c r="T385" t="s">
        <v>253</v>
      </c>
      <c r="U385">
        <v>6.0098944827890848E-3</v>
      </c>
      <c r="V385" t="s">
        <v>38</v>
      </c>
    </row>
    <row r="386" spans="9:22" x14ac:dyDescent="0.25">
      <c r="I386" t="s">
        <v>49</v>
      </c>
      <c r="J386" t="s">
        <v>254</v>
      </c>
      <c r="K386">
        <v>0</v>
      </c>
      <c r="L386" t="s">
        <v>38</v>
      </c>
      <c r="N386" t="s">
        <v>50</v>
      </c>
      <c r="O386" t="s">
        <v>254</v>
      </c>
      <c r="P386">
        <v>2.0452612663167252E-2</v>
      </c>
      <c r="Q386" t="s">
        <v>38</v>
      </c>
      <c r="S386" t="s">
        <v>51</v>
      </c>
      <c r="T386" t="s">
        <v>254</v>
      </c>
      <c r="U386">
        <v>1.7696338426659106E-2</v>
      </c>
      <c r="V386" t="s">
        <v>38</v>
      </c>
    </row>
    <row r="387" spans="9:22" x14ac:dyDescent="0.25">
      <c r="I387" t="s">
        <v>52</v>
      </c>
      <c r="J387" t="s">
        <v>159</v>
      </c>
      <c r="K387">
        <v>0</v>
      </c>
      <c r="L387" t="s">
        <v>38</v>
      </c>
      <c r="N387" t="s">
        <v>53</v>
      </c>
      <c r="O387" t="s">
        <v>159</v>
      </c>
      <c r="P387">
        <v>2.130255950974318E-2</v>
      </c>
      <c r="Q387" t="s">
        <v>38</v>
      </c>
      <c r="S387" t="s">
        <v>54</v>
      </c>
      <c r="T387" t="s">
        <v>159</v>
      </c>
      <c r="U387">
        <v>2.0162236412964458E-2</v>
      </c>
      <c r="V387" t="s">
        <v>38</v>
      </c>
    </row>
    <row r="388" spans="9:22" x14ac:dyDescent="0.25">
      <c r="I388" t="s">
        <v>52</v>
      </c>
      <c r="J388" t="s">
        <v>160</v>
      </c>
      <c r="K388">
        <v>0</v>
      </c>
      <c r="L388" t="s">
        <v>38</v>
      </c>
      <c r="N388" t="s">
        <v>53</v>
      </c>
      <c r="O388" t="s">
        <v>160</v>
      </c>
      <c r="P388">
        <v>4.5597486924555796E-3</v>
      </c>
      <c r="Q388" t="s">
        <v>38</v>
      </c>
      <c r="S388" t="s">
        <v>54</v>
      </c>
      <c r="T388" t="s">
        <v>160</v>
      </c>
      <c r="U388">
        <v>3.9647823762832017E-3</v>
      </c>
      <c r="V388" t="s">
        <v>38</v>
      </c>
    </row>
    <row r="389" spans="9:22" x14ac:dyDescent="0.25">
      <c r="I389" t="s">
        <v>52</v>
      </c>
      <c r="J389" t="s">
        <v>161</v>
      </c>
      <c r="K389">
        <v>8.8128041795292496E-3</v>
      </c>
      <c r="L389" t="s">
        <v>38</v>
      </c>
      <c r="N389" t="s">
        <v>53</v>
      </c>
      <c r="O389" t="s">
        <v>161</v>
      </c>
      <c r="P389">
        <v>3.8848672921816235E-2</v>
      </c>
      <c r="Q389" t="s">
        <v>38</v>
      </c>
      <c r="S389" t="s">
        <v>54</v>
      </c>
      <c r="T389" t="s">
        <v>161</v>
      </c>
      <c r="U389">
        <v>3.8126009152846453E-2</v>
      </c>
      <c r="V389" t="s">
        <v>38</v>
      </c>
    </row>
    <row r="390" spans="9:22" x14ac:dyDescent="0.25">
      <c r="I390" t="s">
        <v>52</v>
      </c>
      <c r="J390" t="s">
        <v>162</v>
      </c>
      <c r="K390">
        <v>8.1578104219997975E-4</v>
      </c>
      <c r="L390" t="s">
        <v>38</v>
      </c>
      <c r="N390" t="s">
        <v>53</v>
      </c>
      <c r="O390" t="s">
        <v>162</v>
      </c>
      <c r="P390">
        <v>4.1396473286309955E-3</v>
      </c>
      <c r="Q390" t="s">
        <v>38</v>
      </c>
      <c r="S390" t="s">
        <v>54</v>
      </c>
      <c r="T390" t="s">
        <v>162</v>
      </c>
      <c r="U390">
        <v>4.4322892519198E-3</v>
      </c>
      <c r="V390" t="s">
        <v>38</v>
      </c>
    </row>
    <row r="391" spans="9:22" x14ac:dyDescent="0.25">
      <c r="I391" t="s">
        <v>52</v>
      </c>
      <c r="J391" t="s">
        <v>163</v>
      </c>
      <c r="K391">
        <v>1.5668950878579948E-7</v>
      </c>
      <c r="L391" t="s">
        <v>38</v>
      </c>
      <c r="N391" t="s">
        <v>53</v>
      </c>
      <c r="O391" t="s">
        <v>163</v>
      </c>
      <c r="P391">
        <v>1.2935877013711466E-2</v>
      </c>
      <c r="Q391" t="s">
        <v>38</v>
      </c>
      <c r="S391" t="s">
        <v>54</v>
      </c>
      <c r="T391" t="s">
        <v>163</v>
      </c>
      <c r="U391">
        <v>1.2835853330072811E-2</v>
      </c>
      <c r="V391" t="s">
        <v>38</v>
      </c>
    </row>
    <row r="392" spans="9:22" x14ac:dyDescent="0.25">
      <c r="I392" t="s">
        <v>52</v>
      </c>
      <c r="J392" t="s">
        <v>164</v>
      </c>
      <c r="K392">
        <v>0</v>
      </c>
      <c r="L392" t="s">
        <v>38</v>
      </c>
      <c r="N392" t="s">
        <v>53</v>
      </c>
      <c r="O392" t="s">
        <v>164</v>
      </c>
      <c r="P392">
        <v>4.2483334657691125E-3</v>
      </c>
      <c r="Q392" t="s">
        <v>38</v>
      </c>
      <c r="S392" t="s">
        <v>54</v>
      </c>
      <c r="T392" t="s">
        <v>164</v>
      </c>
      <c r="U392">
        <v>4.1733747756282956E-3</v>
      </c>
      <c r="V392" t="s">
        <v>38</v>
      </c>
    </row>
    <row r="393" spans="9:22" x14ac:dyDescent="0.25">
      <c r="I393" t="s">
        <v>52</v>
      </c>
      <c r="J393" t="s">
        <v>165</v>
      </c>
      <c r="K393">
        <v>0</v>
      </c>
      <c r="L393" t="s">
        <v>38</v>
      </c>
      <c r="N393" t="s">
        <v>53</v>
      </c>
      <c r="O393" t="s">
        <v>165</v>
      </c>
      <c r="P393">
        <v>4.0873522632831347E-3</v>
      </c>
      <c r="Q393" t="s">
        <v>38</v>
      </c>
      <c r="S393" t="s">
        <v>54</v>
      </c>
      <c r="T393" t="s">
        <v>165</v>
      </c>
      <c r="U393">
        <v>4.140938834621904E-3</v>
      </c>
      <c r="V393" t="s">
        <v>38</v>
      </c>
    </row>
    <row r="394" spans="9:22" x14ac:dyDescent="0.25">
      <c r="I394" t="s">
        <v>52</v>
      </c>
      <c r="J394" t="s">
        <v>166</v>
      </c>
      <c r="K394">
        <v>0</v>
      </c>
      <c r="L394" t="s">
        <v>38</v>
      </c>
      <c r="N394" t="s">
        <v>53</v>
      </c>
      <c r="O394" t="s">
        <v>166</v>
      </c>
      <c r="P394">
        <v>1.1821738353021315E-2</v>
      </c>
      <c r="Q394" t="s">
        <v>38</v>
      </c>
      <c r="S394" t="s">
        <v>54</v>
      </c>
      <c r="T394" t="s">
        <v>166</v>
      </c>
      <c r="U394">
        <v>1.2276727274787531E-2</v>
      </c>
      <c r="V394" t="s">
        <v>38</v>
      </c>
    </row>
    <row r="395" spans="9:22" x14ac:dyDescent="0.25">
      <c r="I395" t="s">
        <v>52</v>
      </c>
      <c r="J395" t="s">
        <v>167</v>
      </c>
      <c r="K395">
        <v>0</v>
      </c>
      <c r="L395" t="s">
        <v>38</v>
      </c>
      <c r="N395" t="s">
        <v>53</v>
      </c>
      <c r="O395" t="s">
        <v>167</v>
      </c>
      <c r="P395">
        <v>8.9685544858462141E-3</v>
      </c>
      <c r="Q395" t="s">
        <v>38</v>
      </c>
      <c r="S395" t="s">
        <v>54</v>
      </c>
      <c r="T395" t="s">
        <v>167</v>
      </c>
      <c r="U395">
        <v>1.0498948971794217E-2</v>
      </c>
      <c r="V395" t="s">
        <v>38</v>
      </c>
    </row>
    <row r="396" spans="9:22" x14ac:dyDescent="0.25">
      <c r="I396" t="s">
        <v>52</v>
      </c>
      <c r="J396" t="s">
        <v>168</v>
      </c>
      <c r="K396">
        <v>0</v>
      </c>
      <c r="L396" t="s">
        <v>38</v>
      </c>
      <c r="N396" t="s">
        <v>53</v>
      </c>
      <c r="O396" t="s">
        <v>168</v>
      </c>
      <c r="P396">
        <v>1.6617820389998681E-3</v>
      </c>
      <c r="Q396" t="s">
        <v>38</v>
      </c>
      <c r="S396" t="s">
        <v>54</v>
      </c>
      <c r="T396" t="s">
        <v>168</v>
      </c>
      <c r="U396">
        <v>2.2789249438434161E-3</v>
      </c>
      <c r="V396" t="s">
        <v>38</v>
      </c>
    </row>
    <row r="397" spans="9:22" x14ac:dyDescent="0.25">
      <c r="I397" t="s">
        <v>52</v>
      </c>
      <c r="J397" t="s">
        <v>169</v>
      </c>
      <c r="K397">
        <v>2.5511172296616012E-2</v>
      </c>
      <c r="L397" t="s">
        <v>38</v>
      </c>
      <c r="N397" t="s">
        <v>53</v>
      </c>
      <c r="O397" t="s">
        <v>169</v>
      </c>
      <c r="P397">
        <v>1.8103076562889016E-2</v>
      </c>
      <c r="Q397" t="s">
        <v>38</v>
      </c>
      <c r="S397" t="s">
        <v>54</v>
      </c>
      <c r="T397" t="s">
        <v>169</v>
      </c>
      <c r="U397">
        <v>2.176225723000462E-2</v>
      </c>
      <c r="V397" t="s">
        <v>38</v>
      </c>
    </row>
    <row r="398" spans="9:22" x14ac:dyDescent="0.25">
      <c r="I398" t="s">
        <v>52</v>
      </c>
      <c r="J398" t="s">
        <v>170</v>
      </c>
      <c r="K398">
        <v>3.9966409632243467E-3</v>
      </c>
      <c r="L398" t="s">
        <v>38</v>
      </c>
      <c r="N398" t="s">
        <v>53</v>
      </c>
      <c r="O398" t="s">
        <v>170</v>
      </c>
      <c r="P398">
        <v>2.1758752083431941E-3</v>
      </c>
      <c r="Q398" t="s">
        <v>38</v>
      </c>
      <c r="S398" t="s">
        <v>54</v>
      </c>
      <c r="T398" t="s">
        <v>170</v>
      </c>
      <c r="U398">
        <v>2.5584635813706868E-3</v>
      </c>
      <c r="V398" t="s">
        <v>38</v>
      </c>
    </row>
    <row r="399" spans="9:22" x14ac:dyDescent="0.25">
      <c r="I399" t="s">
        <v>52</v>
      </c>
      <c r="J399" t="s">
        <v>171</v>
      </c>
      <c r="K399">
        <v>3.4569913304207142E-3</v>
      </c>
      <c r="L399" t="s">
        <v>38</v>
      </c>
      <c r="N399" t="s">
        <v>53</v>
      </c>
      <c r="O399" t="s">
        <v>171</v>
      </c>
      <c r="P399">
        <v>7.4755159924522665E-3</v>
      </c>
      <c r="Q399" t="s">
        <v>38</v>
      </c>
      <c r="S399" t="s">
        <v>54</v>
      </c>
      <c r="T399" t="s">
        <v>171</v>
      </c>
      <c r="U399">
        <v>7.6408373028384992E-3</v>
      </c>
      <c r="V399" t="s">
        <v>38</v>
      </c>
    </row>
    <row r="400" spans="9:22" x14ac:dyDescent="0.25">
      <c r="I400" t="s">
        <v>52</v>
      </c>
      <c r="J400" t="s">
        <v>172</v>
      </c>
      <c r="K400">
        <v>0</v>
      </c>
      <c r="L400" t="s">
        <v>38</v>
      </c>
      <c r="N400" t="s">
        <v>53</v>
      </c>
      <c r="O400" t="s">
        <v>172</v>
      </c>
      <c r="P400">
        <v>2.6174239049025351E-3</v>
      </c>
      <c r="Q400" t="s">
        <v>38</v>
      </c>
      <c r="S400" t="s">
        <v>54</v>
      </c>
      <c r="T400" t="s">
        <v>172</v>
      </c>
      <c r="U400">
        <v>2.4495422949812728E-3</v>
      </c>
      <c r="V400" t="s">
        <v>38</v>
      </c>
    </row>
    <row r="401" spans="9:22" x14ac:dyDescent="0.25">
      <c r="I401" t="s">
        <v>52</v>
      </c>
      <c r="J401" t="s">
        <v>173</v>
      </c>
      <c r="K401">
        <v>0</v>
      </c>
      <c r="L401" t="s">
        <v>38</v>
      </c>
      <c r="N401" t="s">
        <v>53</v>
      </c>
      <c r="O401" t="s">
        <v>173</v>
      </c>
      <c r="P401">
        <v>2.5567664163736415E-3</v>
      </c>
      <c r="Q401" t="s">
        <v>38</v>
      </c>
      <c r="S401" t="s">
        <v>54</v>
      </c>
      <c r="T401" t="s">
        <v>173</v>
      </c>
      <c r="U401">
        <v>2.3663042081963075E-3</v>
      </c>
      <c r="V401" t="s">
        <v>38</v>
      </c>
    </row>
    <row r="402" spans="9:22" x14ac:dyDescent="0.25">
      <c r="I402" t="s">
        <v>52</v>
      </c>
      <c r="J402" t="s">
        <v>174</v>
      </c>
      <c r="K402">
        <v>0</v>
      </c>
      <c r="L402" t="s">
        <v>38</v>
      </c>
      <c r="N402" t="s">
        <v>53</v>
      </c>
      <c r="O402" t="s">
        <v>174</v>
      </c>
      <c r="P402">
        <v>7.0701464579106671E-3</v>
      </c>
      <c r="Q402" t="s">
        <v>38</v>
      </c>
      <c r="S402" t="s">
        <v>54</v>
      </c>
      <c r="T402" t="s">
        <v>174</v>
      </c>
      <c r="U402">
        <v>6.4467510832474893E-3</v>
      </c>
      <c r="V402" t="s">
        <v>38</v>
      </c>
    </row>
    <row r="403" spans="9:22" x14ac:dyDescent="0.25">
      <c r="I403" t="s">
        <v>52</v>
      </c>
      <c r="J403" t="s">
        <v>175</v>
      </c>
      <c r="K403">
        <v>0</v>
      </c>
      <c r="L403" t="s">
        <v>38</v>
      </c>
      <c r="N403" t="s">
        <v>53</v>
      </c>
      <c r="O403" t="s">
        <v>175</v>
      </c>
      <c r="P403">
        <v>1.9681194946854955E-2</v>
      </c>
      <c r="Q403" t="s">
        <v>38</v>
      </c>
      <c r="S403" t="s">
        <v>54</v>
      </c>
      <c r="T403" t="s">
        <v>175</v>
      </c>
      <c r="U403">
        <v>1.4685437682988264E-2</v>
      </c>
      <c r="V403" t="s">
        <v>38</v>
      </c>
    </row>
    <row r="404" spans="9:22" x14ac:dyDescent="0.25">
      <c r="I404" t="s">
        <v>52</v>
      </c>
      <c r="J404" t="s">
        <v>176</v>
      </c>
      <c r="K404">
        <v>0</v>
      </c>
      <c r="L404" t="s">
        <v>38</v>
      </c>
      <c r="N404" t="s">
        <v>53</v>
      </c>
      <c r="O404" t="s">
        <v>176</v>
      </c>
      <c r="P404">
        <v>3.6909874231246019E-3</v>
      </c>
      <c r="Q404" t="s">
        <v>38</v>
      </c>
      <c r="S404" t="s">
        <v>54</v>
      </c>
      <c r="T404" t="s">
        <v>176</v>
      </c>
      <c r="U404">
        <v>2.8083344562469508E-3</v>
      </c>
      <c r="V404" t="s">
        <v>38</v>
      </c>
    </row>
    <row r="405" spans="9:22" x14ac:dyDescent="0.25">
      <c r="I405" t="s">
        <v>52</v>
      </c>
      <c r="J405" t="s">
        <v>177</v>
      </c>
      <c r="K405">
        <v>8.0335678047575312E-2</v>
      </c>
      <c r="L405" t="s">
        <v>38</v>
      </c>
      <c r="N405" t="s">
        <v>53</v>
      </c>
      <c r="O405" t="s">
        <v>177</v>
      </c>
      <c r="P405">
        <v>2.7763846462468808E-2</v>
      </c>
      <c r="Q405" t="s">
        <v>38</v>
      </c>
      <c r="S405" t="s">
        <v>54</v>
      </c>
      <c r="T405" t="s">
        <v>177</v>
      </c>
      <c r="U405">
        <v>2.7375950746408476E-2</v>
      </c>
      <c r="V405" t="s">
        <v>38</v>
      </c>
    </row>
    <row r="406" spans="9:22" x14ac:dyDescent="0.25">
      <c r="I406" t="s">
        <v>52</v>
      </c>
      <c r="J406" t="s">
        <v>178</v>
      </c>
      <c r="K406">
        <v>1.0682367751942767E-2</v>
      </c>
      <c r="L406" t="s">
        <v>38</v>
      </c>
      <c r="N406" t="s">
        <v>53</v>
      </c>
      <c r="O406" t="s">
        <v>178</v>
      </c>
      <c r="P406">
        <v>3.1207457812315281E-3</v>
      </c>
      <c r="Q406" t="s">
        <v>38</v>
      </c>
      <c r="S406" t="s">
        <v>54</v>
      </c>
      <c r="T406" t="s">
        <v>178</v>
      </c>
      <c r="U406">
        <v>3.5339581386750057E-3</v>
      </c>
      <c r="V406" t="s">
        <v>38</v>
      </c>
    </row>
    <row r="407" spans="9:22" x14ac:dyDescent="0.25">
      <c r="I407" t="s">
        <v>52</v>
      </c>
      <c r="J407" t="s">
        <v>179</v>
      </c>
      <c r="K407">
        <v>1.5231592170790759E-2</v>
      </c>
      <c r="L407" t="s">
        <v>38</v>
      </c>
      <c r="N407" t="s">
        <v>53</v>
      </c>
      <c r="O407" t="s">
        <v>179</v>
      </c>
      <c r="P407">
        <v>1.0385936580295832E-2</v>
      </c>
      <c r="Q407" t="s">
        <v>38</v>
      </c>
      <c r="S407" t="s">
        <v>54</v>
      </c>
      <c r="T407" t="s">
        <v>179</v>
      </c>
      <c r="U407">
        <v>1.1199843877280664E-2</v>
      </c>
      <c r="V407" t="s">
        <v>38</v>
      </c>
    </row>
    <row r="408" spans="9:22" x14ac:dyDescent="0.25">
      <c r="I408" t="s">
        <v>52</v>
      </c>
      <c r="J408" t="s">
        <v>180</v>
      </c>
      <c r="K408">
        <v>0</v>
      </c>
      <c r="L408" t="s">
        <v>38</v>
      </c>
      <c r="N408" t="s">
        <v>53</v>
      </c>
      <c r="O408" t="s">
        <v>180</v>
      </c>
      <c r="P408">
        <v>3.851564052647877E-3</v>
      </c>
      <c r="Q408" t="s">
        <v>38</v>
      </c>
      <c r="S408" t="s">
        <v>54</v>
      </c>
      <c r="T408" t="s">
        <v>180</v>
      </c>
      <c r="U408">
        <v>3.870219676873757E-3</v>
      </c>
      <c r="V408" t="s">
        <v>38</v>
      </c>
    </row>
    <row r="409" spans="9:22" x14ac:dyDescent="0.25">
      <c r="I409" t="s">
        <v>52</v>
      </c>
      <c r="J409" t="s">
        <v>181</v>
      </c>
      <c r="K409">
        <v>0</v>
      </c>
      <c r="L409" t="s">
        <v>38</v>
      </c>
      <c r="N409" t="s">
        <v>53</v>
      </c>
      <c r="O409" t="s">
        <v>181</v>
      </c>
      <c r="P409">
        <v>3.9197711072494219E-3</v>
      </c>
      <c r="Q409" t="s">
        <v>38</v>
      </c>
      <c r="S409" t="s">
        <v>54</v>
      </c>
      <c r="T409" t="s">
        <v>181</v>
      </c>
      <c r="U409">
        <v>3.7165390744581511E-3</v>
      </c>
      <c r="V409" t="s">
        <v>38</v>
      </c>
    </row>
    <row r="410" spans="9:22" x14ac:dyDescent="0.25">
      <c r="I410" t="s">
        <v>52</v>
      </c>
      <c r="J410" t="s">
        <v>182</v>
      </c>
      <c r="K410">
        <v>0</v>
      </c>
      <c r="L410" t="s">
        <v>38</v>
      </c>
      <c r="N410" t="s">
        <v>53</v>
      </c>
      <c r="O410" t="s">
        <v>182</v>
      </c>
      <c r="P410">
        <v>1.1874821796119204E-2</v>
      </c>
      <c r="Q410" t="s">
        <v>38</v>
      </c>
      <c r="S410" t="s">
        <v>54</v>
      </c>
      <c r="T410" t="s">
        <v>182</v>
      </c>
      <c r="U410">
        <v>9.8940066546302392E-3</v>
      </c>
      <c r="V410" t="s">
        <v>38</v>
      </c>
    </row>
    <row r="411" spans="9:22" x14ac:dyDescent="0.25">
      <c r="I411" t="s">
        <v>52</v>
      </c>
      <c r="J411" t="s">
        <v>183</v>
      </c>
      <c r="K411">
        <v>0</v>
      </c>
      <c r="L411" t="s">
        <v>38</v>
      </c>
      <c r="N411" t="s">
        <v>53</v>
      </c>
      <c r="O411" t="s">
        <v>183</v>
      </c>
      <c r="P411">
        <v>1.9922667767164028E-2</v>
      </c>
      <c r="Q411" t="s">
        <v>38</v>
      </c>
      <c r="S411" t="s">
        <v>54</v>
      </c>
      <c r="T411" t="s">
        <v>183</v>
      </c>
      <c r="U411">
        <v>1.8487099856183936E-2</v>
      </c>
      <c r="V411" t="s">
        <v>38</v>
      </c>
    </row>
    <row r="412" spans="9:22" x14ac:dyDescent="0.25">
      <c r="I412" t="s">
        <v>52</v>
      </c>
      <c r="J412" t="s">
        <v>184</v>
      </c>
      <c r="K412">
        <v>1.1566626625819957E-3</v>
      </c>
      <c r="L412" t="s">
        <v>38</v>
      </c>
      <c r="N412" t="s">
        <v>53</v>
      </c>
      <c r="O412" t="s">
        <v>184</v>
      </c>
      <c r="P412">
        <v>3.807533013027616E-3</v>
      </c>
      <c r="Q412" t="s">
        <v>38</v>
      </c>
      <c r="S412" t="s">
        <v>54</v>
      </c>
      <c r="T412" t="s">
        <v>184</v>
      </c>
      <c r="U412">
        <v>3.9320605296514245E-3</v>
      </c>
      <c r="V412" t="s">
        <v>38</v>
      </c>
    </row>
    <row r="413" spans="9:22" x14ac:dyDescent="0.25">
      <c r="I413" t="s">
        <v>52</v>
      </c>
      <c r="J413" t="s">
        <v>185</v>
      </c>
      <c r="K413">
        <v>8.3746630237723663E-2</v>
      </c>
      <c r="L413" t="s">
        <v>38</v>
      </c>
      <c r="N413" t="s">
        <v>53</v>
      </c>
      <c r="O413" t="s">
        <v>185</v>
      </c>
      <c r="P413">
        <v>3.2896808311622915E-2</v>
      </c>
      <c r="Q413" t="s">
        <v>38</v>
      </c>
      <c r="S413" t="s">
        <v>54</v>
      </c>
      <c r="T413" t="s">
        <v>185</v>
      </c>
      <c r="U413">
        <v>3.7037879383008759E-2</v>
      </c>
      <c r="V413" t="s">
        <v>38</v>
      </c>
    </row>
    <row r="414" spans="9:22" x14ac:dyDescent="0.25">
      <c r="I414" t="s">
        <v>52</v>
      </c>
      <c r="J414" t="s">
        <v>186</v>
      </c>
      <c r="K414">
        <v>1.0832295409993179E-2</v>
      </c>
      <c r="L414" t="s">
        <v>38</v>
      </c>
      <c r="N414" t="s">
        <v>53</v>
      </c>
      <c r="O414" t="s">
        <v>186</v>
      </c>
      <c r="P414">
        <v>4.1142983293377625E-3</v>
      </c>
      <c r="Q414" t="s">
        <v>38</v>
      </c>
      <c r="S414" t="s">
        <v>54</v>
      </c>
      <c r="T414" t="s">
        <v>186</v>
      </c>
      <c r="U414">
        <v>4.1130401863181728E-3</v>
      </c>
      <c r="V414" t="s">
        <v>38</v>
      </c>
    </row>
    <row r="415" spans="9:22" x14ac:dyDescent="0.25">
      <c r="I415" t="s">
        <v>52</v>
      </c>
      <c r="J415" t="s">
        <v>187</v>
      </c>
      <c r="K415">
        <v>2.3107388337382694E-2</v>
      </c>
      <c r="L415" t="s">
        <v>38</v>
      </c>
      <c r="N415" t="s">
        <v>53</v>
      </c>
      <c r="O415" t="s">
        <v>187</v>
      </c>
      <c r="P415">
        <v>1.2625860040799165E-2</v>
      </c>
      <c r="Q415" t="s">
        <v>38</v>
      </c>
      <c r="S415" t="s">
        <v>54</v>
      </c>
      <c r="T415" t="s">
        <v>187</v>
      </c>
      <c r="U415">
        <v>1.236348667516448E-2</v>
      </c>
      <c r="V415" t="s">
        <v>38</v>
      </c>
    </row>
    <row r="416" spans="9:22" x14ac:dyDescent="0.25">
      <c r="I416" t="s">
        <v>52</v>
      </c>
      <c r="J416" t="s">
        <v>188</v>
      </c>
      <c r="K416">
        <v>1.4820531583034334E-3</v>
      </c>
      <c r="L416" t="s">
        <v>38</v>
      </c>
      <c r="N416" t="s">
        <v>53</v>
      </c>
      <c r="O416" t="s">
        <v>188</v>
      </c>
      <c r="P416">
        <v>4.2840802493370484E-3</v>
      </c>
      <c r="Q416" t="s">
        <v>38</v>
      </c>
      <c r="S416" t="s">
        <v>54</v>
      </c>
      <c r="T416" t="s">
        <v>188</v>
      </c>
      <c r="U416">
        <v>4.1022574413820661E-3</v>
      </c>
      <c r="V416" t="s">
        <v>38</v>
      </c>
    </row>
    <row r="417" spans="9:22" x14ac:dyDescent="0.25">
      <c r="I417" t="s">
        <v>52</v>
      </c>
      <c r="J417" t="s">
        <v>189</v>
      </c>
      <c r="K417">
        <v>0</v>
      </c>
      <c r="L417" t="s">
        <v>38</v>
      </c>
      <c r="N417" t="s">
        <v>53</v>
      </c>
      <c r="O417" t="s">
        <v>189</v>
      </c>
      <c r="P417">
        <v>4.2861907651927031E-3</v>
      </c>
      <c r="Q417" t="s">
        <v>38</v>
      </c>
      <c r="S417" t="s">
        <v>54</v>
      </c>
      <c r="T417" t="s">
        <v>189</v>
      </c>
      <c r="U417">
        <v>4.1103266923752926E-3</v>
      </c>
      <c r="V417" t="s">
        <v>38</v>
      </c>
    </row>
    <row r="418" spans="9:22" x14ac:dyDescent="0.25">
      <c r="I418" t="s">
        <v>52</v>
      </c>
      <c r="J418" t="s">
        <v>190</v>
      </c>
      <c r="K418">
        <v>0</v>
      </c>
      <c r="L418" t="s">
        <v>38</v>
      </c>
      <c r="N418" t="s">
        <v>53</v>
      </c>
      <c r="O418" t="s">
        <v>190</v>
      </c>
      <c r="P418">
        <v>1.282387842170348E-2</v>
      </c>
      <c r="Q418" t="s">
        <v>38</v>
      </c>
      <c r="S418" t="s">
        <v>54</v>
      </c>
      <c r="T418" t="s">
        <v>190</v>
      </c>
      <c r="U418">
        <v>1.2174484477398499E-2</v>
      </c>
      <c r="V418" t="s">
        <v>38</v>
      </c>
    </row>
    <row r="419" spans="9:22" x14ac:dyDescent="0.25">
      <c r="I419" t="s">
        <v>52</v>
      </c>
      <c r="J419" t="s">
        <v>191</v>
      </c>
      <c r="K419">
        <v>9.9738227974093137E-4</v>
      </c>
      <c r="L419" t="s">
        <v>38</v>
      </c>
      <c r="N419" t="s">
        <v>53</v>
      </c>
      <c r="O419" t="s">
        <v>191</v>
      </c>
      <c r="P419">
        <v>1.6695021803981185E-2</v>
      </c>
      <c r="Q419" t="s">
        <v>38</v>
      </c>
      <c r="S419" t="s">
        <v>54</v>
      </c>
      <c r="T419" t="s">
        <v>191</v>
      </c>
      <c r="U419">
        <v>1.5906123063397535E-2</v>
      </c>
      <c r="V419" t="s">
        <v>38</v>
      </c>
    </row>
    <row r="420" spans="9:22" x14ac:dyDescent="0.25">
      <c r="I420" t="s">
        <v>52</v>
      </c>
      <c r="J420" t="s">
        <v>192</v>
      </c>
      <c r="K420">
        <v>4.1315628368539586E-3</v>
      </c>
      <c r="L420" t="s">
        <v>38</v>
      </c>
      <c r="N420" t="s">
        <v>53</v>
      </c>
      <c r="O420" t="s">
        <v>192</v>
      </c>
      <c r="P420">
        <v>2.8895253993517105E-3</v>
      </c>
      <c r="Q420" t="s">
        <v>38</v>
      </c>
      <c r="S420" t="s">
        <v>54</v>
      </c>
      <c r="T420" t="s">
        <v>192</v>
      </c>
      <c r="U420">
        <v>2.9614375416028502E-3</v>
      </c>
      <c r="V420" t="s">
        <v>38</v>
      </c>
    </row>
    <row r="421" spans="9:22" x14ac:dyDescent="0.25">
      <c r="I421" t="s">
        <v>52</v>
      </c>
      <c r="J421" t="s">
        <v>193</v>
      </c>
      <c r="K421">
        <v>0.104024443126919</v>
      </c>
      <c r="L421" t="s">
        <v>38</v>
      </c>
      <c r="N421" t="s">
        <v>53</v>
      </c>
      <c r="O421" t="s">
        <v>193</v>
      </c>
      <c r="P421">
        <v>2.2430724647103998E-2</v>
      </c>
      <c r="Q421" t="s">
        <v>38</v>
      </c>
      <c r="S421" t="s">
        <v>54</v>
      </c>
      <c r="T421" t="s">
        <v>193</v>
      </c>
      <c r="U421">
        <v>2.9574620240518497E-2</v>
      </c>
      <c r="V421" t="s">
        <v>38</v>
      </c>
    </row>
    <row r="422" spans="9:22" x14ac:dyDescent="0.25">
      <c r="I422" t="s">
        <v>52</v>
      </c>
      <c r="J422" t="s">
        <v>194</v>
      </c>
      <c r="K422">
        <v>1.193431947935499E-2</v>
      </c>
      <c r="L422" t="s">
        <v>38</v>
      </c>
      <c r="N422" t="s">
        <v>53</v>
      </c>
      <c r="O422" t="s">
        <v>194</v>
      </c>
      <c r="P422">
        <v>2.5314366155411803E-3</v>
      </c>
      <c r="Q422" t="s">
        <v>38</v>
      </c>
      <c r="S422" t="s">
        <v>54</v>
      </c>
      <c r="T422" t="s">
        <v>194</v>
      </c>
      <c r="U422">
        <v>3.6431583775331407E-3</v>
      </c>
      <c r="V422" t="s">
        <v>38</v>
      </c>
    </row>
    <row r="423" spans="9:22" x14ac:dyDescent="0.25">
      <c r="I423" t="s">
        <v>52</v>
      </c>
      <c r="J423" t="s">
        <v>195</v>
      </c>
      <c r="K423">
        <v>2.6486339270536029E-2</v>
      </c>
      <c r="L423" t="s">
        <v>38</v>
      </c>
      <c r="N423" t="s">
        <v>53</v>
      </c>
      <c r="O423" t="s">
        <v>195</v>
      </c>
      <c r="P423">
        <v>7.8314745242850387E-3</v>
      </c>
      <c r="Q423" t="s">
        <v>38</v>
      </c>
      <c r="S423" t="s">
        <v>54</v>
      </c>
      <c r="T423" t="s">
        <v>195</v>
      </c>
      <c r="U423">
        <v>1.0805465958710622E-2</v>
      </c>
      <c r="V423" t="s">
        <v>38</v>
      </c>
    </row>
    <row r="424" spans="9:22" x14ac:dyDescent="0.25">
      <c r="I424" t="s">
        <v>52</v>
      </c>
      <c r="J424" t="s">
        <v>196</v>
      </c>
      <c r="K424">
        <v>3.9344815788089176E-3</v>
      </c>
      <c r="L424" t="s">
        <v>38</v>
      </c>
      <c r="N424" t="s">
        <v>53</v>
      </c>
      <c r="O424" t="s">
        <v>196</v>
      </c>
      <c r="P424">
        <v>2.8463455708349155E-3</v>
      </c>
      <c r="Q424" t="s">
        <v>38</v>
      </c>
      <c r="S424" t="s">
        <v>54</v>
      </c>
      <c r="T424" t="s">
        <v>196</v>
      </c>
      <c r="U424">
        <v>3.5377235532443609E-3</v>
      </c>
      <c r="V424" t="s">
        <v>38</v>
      </c>
    </row>
    <row r="425" spans="9:22" x14ac:dyDescent="0.25">
      <c r="I425" t="s">
        <v>52</v>
      </c>
      <c r="J425" t="s">
        <v>197</v>
      </c>
      <c r="K425">
        <v>7.8059891398760258E-4</v>
      </c>
      <c r="L425" t="s">
        <v>38</v>
      </c>
      <c r="N425" t="s">
        <v>53</v>
      </c>
      <c r="O425" t="s">
        <v>197</v>
      </c>
      <c r="P425">
        <v>2.974097057518504E-3</v>
      </c>
      <c r="Q425" t="s">
        <v>38</v>
      </c>
      <c r="S425" t="s">
        <v>54</v>
      </c>
      <c r="T425" t="s">
        <v>197</v>
      </c>
      <c r="U425">
        <v>3.4734693359560428E-3</v>
      </c>
      <c r="V425" t="s">
        <v>38</v>
      </c>
    </row>
    <row r="426" spans="9:22" x14ac:dyDescent="0.25">
      <c r="I426" t="s">
        <v>52</v>
      </c>
      <c r="J426" t="s">
        <v>198</v>
      </c>
      <c r="K426">
        <v>0</v>
      </c>
      <c r="L426" t="s">
        <v>38</v>
      </c>
      <c r="N426" t="s">
        <v>53</v>
      </c>
      <c r="O426" t="s">
        <v>198</v>
      </c>
      <c r="P426">
        <v>9.415062448147311E-3</v>
      </c>
      <c r="Q426" t="s">
        <v>38</v>
      </c>
      <c r="S426" t="s">
        <v>54</v>
      </c>
      <c r="T426" t="s">
        <v>198</v>
      </c>
      <c r="U426">
        <v>9.6966027660666046E-3</v>
      </c>
      <c r="V426" t="s">
        <v>38</v>
      </c>
    </row>
    <row r="427" spans="9:22" x14ac:dyDescent="0.25">
      <c r="I427" t="s">
        <v>52</v>
      </c>
      <c r="J427" t="s">
        <v>199</v>
      </c>
      <c r="K427">
        <v>1.900076170271604E-3</v>
      </c>
      <c r="L427" t="s">
        <v>38</v>
      </c>
      <c r="N427" t="s">
        <v>53</v>
      </c>
      <c r="O427" t="s">
        <v>199</v>
      </c>
      <c r="P427">
        <v>1.1190015559703784E-2</v>
      </c>
      <c r="Q427" t="s">
        <v>38</v>
      </c>
      <c r="S427" t="s">
        <v>54</v>
      </c>
      <c r="T427" t="s">
        <v>199</v>
      </c>
      <c r="U427">
        <v>1.065749644418313E-2</v>
      </c>
      <c r="V427" t="s">
        <v>38</v>
      </c>
    </row>
    <row r="428" spans="9:22" x14ac:dyDescent="0.25">
      <c r="I428" t="s">
        <v>52</v>
      </c>
      <c r="J428" t="s">
        <v>200</v>
      </c>
      <c r="K428">
        <v>4.1012695842345976E-3</v>
      </c>
      <c r="L428" t="s">
        <v>38</v>
      </c>
      <c r="N428" t="s">
        <v>53</v>
      </c>
      <c r="O428" t="s">
        <v>200</v>
      </c>
      <c r="P428">
        <v>2.0128283718052701E-3</v>
      </c>
      <c r="Q428" t="s">
        <v>38</v>
      </c>
      <c r="S428" t="s">
        <v>54</v>
      </c>
      <c r="T428" t="s">
        <v>200</v>
      </c>
      <c r="U428">
        <v>1.9294063957358775E-3</v>
      </c>
      <c r="V428" t="s">
        <v>38</v>
      </c>
    </row>
    <row r="429" spans="9:22" x14ac:dyDescent="0.25">
      <c r="I429" t="s">
        <v>52</v>
      </c>
      <c r="J429" t="s">
        <v>201</v>
      </c>
      <c r="K429">
        <v>9.8116460023932234E-2</v>
      </c>
      <c r="L429" t="s">
        <v>38</v>
      </c>
      <c r="N429" t="s">
        <v>53</v>
      </c>
      <c r="O429" t="s">
        <v>201</v>
      </c>
      <c r="P429">
        <v>1.428680391118675E-2</v>
      </c>
      <c r="Q429" t="s">
        <v>38</v>
      </c>
      <c r="S429" t="s">
        <v>54</v>
      </c>
      <c r="T429" t="s">
        <v>201</v>
      </c>
      <c r="U429">
        <v>1.8592651850263139E-2</v>
      </c>
      <c r="V429" t="s">
        <v>38</v>
      </c>
    </row>
    <row r="430" spans="9:22" x14ac:dyDescent="0.25">
      <c r="I430" t="s">
        <v>52</v>
      </c>
      <c r="J430" t="s">
        <v>202</v>
      </c>
      <c r="K430">
        <v>1.1988023369627203E-2</v>
      </c>
      <c r="L430" t="s">
        <v>38</v>
      </c>
      <c r="N430" t="s">
        <v>53</v>
      </c>
      <c r="O430" t="s">
        <v>202</v>
      </c>
      <c r="P430">
        <v>1.4916988267435676E-3</v>
      </c>
      <c r="Q430" t="s">
        <v>38</v>
      </c>
      <c r="S430" t="s">
        <v>54</v>
      </c>
      <c r="T430" t="s">
        <v>202</v>
      </c>
      <c r="U430">
        <v>2.4824939246868198E-3</v>
      </c>
      <c r="V430" t="s">
        <v>38</v>
      </c>
    </row>
    <row r="431" spans="9:22" x14ac:dyDescent="0.25">
      <c r="I431" t="s">
        <v>52</v>
      </c>
      <c r="J431" t="s">
        <v>203</v>
      </c>
      <c r="K431">
        <v>2.8738673830065217E-2</v>
      </c>
      <c r="L431" t="s">
        <v>38</v>
      </c>
      <c r="N431" t="s">
        <v>53</v>
      </c>
      <c r="O431" t="s">
        <v>203</v>
      </c>
      <c r="P431">
        <v>4.5219155523310434E-3</v>
      </c>
      <c r="Q431" t="s">
        <v>38</v>
      </c>
      <c r="S431" t="s">
        <v>54</v>
      </c>
      <c r="T431" t="s">
        <v>203</v>
      </c>
      <c r="U431">
        <v>7.5830688554462122E-3</v>
      </c>
      <c r="V431" t="s">
        <v>38</v>
      </c>
    </row>
    <row r="432" spans="9:22" x14ac:dyDescent="0.25">
      <c r="I432" t="s">
        <v>52</v>
      </c>
      <c r="J432" t="s">
        <v>204</v>
      </c>
      <c r="K432">
        <v>5.1733369316246426E-3</v>
      </c>
      <c r="L432" t="s">
        <v>38</v>
      </c>
      <c r="N432" t="s">
        <v>53</v>
      </c>
      <c r="O432" t="s">
        <v>204</v>
      </c>
      <c r="P432">
        <v>1.6173009313400779E-3</v>
      </c>
      <c r="Q432" t="s">
        <v>38</v>
      </c>
      <c r="S432" t="s">
        <v>54</v>
      </c>
      <c r="T432" t="s">
        <v>204</v>
      </c>
      <c r="U432">
        <v>2.4919795009336579E-3</v>
      </c>
      <c r="V432" t="s">
        <v>38</v>
      </c>
    </row>
    <row r="433" spans="9:22" x14ac:dyDescent="0.25">
      <c r="I433" t="s">
        <v>52</v>
      </c>
      <c r="J433" t="s">
        <v>205</v>
      </c>
      <c r="K433">
        <v>2.3174753475784455E-3</v>
      </c>
      <c r="L433" t="s">
        <v>38</v>
      </c>
      <c r="N433" t="s">
        <v>53</v>
      </c>
      <c r="O433" t="s">
        <v>205</v>
      </c>
      <c r="P433">
        <v>1.7320011663516952E-3</v>
      </c>
      <c r="Q433" t="s">
        <v>38</v>
      </c>
      <c r="S433" t="s">
        <v>54</v>
      </c>
      <c r="T433" t="s">
        <v>205</v>
      </c>
      <c r="U433">
        <v>2.3949316735597569E-3</v>
      </c>
      <c r="V433" t="s">
        <v>38</v>
      </c>
    </row>
    <row r="434" spans="9:22" x14ac:dyDescent="0.25">
      <c r="I434" t="s">
        <v>52</v>
      </c>
      <c r="J434" t="s">
        <v>206</v>
      </c>
      <c r="K434">
        <v>0</v>
      </c>
      <c r="L434" t="s">
        <v>38</v>
      </c>
      <c r="N434" t="s">
        <v>53</v>
      </c>
      <c r="O434" t="s">
        <v>206</v>
      </c>
      <c r="P434">
        <v>5.9821422958593242E-3</v>
      </c>
      <c r="Q434" t="s">
        <v>38</v>
      </c>
      <c r="S434" t="s">
        <v>54</v>
      </c>
      <c r="T434" t="s">
        <v>206</v>
      </c>
      <c r="U434">
        <v>6.8708736424861316E-3</v>
      </c>
      <c r="V434" t="s">
        <v>38</v>
      </c>
    </row>
    <row r="435" spans="9:22" x14ac:dyDescent="0.25">
      <c r="I435" t="s">
        <v>52</v>
      </c>
      <c r="J435" t="s">
        <v>207</v>
      </c>
      <c r="K435">
        <v>1.623910938262516E-3</v>
      </c>
      <c r="L435" t="s">
        <v>38</v>
      </c>
      <c r="N435" t="s">
        <v>53</v>
      </c>
      <c r="O435" t="s">
        <v>207</v>
      </c>
      <c r="P435">
        <v>1.4749558103810172E-2</v>
      </c>
      <c r="Q435" t="s">
        <v>38</v>
      </c>
      <c r="S435" t="s">
        <v>54</v>
      </c>
      <c r="T435" t="s">
        <v>207</v>
      </c>
      <c r="U435">
        <v>1.2113047076914166E-2</v>
      </c>
      <c r="V435" t="s">
        <v>38</v>
      </c>
    </row>
    <row r="436" spans="9:22" x14ac:dyDescent="0.25">
      <c r="I436" t="s">
        <v>52</v>
      </c>
      <c r="J436" t="s">
        <v>208</v>
      </c>
      <c r="K436">
        <v>4.0286879907783331E-3</v>
      </c>
      <c r="L436" t="s">
        <v>38</v>
      </c>
      <c r="N436" t="s">
        <v>53</v>
      </c>
      <c r="O436" t="s">
        <v>208</v>
      </c>
      <c r="P436">
        <v>2.5598169107776273E-3</v>
      </c>
      <c r="Q436" t="s">
        <v>38</v>
      </c>
      <c r="S436" t="s">
        <v>54</v>
      </c>
      <c r="T436" t="s">
        <v>208</v>
      </c>
      <c r="U436">
        <v>2.2286144821896544E-3</v>
      </c>
      <c r="V436" t="s">
        <v>38</v>
      </c>
    </row>
    <row r="437" spans="9:22" x14ac:dyDescent="0.25">
      <c r="I437" t="s">
        <v>52</v>
      </c>
      <c r="J437" t="s">
        <v>209</v>
      </c>
      <c r="K437">
        <v>9.5306731700268793E-2</v>
      </c>
      <c r="L437" t="s">
        <v>38</v>
      </c>
      <c r="N437" t="s">
        <v>53</v>
      </c>
      <c r="O437" t="s">
        <v>209</v>
      </c>
      <c r="P437">
        <v>1.8802050510198776E-2</v>
      </c>
      <c r="Q437" t="s">
        <v>38</v>
      </c>
      <c r="S437" t="s">
        <v>54</v>
      </c>
      <c r="T437" t="s">
        <v>209</v>
      </c>
      <c r="U437">
        <v>2.118373130281391E-2</v>
      </c>
      <c r="V437" t="s">
        <v>38</v>
      </c>
    </row>
    <row r="438" spans="9:22" x14ac:dyDescent="0.25">
      <c r="I438" t="s">
        <v>52</v>
      </c>
      <c r="J438" t="s">
        <v>210</v>
      </c>
      <c r="K438">
        <v>1.2030943678710309E-2</v>
      </c>
      <c r="L438" t="s">
        <v>38</v>
      </c>
      <c r="N438" t="s">
        <v>53</v>
      </c>
      <c r="O438" t="s">
        <v>210</v>
      </c>
      <c r="P438">
        <v>2.0565843674807622E-3</v>
      </c>
      <c r="Q438" t="s">
        <v>38</v>
      </c>
      <c r="S438" t="s">
        <v>54</v>
      </c>
      <c r="T438" t="s">
        <v>210</v>
      </c>
      <c r="U438">
        <v>3.1594694926782062E-3</v>
      </c>
      <c r="V438" t="s">
        <v>38</v>
      </c>
    </row>
    <row r="439" spans="9:22" x14ac:dyDescent="0.25">
      <c r="I439" t="s">
        <v>52</v>
      </c>
      <c r="J439" t="s">
        <v>211</v>
      </c>
      <c r="K439">
        <v>2.7567434372630113E-2</v>
      </c>
      <c r="L439" t="s">
        <v>38</v>
      </c>
      <c r="N439" t="s">
        <v>53</v>
      </c>
      <c r="O439" t="s">
        <v>211</v>
      </c>
      <c r="P439">
        <v>6.3030325907758276E-3</v>
      </c>
      <c r="Q439" t="s">
        <v>38</v>
      </c>
      <c r="S439" t="s">
        <v>54</v>
      </c>
      <c r="T439" t="s">
        <v>211</v>
      </c>
      <c r="U439">
        <v>9.6469729123895235E-3</v>
      </c>
      <c r="V439" t="s">
        <v>38</v>
      </c>
    </row>
    <row r="440" spans="9:22" x14ac:dyDescent="0.25">
      <c r="I440" t="s">
        <v>52</v>
      </c>
      <c r="J440" t="s">
        <v>212</v>
      </c>
      <c r="K440">
        <v>4.7297787623322178E-3</v>
      </c>
      <c r="L440" t="s">
        <v>38</v>
      </c>
      <c r="N440" t="s">
        <v>53</v>
      </c>
      <c r="O440" t="s">
        <v>212</v>
      </c>
      <c r="P440">
        <v>2.2228165198646993E-3</v>
      </c>
      <c r="Q440" t="s">
        <v>38</v>
      </c>
      <c r="S440" t="s">
        <v>54</v>
      </c>
      <c r="T440" t="s">
        <v>212</v>
      </c>
      <c r="U440">
        <v>3.1270853202569836E-3</v>
      </c>
      <c r="V440" t="s">
        <v>38</v>
      </c>
    </row>
    <row r="441" spans="9:22" x14ac:dyDescent="0.25">
      <c r="I441" t="s">
        <v>52</v>
      </c>
      <c r="J441" t="s">
        <v>213</v>
      </c>
      <c r="K441">
        <v>1.9463440368755773E-3</v>
      </c>
      <c r="L441" t="s">
        <v>38</v>
      </c>
      <c r="N441" t="s">
        <v>53</v>
      </c>
      <c r="O441" t="s">
        <v>213</v>
      </c>
      <c r="P441">
        <v>2.4722454367917795E-3</v>
      </c>
      <c r="Q441" t="s">
        <v>38</v>
      </c>
      <c r="S441" t="s">
        <v>54</v>
      </c>
      <c r="T441" t="s">
        <v>213</v>
      </c>
      <c r="U441">
        <v>3.1349217439433559E-3</v>
      </c>
      <c r="V441" t="s">
        <v>38</v>
      </c>
    </row>
    <row r="442" spans="9:22" x14ac:dyDescent="0.25">
      <c r="I442" t="s">
        <v>52</v>
      </c>
      <c r="J442" t="s">
        <v>214</v>
      </c>
      <c r="K442">
        <v>0</v>
      </c>
      <c r="L442" t="s">
        <v>38</v>
      </c>
      <c r="N442" t="s">
        <v>53</v>
      </c>
      <c r="O442" t="s">
        <v>214</v>
      </c>
      <c r="P442">
        <v>8.397891816831109E-3</v>
      </c>
      <c r="Q442" t="s">
        <v>38</v>
      </c>
      <c r="S442" t="s">
        <v>54</v>
      </c>
      <c r="T442" t="s">
        <v>214</v>
      </c>
      <c r="U442">
        <v>8.9108270661037089E-3</v>
      </c>
      <c r="V442" t="s">
        <v>38</v>
      </c>
    </row>
    <row r="443" spans="9:22" x14ac:dyDescent="0.25">
      <c r="I443" t="s">
        <v>52</v>
      </c>
      <c r="J443" t="s">
        <v>215</v>
      </c>
      <c r="K443">
        <v>0</v>
      </c>
      <c r="L443" t="s">
        <v>38</v>
      </c>
      <c r="N443" t="s">
        <v>53</v>
      </c>
      <c r="O443" t="s">
        <v>215</v>
      </c>
      <c r="P443">
        <v>1.2788011212038819E-2</v>
      </c>
      <c r="Q443" t="s">
        <v>38</v>
      </c>
      <c r="S443" t="s">
        <v>54</v>
      </c>
      <c r="T443" t="s">
        <v>215</v>
      </c>
      <c r="U443">
        <v>1.0053833323463164E-2</v>
      </c>
      <c r="V443" t="s">
        <v>38</v>
      </c>
    </row>
    <row r="444" spans="9:22" x14ac:dyDescent="0.25">
      <c r="I444" t="s">
        <v>52</v>
      </c>
      <c r="J444" t="s">
        <v>216</v>
      </c>
      <c r="K444">
        <v>2.2233054207856295E-3</v>
      </c>
      <c r="L444" t="s">
        <v>38</v>
      </c>
      <c r="N444" t="s">
        <v>53</v>
      </c>
      <c r="O444" t="s">
        <v>216</v>
      </c>
      <c r="P444">
        <v>2.642074951098273E-3</v>
      </c>
      <c r="Q444" t="s">
        <v>38</v>
      </c>
      <c r="S444" t="s">
        <v>54</v>
      </c>
      <c r="T444" t="s">
        <v>216</v>
      </c>
      <c r="U444">
        <v>2.0068654252437608E-3</v>
      </c>
      <c r="V444" t="s">
        <v>38</v>
      </c>
    </row>
    <row r="445" spans="9:22" x14ac:dyDescent="0.25">
      <c r="I445" t="s">
        <v>52</v>
      </c>
      <c r="J445" t="s">
        <v>217</v>
      </c>
      <c r="K445">
        <v>8.986148792824708E-2</v>
      </c>
      <c r="L445" t="s">
        <v>38</v>
      </c>
      <c r="N445" t="s">
        <v>53</v>
      </c>
      <c r="O445" t="s">
        <v>217</v>
      </c>
      <c r="P445">
        <v>2.0497851490749171E-2</v>
      </c>
      <c r="Q445" t="s">
        <v>38</v>
      </c>
      <c r="S445" t="s">
        <v>54</v>
      </c>
      <c r="T445" t="s">
        <v>217</v>
      </c>
      <c r="U445">
        <v>1.8016583754079996E-2</v>
      </c>
      <c r="V445" t="s">
        <v>38</v>
      </c>
    </row>
    <row r="446" spans="9:22" x14ac:dyDescent="0.25">
      <c r="I446" t="s">
        <v>52</v>
      </c>
      <c r="J446" t="s">
        <v>218</v>
      </c>
      <c r="K446">
        <v>1.1043802950385226E-2</v>
      </c>
      <c r="L446" t="s">
        <v>38</v>
      </c>
      <c r="N446" t="s">
        <v>53</v>
      </c>
      <c r="O446" t="s">
        <v>218</v>
      </c>
      <c r="P446">
        <v>1.9610466239557687E-3</v>
      </c>
      <c r="Q446" t="s">
        <v>38</v>
      </c>
      <c r="S446" t="s">
        <v>54</v>
      </c>
      <c r="T446" t="s">
        <v>218</v>
      </c>
      <c r="U446">
        <v>1.974748774720576E-3</v>
      </c>
      <c r="V446" t="s">
        <v>38</v>
      </c>
    </row>
    <row r="447" spans="9:22" x14ac:dyDescent="0.25">
      <c r="I447" t="s">
        <v>52</v>
      </c>
      <c r="J447" t="s">
        <v>219</v>
      </c>
      <c r="K447">
        <v>2.4069687440389943E-2</v>
      </c>
      <c r="L447" t="s">
        <v>38</v>
      </c>
      <c r="N447" t="s">
        <v>53</v>
      </c>
      <c r="O447" t="s">
        <v>219</v>
      </c>
      <c r="P447">
        <v>5.3831961594642324E-3</v>
      </c>
      <c r="Q447" t="s">
        <v>38</v>
      </c>
      <c r="S447" t="s">
        <v>54</v>
      </c>
      <c r="T447" t="s">
        <v>219</v>
      </c>
      <c r="U447">
        <v>6.0339931001698694E-3</v>
      </c>
      <c r="V447" t="s">
        <v>38</v>
      </c>
    </row>
    <row r="448" spans="9:22" x14ac:dyDescent="0.25">
      <c r="I448" t="s">
        <v>52</v>
      </c>
      <c r="J448" t="s">
        <v>220</v>
      </c>
      <c r="K448">
        <v>2.5640960205064929E-3</v>
      </c>
      <c r="L448" t="s">
        <v>38</v>
      </c>
      <c r="N448" t="s">
        <v>53</v>
      </c>
      <c r="O448" t="s">
        <v>220</v>
      </c>
      <c r="P448">
        <v>1.8881173516749116E-3</v>
      </c>
      <c r="Q448" t="s">
        <v>38</v>
      </c>
      <c r="S448" t="s">
        <v>54</v>
      </c>
      <c r="T448" t="s">
        <v>220</v>
      </c>
      <c r="U448">
        <v>1.9973760319872053E-3</v>
      </c>
      <c r="V448" t="s">
        <v>38</v>
      </c>
    </row>
    <row r="449" spans="9:22" x14ac:dyDescent="0.25">
      <c r="I449" t="s">
        <v>52</v>
      </c>
      <c r="J449" t="s">
        <v>221</v>
      </c>
      <c r="K449">
        <v>7.3292574471439374E-5</v>
      </c>
      <c r="L449" t="s">
        <v>38</v>
      </c>
      <c r="N449" t="s">
        <v>53</v>
      </c>
      <c r="O449" t="s">
        <v>221</v>
      </c>
      <c r="P449">
        <v>2.1440952839586998E-3</v>
      </c>
      <c r="Q449" t="s">
        <v>38</v>
      </c>
      <c r="S449" t="s">
        <v>54</v>
      </c>
      <c r="T449" t="s">
        <v>221</v>
      </c>
      <c r="U449">
        <v>1.9992736328115065E-3</v>
      </c>
      <c r="V449" t="s">
        <v>38</v>
      </c>
    </row>
    <row r="450" spans="9:22" x14ac:dyDescent="0.25">
      <c r="I450" t="s">
        <v>52</v>
      </c>
      <c r="J450" t="s">
        <v>222</v>
      </c>
      <c r="K450">
        <v>0</v>
      </c>
      <c r="L450" t="s">
        <v>38</v>
      </c>
      <c r="N450" t="s">
        <v>53</v>
      </c>
      <c r="O450" t="s">
        <v>222</v>
      </c>
      <c r="P450">
        <v>7.5541155476826789E-3</v>
      </c>
      <c r="Q450" t="s">
        <v>38</v>
      </c>
      <c r="S450" t="s">
        <v>54</v>
      </c>
      <c r="T450" t="s">
        <v>222</v>
      </c>
      <c r="U450">
        <v>6.1609624690861751E-3</v>
      </c>
      <c r="V450" t="s">
        <v>38</v>
      </c>
    </row>
    <row r="451" spans="9:22" x14ac:dyDescent="0.25">
      <c r="I451" t="s">
        <v>52</v>
      </c>
      <c r="J451" t="s">
        <v>223</v>
      </c>
      <c r="K451">
        <v>0</v>
      </c>
      <c r="L451" t="s">
        <v>38</v>
      </c>
      <c r="N451" t="s">
        <v>53</v>
      </c>
      <c r="O451" t="s">
        <v>223</v>
      </c>
      <c r="P451">
        <v>1.3893097946275671E-2</v>
      </c>
      <c r="Q451" t="s">
        <v>38</v>
      </c>
      <c r="S451" t="s">
        <v>54</v>
      </c>
      <c r="T451" t="s">
        <v>223</v>
      </c>
      <c r="U451">
        <v>1.327137333717855E-2</v>
      </c>
      <c r="V451" t="s">
        <v>38</v>
      </c>
    </row>
    <row r="452" spans="9:22" x14ac:dyDescent="0.25">
      <c r="I452" t="s">
        <v>52</v>
      </c>
      <c r="J452" t="s">
        <v>224</v>
      </c>
      <c r="K452">
        <v>0</v>
      </c>
      <c r="L452" t="s">
        <v>38</v>
      </c>
      <c r="N452" t="s">
        <v>53</v>
      </c>
      <c r="O452" t="s">
        <v>224</v>
      </c>
      <c r="P452">
        <v>2.6058987321667341E-3</v>
      </c>
      <c r="Q452" t="s">
        <v>38</v>
      </c>
      <c r="S452" t="s">
        <v>54</v>
      </c>
      <c r="T452" t="s">
        <v>224</v>
      </c>
      <c r="U452">
        <v>2.7517144297217119E-3</v>
      </c>
      <c r="V452" t="s">
        <v>38</v>
      </c>
    </row>
    <row r="453" spans="9:22" x14ac:dyDescent="0.25">
      <c r="I453" t="s">
        <v>52</v>
      </c>
      <c r="J453" t="s">
        <v>225</v>
      </c>
      <c r="K453">
        <v>6.2076704244614117E-2</v>
      </c>
      <c r="L453" t="s">
        <v>38</v>
      </c>
      <c r="N453" t="s">
        <v>53</v>
      </c>
      <c r="O453" t="s">
        <v>225</v>
      </c>
      <c r="P453">
        <v>2.0034633632288315E-2</v>
      </c>
      <c r="Q453" t="s">
        <v>38</v>
      </c>
      <c r="S453" t="s">
        <v>54</v>
      </c>
      <c r="T453" t="s">
        <v>225</v>
      </c>
      <c r="U453">
        <v>2.2679742075423236E-2</v>
      </c>
      <c r="V453" t="s">
        <v>38</v>
      </c>
    </row>
    <row r="454" spans="9:22" x14ac:dyDescent="0.25">
      <c r="I454" t="s">
        <v>52</v>
      </c>
      <c r="J454" t="s">
        <v>226</v>
      </c>
      <c r="K454">
        <v>8.366928712934641E-3</v>
      </c>
      <c r="L454" t="s">
        <v>38</v>
      </c>
      <c r="N454" t="s">
        <v>53</v>
      </c>
      <c r="O454" t="s">
        <v>226</v>
      </c>
      <c r="P454">
        <v>2.1368057188500341E-3</v>
      </c>
      <c r="Q454" t="s">
        <v>38</v>
      </c>
      <c r="S454" t="s">
        <v>54</v>
      </c>
      <c r="T454" t="s">
        <v>226</v>
      </c>
      <c r="U454">
        <v>2.3731348481579161E-3</v>
      </c>
      <c r="V454" t="s">
        <v>38</v>
      </c>
    </row>
    <row r="455" spans="9:22" x14ac:dyDescent="0.25">
      <c r="I455" t="s">
        <v>52</v>
      </c>
      <c r="J455" t="s">
        <v>227</v>
      </c>
      <c r="K455">
        <v>1.3059008908722542E-2</v>
      </c>
      <c r="L455" t="s">
        <v>38</v>
      </c>
      <c r="N455" t="s">
        <v>53</v>
      </c>
      <c r="O455" t="s">
        <v>227</v>
      </c>
      <c r="P455">
        <v>7.1151517138585566E-3</v>
      </c>
      <c r="Q455" t="s">
        <v>38</v>
      </c>
      <c r="S455" t="s">
        <v>54</v>
      </c>
      <c r="T455" t="s">
        <v>227</v>
      </c>
      <c r="U455">
        <v>8.8030364971917498E-3</v>
      </c>
      <c r="V455" t="s">
        <v>38</v>
      </c>
    </row>
    <row r="456" spans="9:22" x14ac:dyDescent="0.25">
      <c r="I456" t="s">
        <v>52</v>
      </c>
      <c r="J456" t="s">
        <v>228</v>
      </c>
      <c r="K456">
        <v>0</v>
      </c>
      <c r="L456" t="s">
        <v>38</v>
      </c>
      <c r="N456" t="s">
        <v>53</v>
      </c>
      <c r="O456" t="s">
        <v>228</v>
      </c>
      <c r="P456">
        <v>2.680179150230254E-3</v>
      </c>
      <c r="Q456" t="s">
        <v>38</v>
      </c>
      <c r="S456" t="s">
        <v>54</v>
      </c>
      <c r="T456" t="s">
        <v>228</v>
      </c>
      <c r="U456">
        <v>3.1851364654638947E-3</v>
      </c>
      <c r="V456" t="s">
        <v>38</v>
      </c>
    </row>
    <row r="457" spans="9:22" x14ac:dyDescent="0.25">
      <c r="I457" t="s">
        <v>52</v>
      </c>
      <c r="J457" t="s">
        <v>229</v>
      </c>
      <c r="K457">
        <v>0</v>
      </c>
      <c r="L457" t="s">
        <v>38</v>
      </c>
      <c r="N457" t="s">
        <v>53</v>
      </c>
      <c r="O457" t="s">
        <v>229</v>
      </c>
      <c r="P457">
        <v>2.816839564859174E-3</v>
      </c>
      <c r="Q457" t="s">
        <v>38</v>
      </c>
      <c r="S457" t="s">
        <v>54</v>
      </c>
      <c r="T457" t="s">
        <v>229</v>
      </c>
      <c r="U457">
        <v>3.1704919325578535E-3</v>
      </c>
      <c r="V457" t="s">
        <v>38</v>
      </c>
    </row>
    <row r="458" spans="9:22" x14ac:dyDescent="0.25">
      <c r="I458" t="s">
        <v>52</v>
      </c>
      <c r="J458" t="s">
        <v>230</v>
      </c>
      <c r="K458">
        <v>0</v>
      </c>
      <c r="L458" t="s">
        <v>38</v>
      </c>
      <c r="N458" t="s">
        <v>53</v>
      </c>
      <c r="O458" t="s">
        <v>230</v>
      </c>
      <c r="P458">
        <v>8.734658926931517E-3</v>
      </c>
      <c r="Q458" t="s">
        <v>38</v>
      </c>
      <c r="S458" t="s">
        <v>54</v>
      </c>
      <c r="T458" t="s">
        <v>230</v>
      </c>
      <c r="U458">
        <v>9.0524569357730376E-3</v>
      </c>
      <c r="V458" t="s">
        <v>38</v>
      </c>
    </row>
    <row r="459" spans="9:22" x14ac:dyDescent="0.25">
      <c r="I459" t="s">
        <v>52</v>
      </c>
      <c r="J459" t="s">
        <v>231</v>
      </c>
      <c r="K459">
        <v>0</v>
      </c>
      <c r="L459" t="s">
        <v>38</v>
      </c>
      <c r="N459" t="s">
        <v>53</v>
      </c>
      <c r="O459" t="s">
        <v>231</v>
      </c>
      <c r="P459">
        <v>2.3348711331835543E-2</v>
      </c>
      <c r="Q459" t="s">
        <v>38</v>
      </c>
      <c r="S459" t="s">
        <v>54</v>
      </c>
      <c r="T459" t="s">
        <v>231</v>
      </c>
      <c r="U459">
        <v>2.1759227084394213E-2</v>
      </c>
      <c r="V459" t="s">
        <v>38</v>
      </c>
    </row>
    <row r="460" spans="9:22" x14ac:dyDescent="0.25">
      <c r="I460" t="s">
        <v>52</v>
      </c>
      <c r="J460" t="s">
        <v>232</v>
      </c>
      <c r="K460">
        <v>0</v>
      </c>
      <c r="L460" t="s">
        <v>38</v>
      </c>
      <c r="N460" t="s">
        <v>53</v>
      </c>
      <c r="O460" t="s">
        <v>232</v>
      </c>
      <c r="P460">
        <v>4.6132896023673674E-3</v>
      </c>
      <c r="Q460" t="s">
        <v>38</v>
      </c>
      <c r="S460" t="s">
        <v>54</v>
      </c>
      <c r="T460" t="s">
        <v>232</v>
      </c>
      <c r="U460">
        <v>4.301177295419358E-3</v>
      </c>
      <c r="V460" t="s">
        <v>38</v>
      </c>
    </row>
    <row r="461" spans="9:22" x14ac:dyDescent="0.25">
      <c r="I461" t="s">
        <v>52</v>
      </c>
      <c r="J461" t="s">
        <v>233</v>
      </c>
      <c r="K461">
        <v>3.2536331059882621E-2</v>
      </c>
      <c r="L461" t="s">
        <v>38</v>
      </c>
      <c r="N461" t="s">
        <v>53</v>
      </c>
      <c r="O461" t="s">
        <v>233</v>
      </c>
      <c r="P461">
        <v>4.1405238358978136E-2</v>
      </c>
      <c r="Q461" t="s">
        <v>38</v>
      </c>
      <c r="S461" t="s">
        <v>54</v>
      </c>
      <c r="T461" t="s">
        <v>233</v>
      </c>
      <c r="U461">
        <v>3.8481901378343529E-2</v>
      </c>
      <c r="V461" t="s">
        <v>38</v>
      </c>
    </row>
    <row r="462" spans="9:22" x14ac:dyDescent="0.25">
      <c r="I462" t="s">
        <v>52</v>
      </c>
      <c r="J462" t="s">
        <v>234</v>
      </c>
      <c r="K462">
        <v>4.0213632892369556E-3</v>
      </c>
      <c r="L462" t="s">
        <v>38</v>
      </c>
      <c r="N462" t="s">
        <v>53</v>
      </c>
      <c r="O462" t="s">
        <v>234</v>
      </c>
      <c r="P462">
        <v>4.1486014700068087E-3</v>
      </c>
      <c r="Q462" t="s">
        <v>38</v>
      </c>
      <c r="S462" t="s">
        <v>54</v>
      </c>
      <c r="T462" t="s">
        <v>234</v>
      </c>
      <c r="U462">
        <v>4.29774547250379E-3</v>
      </c>
      <c r="V462" t="s">
        <v>38</v>
      </c>
    </row>
    <row r="463" spans="9:22" x14ac:dyDescent="0.25">
      <c r="I463" t="s">
        <v>52</v>
      </c>
      <c r="J463" t="s">
        <v>235</v>
      </c>
      <c r="K463">
        <v>2.4831220448341918E-3</v>
      </c>
      <c r="L463" t="s">
        <v>38</v>
      </c>
      <c r="N463" t="s">
        <v>53</v>
      </c>
      <c r="O463" t="s">
        <v>235</v>
      </c>
      <c r="P463">
        <v>1.3502155842657279E-2</v>
      </c>
      <c r="Q463" t="s">
        <v>38</v>
      </c>
      <c r="S463" t="s">
        <v>54</v>
      </c>
      <c r="T463" t="s">
        <v>235</v>
      </c>
      <c r="U463">
        <v>1.3331395474196542E-2</v>
      </c>
      <c r="V463" t="s">
        <v>38</v>
      </c>
    </row>
    <row r="464" spans="9:22" x14ac:dyDescent="0.25">
      <c r="I464" t="s">
        <v>52</v>
      </c>
      <c r="J464" t="s">
        <v>236</v>
      </c>
      <c r="K464">
        <v>0</v>
      </c>
      <c r="L464" t="s">
        <v>38</v>
      </c>
      <c r="N464" t="s">
        <v>53</v>
      </c>
      <c r="O464" t="s">
        <v>236</v>
      </c>
      <c r="P464">
        <v>5.0670666370458946E-3</v>
      </c>
      <c r="Q464" t="s">
        <v>38</v>
      </c>
      <c r="S464" t="s">
        <v>54</v>
      </c>
      <c r="T464" t="s">
        <v>236</v>
      </c>
      <c r="U464">
        <v>4.4169948630381293E-3</v>
      </c>
      <c r="V464" t="s">
        <v>38</v>
      </c>
    </row>
    <row r="465" spans="9:22" x14ac:dyDescent="0.25">
      <c r="I465" t="s">
        <v>52</v>
      </c>
      <c r="J465" t="s">
        <v>237</v>
      </c>
      <c r="K465">
        <v>0</v>
      </c>
      <c r="L465" t="s">
        <v>38</v>
      </c>
      <c r="N465" t="s">
        <v>53</v>
      </c>
      <c r="O465" t="s">
        <v>237</v>
      </c>
      <c r="P465">
        <v>5.1370871669034037E-3</v>
      </c>
      <c r="Q465" t="s">
        <v>38</v>
      </c>
      <c r="S465" t="s">
        <v>54</v>
      </c>
      <c r="T465" t="s">
        <v>237</v>
      </c>
      <c r="U465">
        <v>4.40554789567191E-3</v>
      </c>
      <c r="V465" t="s">
        <v>38</v>
      </c>
    </row>
    <row r="466" spans="9:22" x14ac:dyDescent="0.25">
      <c r="I466" t="s">
        <v>52</v>
      </c>
      <c r="J466" t="s">
        <v>238</v>
      </c>
      <c r="K466">
        <v>0</v>
      </c>
      <c r="L466" t="s">
        <v>38</v>
      </c>
      <c r="N466" t="s">
        <v>53</v>
      </c>
      <c r="O466" t="s">
        <v>238</v>
      </c>
      <c r="P466">
        <v>1.4930069937483709E-2</v>
      </c>
      <c r="Q466" t="s">
        <v>38</v>
      </c>
      <c r="S466" t="s">
        <v>54</v>
      </c>
      <c r="T466" t="s">
        <v>238</v>
      </c>
      <c r="U466">
        <v>1.3532865955891068E-2</v>
      </c>
      <c r="V466" t="s">
        <v>38</v>
      </c>
    </row>
    <row r="467" spans="9:22" x14ac:dyDescent="0.25">
      <c r="I467" t="s">
        <v>52</v>
      </c>
      <c r="J467" t="s">
        <v>239</v>
      </c>
      <c r="K467">
        <v>0</v>
      </c>
      <c r="L467" t="s">
        <v>38</v>
      </c>
      <c r="N467" t="s">
        <v>53</v>
      </c>
      <c r="O467" t="s">
        <v>239</v>
      </c>
      <c r="P467">
        <v>2.7167635842653196E-2</v>
      </c>
      <c r="Q467" t="s">
        <v>38</v>
      </c>
      <c r="S467" t="s">
        <v>54</v>
      </c>
      <c r="T467" t="s">
        <v>239</v>
      </c>
      <c r="U467">
        <v>2.4271920747441261E-2</v>
      </c>
      <c r="V467" t="s">
        <v>38</v>
      </c>
    </row>
    <row r="468" spans="9:22" x14ac:dyDescent="0.25">
      <c r="I468" t="s">
        <v>52</v>
      </c>
      <c r="J468" t="s">
        <v>240</v>
      </c>
      <c r="K468">
        <v>0</v>
      </c>
      <c r="L468" t="s">
        <v>38</v>
      </c>
      <c r="N468" t="s">
        <v>53</v>
      </c>
      <c r="O468" t="s">
        <v>240</v>
      </c>
      <c r="P468">
        <v>5.2800107912472629E-3</v>
      </c>
      <c r="Q468" t="s">
        <v>38</v>
      </c>
      <c r="S468" t="s">
        <v>54</v>
      </c>
      <c r="T468" t="s">
        <v>240</v>
      </c>
      <c r="U468">
        <v>4.5041032329181628E-3</v>
      </c>
      <c r="V468" t="s">
        <v>38</v>
      </c>
    </row>
    <row r="469" spans="9:22" x14ac:dyDescent="0.25">
      <c r="I469" t="s">
        <v>52</v>
      </c>
      <c r="J469" t="s">
        <v>241</v>
      </c>
      <c r="K469">
        <v>1.7564873127276361E-2</v>
      </c>
      <c r="L469" t="s">
        <v>38</v>
      </c>
      <c r="N469" t="s">
        <v>53</v>
      </c>
      <c r="O469" t="s">
        <v>241</v>
      </c>
      <c r="P469">
        <v>4.4459912912040669E-2</v>
      </c>
      <c r="Q469" t="s">
        <v>38</v>
      </c>
      <c r="S469" t="s">
        <v>54</v>
      </c>
      <c r="T469" t="s">
        <v>241</v>
      </c>
      <c r="U469">
        <v>4.0633677970423346E-2</v>
      </c>
      <c r="V469" t="s">
        <v>38</v>
      </c>
    </row>
    <row r="470" spans="9:22" x14ac:dyDescent="0.25">
      <c r="I470" t="s">
        <v>52</v>
      </c>
      <c r="J470" t="s">
        <v>242</v>
      </c>
      <c r="K470">
        <v>1.5971517348861376E-3</v>
      </c>
      <c r="L470" t="s">
        <v>38</v>
      </c>
      <c r="N470" t="s">
        <v>53</v>
      </c>
      <c r="O470" t="s">
        <v>242</v>
      </c>
      <c r="P470">
        <v>4.6733878264132436E-3</v>
      </c>
      <c r="Q470" t="s">
        <v>38</v>
      </c>
      <c r="S470" t="s">
        <v>54</v>
      </c>
      <c r="T470" t="s">
        <v>242</v>
      </c>
      <c r="U470">
        <v>4.4974798176242326E-3</v>
      </c>
      <c r="V470" t="s">
        <v>38</v>
      </c>
    </row>
    <row r="471" spans="9:22" x14ac:dyDescent="0.25">
      <c r="I471" t="s">
        <v>52</v>
      </c>
      <c r="J471" t="s">
        <v>243</v>
      </c>
      <c r="K471">
        <v>0</v>
      </c>
      <c r="L471" t="s">
        <v>38</v>
      </c>
      <c r="N471" t="s">
        <v>53</v>
      </c>
      <c r="O471" t="s">
        <v>243</v>
      </c>
      <c r="P471">
        <v>1.4810351466227089E-2</v>
      </c>
      <c r="Q471" t="s">
        <v>38</v>
      </c>
      <c r="S471" t="s">
        <v>54</v>
      </c>
      <c r="T471" t="s">
        <v>243</v>
      </c>
      <c r="U471">
        <v>1.4540766354575943E-2</v>
      </c>
      <c r="V471" t="s">
        <v>38</v>
      </c>
    </row>
    <row r="472" spans="9:22" x14ac:dyDescent="0.25">
      <c r="I472" t="s">
        <v>52</v>
      </c>
      <c r="J472" t="s">
        <v>244</v>
      </c>
      <c r="K472">
        <v>0</v>
      </c>
      <c r="L472" t="s">
        <v>38</v>
      </c>
      <c r="N472" t="s">
        <v>53</v>
      </c>
      <c r="O472" t="s">
        <v>244</v>
      </c>
      <c r="P472">
        <v>5.119242632317801E-3</v>
      </c>
      <c r="Q472" t="s">
        <v>38</v>
      </c>
      <c r="S472" t="s">
        <v>54</v>
      </c>
      <c r="T472" t="s">
        <v>244</v>
      </c>
      <c r="U472">
        <v>5.145177358070077E-3</v>
      </c>
      <c r="V472" t="s">
        <v>38</v>
      </c>
    </row>
    <row r="473" spans="9:22" x14ac:dyDescent="0.25">
      <c r="I473" t="s">
        <v>52</v>
      </c>
      <c r="J473" t="s">
        <v>245</v>
      </c>
      <c r="K473">
        <v>0</v>
      </c>
      <c r="L473" t="s">
        <v>38</v>
      </c>
      <c r="N473" t="s">
        <v>53</v>
      </c>
      <c r="O473" t="s">
        <v>245</v>
      </c>
      <c r="P473">
        <v>5.234630594842294E-3</v>
      </c>
      <c r="Q473" t="s">
        <v>38</v>
      </c>
      <c r="S473" t="s">
        <v>54</v>
      </c>
      <c r="T473" t="s">
        <v>245</v>
      </c>
      <c r="U473">
        <v>5.1102320902997401E-3</v>
      </c>
      <c r="V473" t="s">
        <v>38</v>
      </c>
    </row>
    <row r="474" spans="9:22" x14ac:dyDescent="0.25">
      <c r="I474" t="s">
        <v>52</v>
      </c>
      <c r="J474" t="s">
        <v>246</v>
      </c>
      <c r="K474">
        <v>0</v>
      </c>
      <c r="L474" t="s">
        <v>38</v>
      </c>
      <c r="N474" t="s">
        <v>53</v>
      </c>
      <c r="O474" t="s">
        <v>246</v>
      </c>
      <c r="P474">
        <v>1.6318847808108435E-2</v>
      </c>
      <c r="Q474" t="s">
        <v>38</v>
      </c>
      <c r="S474" t="s">
        <v>54</v>
      </c>
      <c r="T474" t="s">
        <v>246</v>
      </c>
      <c r="U474">
        <v>1.4949612252060219E-2</v>
      </c>
      <c r="V474" t="s">
        <v>38</v>
      </c>
    </row>
    <row r="475" spans="9:22" x14ac:dyDescent="0.25">
      <c r="I475" t="s">
        <v>52</v>
      </c>
      <c r="J475" t="s">
        <v>247</v>
      </c>
      <c r="K475">
        <v>0</v>
      </c>
      <c r="L475" t="s">
        <v>38</v>
      </c>
      <c r="N475" t="s">
        <v>53</v>
      </c>
      <c r="O475" t="s">
        <v>247</v>
      </c>
      <c r="P475">
        <v>3.0778122502207256E-2</v>
      </c>
      <c r="Q475" t="s">
        <v>38</v>
      </c>
      <c r="S475" t="s">
        <v>54</v>
      </c>
      <c r="T475" t="s">
        <v>247</v>
      </c>
      <c r="U475">
        <v>2.8965347598582769E-2</v>
      </c>
      <c r="V475" t="s">
        <v>38</v>
      </c>
    </row>
    <row r="476" spans="9:22" x14ac:dyDescent="0.25">
      <c r="I476" t="s">
        <v>52</v>
      </c>
      <c r="J476" t="s">
        <v>248</v>
      </c>
      <c r="K476">
        <v>0</v>
      </c>
      <c r="L476" t="s">
        <v>38</v>
      </c>
      <c r="N476" t="s">
        <v>53</v>
      </c>
      <c r="O476" t="s">
        <v>248</v>
      </c>
      <c r="P476">
        <v>6.2603251079309981E-3</v>
      </c>
      <c r="Q476" t="s">
        <v>38</v>
      </c>
      <c r="S476" t="s">
        <v>54</v>
      </c>
      <c r="T476" t="s">
        <v>248</v>
      </c>
      <c r="U476">
        <v>5.818795872167451E-3</v>
      </c>
      <c r="V476" t="s">
        <v>38</v>
      </c>
    </row>
    <row r="477" spans="9:22" x14ac:dyDescent="0.25">
      <c r="I477" t="s">
        <v>52</v>
      </c>
      <c r="J477" t="s">
        <v>249</v>
      </c>
      <c r="K477">
        <v>7.4021188857703504E-3</v>
      </c>
      <c r="L477" t="s">
        <v>38</v>
      </c>
      <c r="N477" t="s">
        <v>53</v>
      </c>
      <c r="O477" t="s">
        <v>249</v>
      </c>
      <c r="P477">
        <v>5.6927356247461681E-2</v>
      </c>
      <c r="Q477" t="s">
        <v>38</v>
      </c>
      <c r="S477" t="s">
        <v>54</v>
      </c>
      <c r="T477" t="s">
        <v>249</v>
      </c>
      <c r="U477">
        <v>5.3958196310330775E-2</v>
      </c>
      <c r="V477" t="s">
        <v>38</v>
      </c>
    </row>
    <row r="478" spans="9:22" x14ac:dyDescent="0.25">
      <c r="I478" t="s">
        <v>52</v>
      </c>
      <c r="J478" t="s">
        <v>250</v>
      </c>
      <c r="K478">
        <v>3.0237155869418072E-5</v>
      </c>
      <c r="L478" t="s">
        <v>38</v>
      </c>
      <c r="N478" t="s">
        <v>53</v>
      </c>
      <c r="O478" t="s">
        <v>250</v>
      </c>
      <c r="P478">
        <v>6.112461431175953E-3</v>
      </c>
      <c r="Q478" t="s">
        <v>38</v>
      </c>
      <c r="S478" t="s">
        <v>54</v>
      </c>
      <c r="T478" t="s">
        <v>250</v>
      </c>
      <c r="U478">
        <v>5.8927992648364624E-3</v>
      </c>
      <c r="V478" t="s">
        <v>38</v>
      </c>
    </row>
    <row r="479" spans="9:22" x14ac:dyDescent="0.25">
      <c r="I479" t="s">
        <v>52</v>
      </c>
      <c r="J479" t="s">
        <v>251</v>
      </c>
      <c r="K479">
        <v>0</v>
      </c>
      <c r="L479" t="s">
        <v>38</v>
      </c>
      <c r="N479" t="s">
        <v>53</v>
      </c>
      <c r="O479" t="s">
        <v>251</v>
      </c>
      <c r="P479">
        <v>1.8549387816890424E-2</v>
      </c>
      <c r="Q479" t="s">
        <v>38</v>
      </c>
      <c r="S479" t="s">
        <v>54</v>
      </c>
      <c r="T479" t="s">
        <v>251</v>
      </c>
      <c r="U479">
        <v>1.8063271445608167E-2</v>
      </c>
      <c r="V479" t="s">
        <v>38</v>
      </c>
    </row>
    <row r="480" spans="9:22" x14ac:dyDescent="0.25">
      <c r="I480" t="s">
        <v>52</v>
      </c>
      <c r="J480" t="s">
        <v>252</v>
      </c>
      <c r="K480">
        <v>0</v>
      </c>
      <c r="L480" t="s">
        <v>38</v>
      </c>
      <c r="N480" t="s">
        <v>53</v>
      </c>
      <c r="O480" t="s">
        <v>252</v>
      </c>
      <c r="P480">
        <v>6.2115407281442842E-3</v>
      </c>
      <c r="Q480" t="s">
        <v>38</v>
      </c>
      <c r="S480" t="s">
        <v>54</v>
      </c>
      <c r="T480" t="s">
        <v>252</v>
      </c>
      <c r="U480">
        <v>6.0450613881723649E-3</v>
      </c>
      <c r="V480" t="s">
        <v>38</v>
      </c>
    </row>
    <row r="481" spans="9:22" x14ac:dyDescent="0.25">
      <c r="I481" t="s">
        <v>52</v>
      </c>
      <c r="J481" t="s">
        <v>253</v>
      </c>
      <c r="K481">
        <v>0</v>
      </c>
      <c r="L481" t="s">
        <v>38</v>
      </c>
      <c r="N481" t="s">
        <v>53</v>
      </c>
      <c r="O481" t="s">
        <v>253</v>
      </c>
      <c r="P481">
        <v>6.3085198364176776E-3</v>
      </c>
      <c r="Q481" t="s">
        <v>38</v>
      </c>
      <c r="S481" t="s">
        <v>54</v>
      </c>
      <c r="T481" t="s">
        <v>253</v>
      </c>
      <c r="U481">
        <v>6.0405037680456913E-3</v>
      </c>
      <c r="V481" t="s">
        <v>38</v>
      </c>
    </row>
    <row r="482" spans="9:22" x14ac:dyDescent="0.25">
      <c r="I482" t="s">
        <v>52</v>
      </c>
      <c r="J482" t="s">
        <v>254</v>
      </c>
      <c r="K482">
        <v>0</v>
      </c>
      <c r="L482" t="s">
        <v>38</v>
      </c>
      <c r="N482" t="s">
        <v>53</v>
      </c>
      <c r="O482" t="s">
        <v>254</v>
      </c>
      <c r="P482">
        <v>1.9124625499622083E-2</v>
      </c>
      <c r="Q482" t="s">
        <v>38</v>
      </c>
      <c r="S482" t="s">
        <v>54</v>
      </c>
      <c r="T482" t="s">
        <v>254</v>
      </c>
      <c r="U482">
        <v>1.7880136980294267E-2</v>
      </c>
      <c r="V482" t="s">
        <v>38</v>
      </c>
    </row>
    <row r="483" spans="9:22" x14ac:dyDescent="0.25">
      <c r="I483" t="s">
        <v>55</v>
      </c>
      <c r="J483" t="s">
        <v>159</v>
      </c>
      <c r="K483">
        <v>0</v>
      </c>
      <c r="L483" t="s">
        <v>38</v>
      </c>
      <c r="N483" t="s">
        <v>56</v>
      </c>
      <c r="O483" t="s">
        <v>159</v>
      </c>
      <c r="P483">
        <v>1.9728632336048553E-2</v>
      </c>
      <c r="Q483" t="s">
        <v>38</v>
      </c>
      <c r="S483" t="s">
        <v>57</v>
      </c>
      <c r="T483" t="s">
        <v>159</v>
      </c>
      <c r="U483">
        <v>1.8612372797265495E-2</v>
      </c>
      <c r="V483" t="s">
        <v>38</v>
      </c>
    </row>
    <row r="484" spans="9:22" x14ac:dyDescent="0.25">
      <c r="I484" t="s">
        <v>55</v>
      </c>
      <c r="J484" t="s">
        <v>160</v>
      </c>
      <c r="K484">
        <v>0</v>
      </c>
      <c r="L484" t="s">
        <v>38</v>
      </c>
      <c r="N484" t="s">
        <v>56</v>
      </c>
      <c r="O484" t="s">
        <v>160</v>
      </c>
      <c r="P484">
        <v>4.2563357679250655E-3</v>
      </c>
      <c r="Q484" t="s">
        <v>38</v>
      </c>
      <c r="S484" t="s">
        <v>57</v>
      </c>
      <c r="T484" t="s">
        <v>160</v>
      </c>
      <c r="U484">
        <v>3.9152088876036745E-3</v>
      </c>
      <c r="V484" t="s">
        <v>38</v>
      </c>
    </row>
    <row r="485" spans="9:22" x14ac:dyDescent="0.25">
      <c r="I485" t="s">
        <v>55</v>
      </c>
      <c r="J485" t="s">
        <v>161</v>
      </c>
      <c r="K485">
        <v>7.8774376599761112E-3</v>
      </c>
      <c r="L485" t="s">
        <v>38</v>
      </c>
      <c r="N485" t="s">
        <v>56</v>
      </c>
      <c r="O485" t="s">
        <v>161</v>
      </c>
      <c r="P485">
        <v>3.8240961930939101E-2</v>
      </c>
      <c r="Q485" t="s">
        <v>38</v>
      </c>
      <c r="S485" t="s">
        <v>57</v>
      </c>
      <c r="T485" t="s">
        <v>161</v>
      </c>
      <c r="U485">
        <v>3.8161750829160887E-2</v>
      </c>
      <c r="V485" t="s">
        <v>38</v>
      </c>
    </row>
    <row r="486" spans="9:22" x14ac:dyDescent="0.25">
      <c r="I486" t="s">
        <v>55</v>
      </c>
      <c r="J486" t="s">
        <v>162</v>
      </c>
      <c r="K486">
        <v>7.8236771290959969E-4</v>
      </c>
      <c r="L486" t="s">
        <v>38</v>
      </c>
      <c r="N486" t="s">
        <v>56</v>
      </c>
      <c r="O486" t="s">
        <v>162</v>
      </c>
      <c r="P486">
        <v>4.0805630654495786E-3</v>
      </c>
      <c r="Q486" t="s">
        <v>38</v>
      </c>
      <c r="S486" t="s">
        <v>57</v>
      </c>
      <c r="T486" t="s">
        <v>162</v>
      </c>
      <c r="U486">
        <v>4.1252142676271829E-3</v>
      </c>
      <c r="V486" t="s">
        <v>38</v>
      </c>
    </row>
    <row r="487" spans="9:22" x14ac:dyDescent="0.25">
      <c r="I487" t="s">
        <v>55</v>
      </c>
      <c r="J487" t="s">
        <v>163</v>
      </c>
      <c r="K487">
        <v>0</v>
      </c>
      <c r="L487" t="s">
        <v>38</v>
      </c>
      <c r="N487" t="s">
        <v>56</v>
      </c>
      <c r="O487" t="s">
        <v>163</v>
      </c>
      <c r="P487">
        <v>1.2723902611342798E-2</v>
      </c>
      <c r="Q487" t="s">
        <v>38</v>
      </c>
      <c r="S487" t="s">
        <v>57</v>
      </c>
      <c r="T487" t="s">
        <v>163</v>
      </c>
      <c r="U487">
        <v>1.1699670832697979E-2</v>
      </c>
      <c r="V487" t="s">
        <v>38</v>
      </c>
    </row>
    <row r="488" spans="9:22" x14ac:dyDescent="0.25">
      <c r="I488" t="s">
        <v>55</v>
      </c>
      <c r="J488" t="s">
        <v>164</v>
      </c>
      <c r="K488">
        <v>0</v>
      </c>
      <c r="L488" t="s">
        <v>38</v>
      </c>
      <c r="N488" t="s">
        <v>56</v>
      </c>
      <c r="O488" t="s">
        <v>164</v>
      </c>
      <c r="P488">
        <v>4.3650937718350893E-3</v>
      </c>
      <c r="Q488" t="s">
        <v>38</v>
      </c>
      <c r="S488" t="s">
        <v>57</v>
      </c>
      <c r="T488" t="s">
        <v>164</v>
      </c>
      <c r="U488">
        <v>3.793414558674729E-3</v>
      </c>
      <c r="V488" t="s">
        <v>38</v>
      </c>
    </row>
    <row r="489" spans="9:22" x14ac:dyDescent="0.25">
      <c r="I489" t="s">
        <v>55</v>
      </c>
      <c r="J489" t="s">
        <v>165</v>
      </c>
      <c r="K489">
        <v>0</v>
      </c>
      <c r="L489" t="s">
        <v>38</v>
      </c>
      <c r="N489" t="s">
        <v>56</v>
      </c>
      <c r="O489" t="s">
        <v>165</v>
      </c>
      <c r="P489">
        <v>4.2161150435609702E-3</v>
      </c>
      <c r="Q489" t="s">
        <v>38</v>
      </c>
      <c r="S489" t="s">
        <v>57</v>
      </c>
      <c r="T489" t="s">
        <v>165</v>
      </c>
      <c r="U489">
        <v>3.7441232608703512E-3</v>
      </c>
      <c r="V489" t="s">
        <v>38</v>
      </c>
    </row>
    <row r="490" spans="9:22" x14ac:dyDescent="0.25">
      <c r="I490" t="s">
        <v>55</v>
      </c>
      <c r="J490" t="s">
        <v>166</v>
      </c>
      <c r="K490">
        <v>0</v>
      </c>
      <c r="L490" t="s">
        <v>38</v>
      </c>
      <c r="N490" t="s">
        <v>56</v>
      </c>
      <c r="O490" t="s">
        <v>166</v>
      </c>
      <c r="P490">
        <v>1.186999941882147E-2</v>
      </c>
      <c r="Q490" t="s">
        <v>38</v>
      </c>
      <c r="S490" t="s">
        <v>57</v>
      </c>
      <c r="T490" t="s">
        <v>166</v>
      </c>
      <c r="U490">
        <v>1.1054104439901848E-2</v>
      </c>
      <c r="V490" t="s">
        <v>38</v>
      </c>
    </row>
    <row r="491" spans="9:22" x14ac:dyDescent="0.25">
      <c r="I491" t="s">
        <v>55</v>
      </c>
      <c r="J491" t="s">
        <v>167</v>
      </c>
      <c r="K491">
        <v>0</v>
      </c>
      <c r="L491" t="s">
        <v>38</v>
      </c>
      <c r="N491" t="s">
        <v>56</v>
      </c>
      <c r="O491" t="s">
        <v>167</v>
      </c>
      <c r="P491">
        <v>9.1408099774746357E-3</v>
      </c>
      <c r="Q491" t="s">
        <v>38</v>
      </c>
      <c r="S491" t="s">
        <v>57</v>
      </c>
      <c r="T491" t="s">
        <v>167</v>
      </c>
      <c r="U491">
        <v>1.0586554969775572E-2</v>
      </c>
      <c r="V491" t="s">
        <v>38</v>
      </c>
    </row>
    <row r="492" spans="9:22" x14ac:dyDescent="0.25">
      <c r="I492" t="s">
        <v>55</v>
      </c>
      <c r="J492" t="s">
        <v>168</v>
      </c>
      <c r="K492">
        <v>0</v>
      </c>
      <c r="L492" t="s">
        <v>38</v>
      </c>
      <c r="N492" t="s">
        <v>56</v>
      </c>
      <c r="O492" t="s">
        <v>168</v>
      </c>
      <c r="P492">
        <v>1.8652210765741117E-3</v>
      </c>
      <c r="Q492" t="s">
        <v>38</v>
      </c>
      <c r="S492" t="s">
        <v>57</v>
      </c>
      <c r="T492" t="s">
        <v>168</v>
      </c>
      <c r="U492">
        <v>2.358866598742473E-3</v>
      </c>
      <c r="V492" t="s">
        <v>38</v>
      </c>
    </row>
    <row r="493" spans="9:22" x14ac:dyDescent="0.25">
      <c r="I493" t="s">
        <v>55</v>
      </c>
      <c r="J493" t="s">
        <v>169</v>
      </c>
      <c r="K493">
        <v>2.3538970056878505E-2</v>
      </c>
      <c r="L493" t="s">
        <v>38</v>
      </c>
      <c r="N493" t="s">
        <v>56</v>
      </c>
      <c r="O493" t="s">
        <v>169</v>
      </c>
      <c r="P493">
        <v>1.9544895913774989E-2</v>
      </c>
      <c r="Q493" t="s">
        <v>38</v>
      </c>
      <c r="S493" t="s">
        <v>57</v>
      </c>
      <c r="T493" t="s">
        <v>169</v>
      </c>
      <c r="U493">
        <v>2.2400237106972753E-2</v>
      </c>
      <c r="V493" t="s">
        <v>38</v>
      </c>
    </row>
    <row r="494" spans="9:22" x14ac:dyDescent="0.25">
      <c r="I494" t="s">
        <v>55</v>
      </c>
      <c r="J494" t="s">
        <v>170</v>
      </c>
      <c r="K494">
        <v>3.1823509824691829E-3</v>
      </c>
      <c r="L494" t="s">
        <v>38</v>
      </c>
      <c r="N494" t="s">
        <v>56</v>
      </c>
      <c r="O494" t="s">
        <v>170</v>
      </c>
      <c r="P494">
        <v>2.0288441785669149E-3</v>
      </c>
      <c r="Q494" t="s">
        <v>38</v>
      </c>
      <c r="S494" t="s">
        <v>57</v>
      </c>
      <c r="T494" t="s">
        <v>170</v>
      </c>
      <c r="U494">
        <v>2.5535257588550622E-3</v>
      </c>
      <c r="V494" t="s">
        <v>38</v>
      </c>
    </row>
    <row r="495" spans="9:22" x14ac:dyDescent="0.25">
      <c r="I495" t="s">
        <v>55</v>
      </c>
      <c r="J495" t="s">
        <v>171</v>
      </c>
      <c r="K495">
        <v>2.7257706606614537E-3</v>
      </c>
      <c r="L495" t="s">
        <v>38</v>
      </c>
      <c r="N495" t="s">
        <v>56</v>
      </c>
      <c r="O495" t="s">
        <v>171</v>
      </c>
      <c r="P495">
        <v>7.0303439593036388E-3</v>
      </c>
      <c r="Q495" t="s">
        <v>38</v>
      </c>
      <c r="S495" t="s">
        <v>57</v>
      </c>
      <c r="T495" t="s">
        <v>171</v>
      </c>
      <c r="U495">
        <v>7.6438125189852678E-3</v>
      </c>
      <c r="V495" t="s">
        <v>38</v>
      </c>
    </row>
    <row r="496" spans="9:22" x14ac:dyDescent="0.25">
      <c r="I496" t="s">
        <v>55</v>
      </c>
      <c r="J496" t="s">
        <v>172</v>
      </c>
      <c r="K496">
        <v>0</v>
      </c>
      <c r="L496" t="s">
        <v>38</v>
      </c>
      <c r="N496" t="s">
        <v>56</v>
      </c>
      <c r="O496" t="s">
        <v>172</v>
      </c>
      <c r="P496">
        <v>2.5245803912906104E-3</v>
      </c>
      <c r="Q496" t="s">
        <v>38</v>
      </c>
      <c r="S496" t="s">
        <v>57</v>
      </c>
      <c r="T496" t="s">
        <v>172</v>
      </c>
      <c r="U496">
        <v>2.4583609603269392E-3</v>
      </c>
      <c r="V496" t="s">
        <v>38</v>
      </c>
    </row>
    <row r="497" spans="9:22" x14ac:dyDescent="0.25">
      <c r="I497" t="s">
        <v>55</v>
      </c>
      <c r="J497" t="s">
        <v>173</v>
      </c>
      <c r="K497">
        <v>0</v>
      </c>
      <c r="L497" t="s">
        <v>38</v>
      </c>
      <c r="N497" t="s">
        <v>56</v>
      </c>
      <c r="O497" t="s">
        <v>173</v>
      </c>
      <c r="P497">
        <v>2.485019631182841E-3</v>
      </c>
      <c r="Q497" t="s">
        <v>38</v>
      </c>
      <c r="S497" t="s">
        <v>57</v>
      </c>
      <c r="T497" t="s">
        <v>173</v>
      </c>
      <c r="U497">
        <v>2.3868463994976999E-3</v>
      </c>
      <c r="V497" t="s">
        <v>38</v>
      </c>
    </row>
    <row r="498" spans="9:22" x14ac:dyDescent="0.25">
      <c r="I498" t="s">
        <v>55</v>
      </c>
      <c r="J498" t="s">
        <v>174</v>
      </c>
      <c r="K498">
        <v>0</v>
      </c>
      <c r="L498" t="s">
        <v>38</v>
      </c>
      <c r="N498" t="s">
        <v>56</v>
      </c>
      <c r="O498" t="s">
        <v>174</v>
      </c>
      <c r="P498">
        <v>6.7649870578253704E-3</v>
      </c>
      <c r="Q498" t="s">
        <v>38</v>
      </c>
      <c r="S498" t="s">
        <v>57</v>
      </c>
      <c r="T498" t="s">
        <v>174</v>
      </c>
      <c r="U498">
        <v>6.6630176938903378E-3</v>
      </c>
      <c r="V498" t="s">
        <v>38</v>
      </c>
    </row>
    <row r="499" spans="9:22" x14ac:dyDescent="0.25">
      <c r="I499" t="s">
        <v>55</v>
      </c>
      <c r="J499" t="s">
        <v>175</v>
      </c>
      <c r="K499">
        <v>0</v>
      </c>
      <c r="L499" t="s">
        <v>38</v>
      </c>
      <c r="N499" t="s">
        <v>56</v>
      </c>
      <c r="O499" t="s">
        <v>175</v>
      </c>
      <c r="P499">
        <v>1.9857401875537677E-2</v>
      </c>
      <c r="Q499" t="s">
        <v>38</v>
      </c>
      <c r="S499" t="s">
        <v>57</v>
      </c>
      <c r="T499" t="s">
        <v>175</v>
      </c>
      <c r="U499">
        <v>1.3593129430615778E-2</v>
      </c>
      <c r="V499" t="s">
        <v>38</v>
      </c>
    </row>
    <row r="500" spans="9:22" x14ac:dyDescent="0.25">
      <c r="I500" t="s">
        <v>55</v>
      </c>
      <c r="J500" t="s">
        <v>176</v>
      </c>
      <c r="K500">
        <v>0</v>
      </c>
      <c r="L500" t="s">
        <v>38</v>
      </c>
      <c r="N500" t="s">
        <v>56</v>
      </c>
      <c r="O500" t="s">
        <v>176</v>
      </c>
      <c r="P500">
        <v>3.842632170913571E-3</v>
      </c>
      <c r="Q500" t="s">
        <v>38</v>
      </c>
      <c r="S500" t="s">
        <v>57</v>
      </c>
      <c r="T500" t="s">
        <v>176</v>
      </c>
      <c r="U500">
        <v>2.6816787002328464E-3</v>
      </c>
      <c r="V500" t="s">
        <v>38</v>
      </c>
    </row>
    <row r="501" spans="9:22" x14ac:dyDescent="0.25">
      <c r="I501" t="s">
        <v>55</v>
      </c>
      <c r="J501" t="s">
        <v>177</v>
      </c>
      <c r="K501">
        <v>7.6958573689464987E-2</v>
      </c>
      <c r="L501" t="s">
        <v>38</v>
      </c>
      <c r="N501" t="s">
        <v>56</v>
      </c>
      <c r="O501" t="s">
        <v>177</v>
      </c>
      <c r="P501">
        <v>2.7309465546225566E-2</v>
      </c>
      <c r="Q501" t="s">
        <v>38</v>
      </c>
      <c r="S501" t="s">
        <v>57</v>
      </c>
      <c r="T501" t="s">
        <v>177</v>
      </c>
      <c r="U501">
        <v>2.9321055347703604E-2</v>
      </c>
      <c r="V501" t="s">
        <v>38</v>
      </c>
    </row>
    <row r="502" spans="9:22" x14ac:dyDescent="0.25">
      <c r="I502" t="s">
        <v>55</v>
      </c>
      <c r="J502" t="s">
        <v>178</v>
      </c>
      <c r="K502">
        <v>9.4566561363406097E-3</v>
      </c>
      <c r="L502" t="s">
        <v>38</v>
      </c>
      <c r="N502" t="s">
        <v>56</v>
      </c>
      <c r="O502" t="s">
        <v>178</v>
      </c>
      <c r="P502">
        <v>3.2734076982261959E-3</v>
      </c>
      <c r="Q502" t="s">
        <v>38</v>
      </c>
      <c r="S502" t="s">
        <v>57</v>
      </c>
      <c r="T502" t="s">
        <v>178</v>
      </c>
      <c r="U502">
        <v>3.7191123975873616E-3</v>
      </c>
      <c r="V502" t="s">
        <v>38</v>
      </c>
    </row>
    <row r="503" spans="9:22" x14ac:dyDescent="0.25">
      <c r="I503" t="s">
        <v>55</v>
      </c>
      <c r="J503" t="s">
        <v>179</v>
      </c>
      <c r="K503">
        <v>1.4011276052678549E-2</v>
      </c>
      <c r="L503" t="s">
        <v>38</v>
      </c>
      <c r="N503" t="s">
        <v>56</v>
      </c>
      <c r="O503" t="s">
        <v>179</v>
      </c>
      <c r="P503">
        <v>1.138044706238356E-2</v>
      </c>
      <c r="Q503" t="s">
        <v>38</v>
      </c>
      <c r="S503" t="s">
        <v>57</v>
      </c>
      <c r="T503" t="s">
        <v>179</v>
      </c>
      <c r="U503">
        <v>1.1131897588019175E-2</v>
      </c>
      <c r="V503" t="s">
        <v>38</v>
      </c>
    </row>
    <row r="504" spans="9:22" x14ac:dyDescent="0.25">
      <c r="I504" t="s">
        <v>55</v>
      </c>
      <c r="J504" t="s">
        <v>180</v>
      </c>
      <c r="K504">
        <v>0</v>
      </c>
      <c r="L504" t="s">
        <v>38</v>
      </c>
      <c r="N504" t="s">
        <v>56</v>
      </c>
      <c r="O504" t="s">
        <v>180</v>
      </c>
      <c r="P504">
        <v>4.3386982924698862E-3</v>
      </c>
      <c r="Q504" t="s">
        <v>38</v>
      </c>
      <c r="S504" t="s">
        <v>57</v>
      </c>
      <c r="T504" t="s">
        <v>180</v>
      </c>
      <c r="U504">
        <v>3.5392915481706109E-3</v>
      </c>
      <c r="V504" t="s">
        <v>38</v>
      </c>
    </row>
    <row r="505" spans="9:22" x14ac:dyDescent="0.25">
      <c r="I505" t="s">
        <v>55</v>
      </c>
      <c r="J505" t="s">
        <v>181</v>
      </c>
      <c r="K505">
        <v>0</v>
      </c>
      <c r="L505" t="s">
        <v>38</v>
      </c>
      <c r="N505" t="s">
        <v>56</v>
      </c>
      <c r="O505" t="s">
        <v>181</v>
      </c>
      <c r="P505">
        <v>4.3830748318514539E-3</v>
      </c>
      <c r="Q505" t="s">
        <v>38</v>
      </c>
      <c r="S505" t="s">
        <v>57</v>
      </c>
      <c r="T505" t="s">
        <v>181</v>
      </c>
      <c r="U505">
        <v>3.3700365913074256E-3</v>
      </c>
      <c r="V505" t="s">
        <v>38</v>
      </c>
    </row>
    <row r="506" spans="9:22" x14ac:dyDescent="0.25">
      <c r="I506" t="s">
        <v>55</v>
      </c>
      <c r="J506" t="s">
        <v>182</v>
      </c>
      <c r="K506">
        <v>0</v>
      </c>
      <c r="L506" t="s">
        <v>38</v>
      </c>
      <c r="N506" t="s">
        <v>56</v>
      </c>
      <c r="O506" t="s">
        <v>182</v>
      </c>
      <c r="P506">
        <v>1.2412236150160511E-2</v>
      </c>
      <c r="Q506" t="s">
        <v>38</v>
      </c>
      <c r="S506" t="s">
        <v>57</v>
      </c>
      <c r="T506" t="s">
        <v>182</v>
      </c>
      <c r="U506">
        <v>9.1308775936871298E-3</v>
      </c>
      <c r="V506" t="s">
        <v>38</v>
      </c>
    </row>
    <row r="507" spans="9:22" x14ac:dyDescent="0.25">
      <c r="I507" t="s">
        <v>55</v>
      </c>
      <c r="J507" t="s">
        <v>183</v>
      </c>
      <c r="K507">
        <v>0</v>
      </c>
      <c r="L507" t="s">
        <v>38</v>
      </c>
      <c r="N507" t="s">
        <v>56</v>
      </c>
      <c r="O507" t="s">
        <v>183</v>
      </c>
      <c r="P507">
        <v>2.0414427816345785E-2</v>
      </c>
      <c r="Q507" t="s">
        <v>38</v>
      </c>
      <c r="S507" t="s">
        <v>57</v>
      </c>
      <c r="T507" t="s">
        <v>183</v>
      </c>
      <c r="U507">
        <v>1.9549935743076848E-2</v>
      </c>
      <c r="V507" t="s">
        <v>38</v>
      </c>
    </row>
    <row r="508" spans="9:22" x14ac:dyDescent="0.25">
      <c r="I508" t="s">
        <v>55</v>
      </c>
      <c r="J508" t="s">
        <v>184</v>
      </c>
      <c r="K508">
        <v>1.2806625569022009E-3</v>
      </c>
      <c r="L508" t="s">
        <v>38</v>
      </c>
      <c r="N508" t="s">
        <v>56</v>
      </c>
      <c r="O508" t="s">
        <v>184</v>
      </c>
      <c r="P508">
        <v>4.0232415431106618E-3</v>
      </c>
      <c r="Q508" t="s">
        <v>38</v>
      </c>
      <c r="S508" t="s">
        <v>57</v>
      </c>
      <c r="T508" t="s">
        <v>184</v>
      </c>
      <c r="U508">
        <v>4.0910949906797283E-3</v>
      </c>
      <c r="V508" t="s">
        <v>38</v>
      </c>
    </row>
    <row r="509" spans="9:22" x14ac:dyDescent="0.25">
      <c r="I509" t="s">
        <v>55</v>
      </c>
      <c r="J509" t="s">
        <v>185</v>
      </c>
      <c r="K509">
        <v>8.3402634515373469E-2</v>
      </c>
      <c r="L509" t="s">
        <v>38</v>
      </c>
      <c r="N509" t="s">
        <v>56</v>
      </c>
      <c r="O509" t="s">
        <v>185</v>
      </c>
      <c r="P509">
        <v>3.4034253073674428E-2</v>
      </c>
      <c r="Q509" t="s">
        <v>38</v>
      </c>
      <c r="S509" t="s">
        <v>57</v>
      </c>
      <c r="T509" t="s">
        <v>185</v>
      </c>
      <c r="U509">
        <v>3.5529569030675029E-2</v>
      </c>
      <c r="V509" t="s">
        <v>38</v>
      </c>
    </row>
    <row r="510" spans="9:22" x14ac:dyDescent="0.25">
      <c r="I510" t="s">
        <v>55</v>
      </c>
      <c r="J510" t="s">
        <v>186</v>
      </c>
      <c r="K510">
        <v>1.0400303501285199E-2</v>
      </c>
      <c r="L510" t="s">
        <v>38</v>
      </c>
      <c r="N510" t="s">
        <v>56</v>
      </c>
      <c r="O510" t="s">
        <v>186</v>
      </c>
      <c r="P510">
        <v>4.1874381567535909E-3</v>
      </c>
      <c r="Q510" t="s">
        <v>38</v>
      </c>
      <c r="S510" t="s">
        <v>57</v>
      </c>
      <c r="T510" t="s">
        <v>186</v>
      </c>
      <c r="U510">
        <v>4.0184060339984624E-3</v>
      </c>
      <c r="V510" t="s">
        <v>38</v>
      </c>
    </row>
    <row r="511" spans="9:22" x14ac:dyDescent="0.25">
      <c r="I511" t="s">
        <v>55</v>
      </c>
      <c r="J511" t="s">
        <v>187</v>
      </c>
      <c r="K511">
        <v>2.2338887506498508E-2</v>
      </c>
      <c r="L511" t="s">
        <v>38</v>
      </c>
      <c r="N511" t="s">
        <v>56</v>
      </c>
      <c r="O511" t="s">
        <v>187</v>
      </c>
      <c r="P511">
        <v>1.2861897705809561E-2</v>
      </c>
      <c r="Q511" t="s">
        <v>38</v>
      </c>
      <c r="S511" t="s">
        <v>57</v>
      </c>
      <c r="T511" t="s">
        <v>187</v>
      </c>
      <c r="U511">
        <v>1.1981183171623947E-2</v>
      </c>
      <c r="V511" t="s">
        <v>38</v>
      </c>
    </row>
    <row r="512" spans="9:22" x14ac:dyDescent="0.25">
      <c r="I512" t="s">
        <v>55</v>
      </c>
      <c r="J512" t="s">
        <v>188</v>
      </c>
      <c r="K512">
        <v>1.6255576912368071E-3</v>
      </c>
      <c r="L512" t="s">
        <v>38</v>
      </c>
      <c r="N512" t="s">
        <v>56</v>
      </c>
      <c r="O512" t="s">
        <v>188</v>
      </c>
      <c r="P512">
        <v>4.3105565526805039E-3</v>
      </c>
      <c r="Q512" t="s">
        <v>38</v>
      </c>
      <c r="S512" t="s">
        <v>57</v>
      </c>
      <c r="T512" t="s">
        <v>188</v>
      </c>
      <c r="U512">
        <v>4.0184512804487087E-3</v>
      </c>
      <c r="V512" t="s">
        <v>38</v>
      </c>
    </row>
    <row r="513" spans="9:22" x14ac:dyDescent="0.25">
      <c r="I513" t="s">
        <v>55</v>
      </c>
      <c r="J513" t="s">
        <v>189</v>
      </c>
      <c r="K513">
        <v>0</v>
      </c>
      <c r="L513" t="s">
        <v>38</v>
      </c>
      <c r="N513" t="s">
        <v>56</v>
      </c>
      <c r="O513" t="s">
        <v>189</v>
      </c>
      <c r="P513">
        <v>4.3608197682679295E-3</v>
      </c>
      <c r="Q513" t="s">
        <v>38</v>
      </c>
      <c r="S513" t="s">
        <v>57</v>
      </c>
      <c r="T513" t="s">
        <v>189</v>
      </c>
      <c r="U513">
        <v>4.0269428788284635E-3</v>
      </c>
      <c r="V513" t="s">
        <v>38</v>
      </c>
    </row>
    <row r="514" spans="9:22" x14ac:dyDescent="0.25">
      <c r="I514" t="s">
        <v>55</v>
      </c>
      <c r="J514" t="s">
        <v>190</v>
      </c>
      <c r="K514">
        <v>0</v>
      </c>
      <c r="L514" t="s">
        <v>38</v>
      </c>
      <c r="N514" t="s">
        <v>56</v>
      </c>
      <c r="O514" t="s">
        <v>190</v>
      </c>
      <c r="P514">
        <v>1.3295372890170945E-2</v>
      </c>
      <c r="Q514" t="s">
        <v>38</v>
      </c>
      <c r="S514" t="s">
        <v>57</v>
      </c>
      <c r="T514" t="s">
        <v>190</v>
      </c>
      <c r="U514">
        <v>1.2215606011197427E-2</v>
      </c>
      <c r="V514" t="s">
        <v>38</v>
      </c>
    </row>
    <row r="515" spans="9:22" x14ac:dyDescent="0.25">
      <c r="I515" t="s">
        <v>55</v>
      </c>
      <c r="J515" t="s">
        <v>191</v>
      </c>
      <c r="K515">
        <v>1.0149187029216747E-3</v>
      </c>
      <c r="L515" t="s">
        <v>38</v>
      </c>
      <c r="N515" t="s">
        <v>56</v>
      </c>
      <c r="O515" t="s">
        <v>191</v>
      </c>
      <c r="P515">
        <v>1.4416579244815365E-2</v>
      </c>
      <c r="Q515" t="s">
        <v>38</v>
      </c>
      <c r="S515" t="s">
        <v>57</v>
      </c>
      <c r="T515" t="s">
        <v>191</v>
      </c>
      <c r="U515">
        <v>1.7832161247726967E-2</v>
      </c>
      <c r="V515" t="s">
        <v>38</v>
      </c>
    </row>
    <row r="516" spans="9:22" x14ac:dyDescent="0.25">
      <c r="I516" t="s">
        <v>55</v>
      </c>
      <c r="J516" t="s">
        <v>192</v>
      </c>
      <c r="K516">
        <v>3.9579431420541785E-3</v>
      </c>
      <c r="L516" t="s">
        <v>38</v>
      </c>
      <c r="N516" t="s">
        <v>56</v>
      </c>
      <c r="O516" t="s">
        <v>192</v>
      </c>
      <c r="P516">
        <v>2.4987779525166912E-3</v>
      </c>
      <c r="Q516" t="s">
        <v>38</v>
      </c>
      <c r="S516" t="s">
        <v>57</v>
      </c>
      <c r="T516" t="s">
        <v>192</v>
      </c>
      <c r="U516">
        <v>3.4432755438400554E-3</v>
      </c>
      <c r="V516" t="s">
        <v>38</v>
      </c>
    </row>
    <row r="517" spans="9:22" x14ac:dyDescent="0.25">
      <c r="I517" t="s">
        <v>55</v>
      </c>
      <c r="J517" t="s">
        <v>193</v>
      </c>
      <c r="K517">
        <v>0.1018282480613214</v>
      </c>
      <c r="L517" t="s">
        <v>38</v>
      </c>
      <c r="N517" t="s">
        <v>56</v>
      </c>
      <c r="O517" t="s">
        <v>193</v>
      </c>
      <c r="P517">
        <v>2.0032895885129871E-2</v>
      </c>
      <c r="Q517" t="s">
        <v>38</v>
      </c>
      <c r="S517" t="s">
        <v>57</v>
      </c>
      <c r="T517" t="s">
        <v>193</v>
      </c>
      <c r="U517">
        <v>3.1105468546408718E-2</v>
      </c>
      <c r="V517" t="s">
        <v>38</v>
      </c>
    </row>
    <row r="518" spans="9:22" x14ac:dyDescent="0.25">
      <c r="I518" t="s">
        <v>55</v>
      </c>
      <c r="J518" t="s">
        <v>194</v>
      </c>
      <c r="K518">
        <v>1.2519401989559621E-2</v>
      </c>
      <c r="L518" t="s">
        <v>38</v>
      </c>
      <c r="N518" t="s">
        <v>56</v>
      </c>
      <c r="O518" t="s">
        <v>194</v>
      </c>
      <c r="P518">
        <v>2.3700438325817779E-3</v>
      </c>
      <c r="Q518" t="s">
        <v>38</v>
      </c>
      <c r="S518" t="s">
        <v>57</v>
      </c>
      <c r="T518" t="s">
        <v>194</v>
      </c>
      <c r="U518">
        <v>3.5753385597008143E-3</v>
      </c>
      <c r="V518" t="s">
        <v>38</v>
      </c>
    </row>
    <row r="519" spans="9:22" x14ac:dyDescent="0.25">
      <c r="I519" t="s">
        <v>55</v>
      </c>
      <c r="J519" t="s">
        <v>195</v>
      </c>
      <c r="K519">
        <v>2.7820545343311798E-2</v>
      </c>
      <c r="L519" t="s">
        <v>38</v>
      </c>
      <c r="N519" t="s">
        <v>56</v>
      </c>
      <c r="O519" t="s">
        <v>195</v>
      </c>
      <c r="P519">
        <v>7.444125441604831E-3</v>
      </c>
      <c r="Q519" t="s">
        <v>38</v>
      </c>
      <c r="S519" t="s">
        <v>57</v>
      </c>
      <c r="T519" t="s">
        <v>195</v>
      </c>
      <c r="U519">
        <v>1.0743357027060507E-2</v>
      </c>
      <c r="V519" t="s">
        <v>38</v>
      </c>
    </row>
    <row r="520" spans="9:22" x14ac:dyDescent="0.25">
      <c r="I520" t="s">
        <v>55</v>
      </c>
      <c r="J520" t="s">
        <v>196</v>
      </c>
      <c r="K520">
        <v>4.2999000973445228E-3</v>
      </c>
      <c r="L520" t="s">
        <v>38</v>
      </c>
      <c r="N520" t="s">
        <v>56</v>
      </c>
      <c r="O520" t="s">
        <v>196</v>
      </c>
      <c r="P520">
        <v>2.6728020402660589E-3</v>
      </c>
      <c r="Q520" t="s">
        <v>38</v>
      </c>
      <c r="S520" t="s">
        <v>57</v>
      </c>
      <c r="T520" t="s">
        <v>196</v>
      </c>
      <c r="U520">
        <v>3.6236180417318796E-3</v>
      </c>
      <c r="V520" t="s">
        <v>38</v>
      </c>
    </row>
    <row r="521" spans="9:22" x14ac:dyDescent="0.25">
      <c r="I521" t="s">
        <v>55</v>
      </c>
      <c r="J521" t="s">
        <v>197</v>
      </c>
      <c r="K521">
        <v>1.0728841634291284E-3</v>
      </c>
      <c r="L521" t="s">
        <v>38</v>
      </c>
      <c r="N521" t="s">
        <v>56</v>
      </c>
      <c r="O521" t="s">
        <v>197</v>
      </c>
      <c r="P521">
        <v>2.8473742235801576E-3</v>
      </c>
      <c r="Q521" t="s">
        <v>38</v>
      </c>
      <c r="S521" t="s">
        <v>57</v>
      </c>
      <c r="T521" t="s">
        <v>197</v>
      </c>
      <c r="U521">
        <v>3.5180938989271436E-3</v>
      </c>
      <c r="V521" t="s">
        <v>38</v>
      </c>
    </row>
    <row r="522" spans="9:22" x14ac:dyDescent="0.25">
      <c r="I522" t="s">
        <v>55</v>
      </c>
      <c r="J522" t="s">
        <v>198</v>
      </c>
      <c r="K522">
        <v>0</v>
      </c>
      <c r="L522" t="s">
        <v>38</v>
      </c>
      <c r="N522" t="s">
        <v>56</v>
      </c>
      <c r="O522" t="s">
        <v>198</v>
      </c>
      <c r="P522">
        <v>8.7670325433544024E-3</v>
      </c>
      <c r="Q522" t="s">
        <v>38</v>
      </c>
      <c r="S522" t="s">
        <v>57</v>
      </c>
      <c r="T522" t="s">
        <v>198</v>
      </c>
      <c r="U522">
        <v>1.0247305481672584E-2</v>
      </c>
      <c r="V522" t="s">
        <v>38</v>
      </c>
    </row>
    <row r="523" spans="9:22" x14ac:dyDescent="0.25">
      <c r="I523" t="s">
        <v>55</v>
      </c>
      <c r="J523" t="s">
        <v>199</v>
      </c>
      <c r="K523">
        <v>2.2110422261583363E-3</v>
      </c>
      <c r="L523" t="s">
        <v>38</v>
      </c>
      <c r="N523" t="s">
        <v>56</v>
      </c>
      <c r="O523" t="s">
        <v>199</v>
      </c>
      <c r="P523">
        <v>1.1104215454290287E-2</v>
      </c>
      <c r="Q523" t="s">
        <v>38</v>
      </c>
      <c r="S523" t="s">
        <v>57</v>
      </c>
      <c r="T523" t="s">
        <v>199</v>
      </c>
      <c r="U523">
        <v>1.3398690946510038E-2</v>
      </c>
      <c r="V523" t="s">
        <v>38</v>
      </c>
    </row>
    <row r="524" spans="9:22" x14ac:dyDescent="0.25">
      <c r="I524" t="s">
        <v>55</v>
      </c>
      <c r="J524" t="s">
        <v>200</v>
      </c>
      <c r="K524">
        <v>4.6646286068676166E-3</v>
      </c>
      <c r="L524" t="s">
        <v>38</v>
      </c>
      <c r="N524" t="s">
        <v>56</v>
      </c>
      <c r="O524" t="s">
        <v>200</v>
      </c>
      <c r="P524">
        <v>1.9224564853958113E-3</v>
      </c>
      <c r="Q524" t="s">
        <v>38</v>
      </c>
      <c r="S524" t="s">
        <v>57</v>
      </c>
      <c r="T524" t="s">
        <v>200</v>
      </c>
      <c r="U524">
        <v>2.5932542513851017E-3</v>
      </c>
      <c r="V524" t="s">
        <v>38</v>
      </c>
    </row>
    <row r="525" spans="9:22" x14ac:dyDescent="0.25">
      <c r="I525" t="s">
        <v>55</v>
      </c>
      <c r="J525" t="s">
        <v>201</v>
      </c>
      <c r="K525">
        <v>9.8390261637118392E-2</v>
      </c>
      <c r="L525" t="s">
        <v>38</v>
      </c>
      <c r="N525" t="s">
        <v>56</v>
      </c>
      <c r="O525" t="s">
        <v>201</v>
      </c>
      <c r="P525">
        <v>1.5278714964546037E-2</v>
      </c>
      <c r="Q525" t="s">
        <v>38</v>
      </c>
      <c r="S525" t="s">
        <v>57</v>
      </c>
      <c r="T525" t="s">
        <v>201</v>
      </c>
      <c r="U525">
        <v>2.2899303186684528E-2</v>
      </c>
      <c r="V525" t="s">
        <v>38</v>
      </c>
    </row>
    <row r="526" spans="9:22" x14ac:dyDescent="0.25">
      <c r="I526" t="s">
        <v>55</v>
      </c>
      <c r="J526" t="s">
        <v>202</v>
      </c>
      <c r="K526">
        <v>1.2243796486147885E-2</v>
      </c>
      <c r="L526" t="s">
        <v>38</v>
      </c>
      <c r="N526" t="s">
        <v>56</v>
      </c>
      <c r="O526" t="s">
        <v>202</v>
      </c>
      <c r="P526">
        <v>1.6486928671119187E-3</v>
      </c>
      <c r="Q526" t="s">
        <v>38</v>
      </c>
      <c r="S526" t="s">
        <v>57</v>
      </c>
      <c r="T526" t="s">
        <v>202</v>
      </c>
      <c r="U526">
        <v>2.5157694740920475E-3</v>
      </c>
      <c r="V526" t="s">
        <v>38</v>
      </c>
    </row>
    <row r="527" spans="9:22" x14ac:dyDescent="0.25">
      <c r="I527" t="s">
        <v>55</v>
      </c>
      <c r="J527" t="s">
        <v>203</v>
      </c>
      <c r="K527">
        <v>2.9800270296866112E-2</v>
      </c>
      <c r="L527" t="s">
        <v>38</v>
      </c>
      <c r="N527" t="s">
        <v>56</v>
      </c>
      <c r="O527" t="s">
        <v>203</v>
      </c>
      <c r="P527">
        <v>4.8755054674615829E-3</v>
      </c>
      <c r="Q527" t="s">
        <v>38</v>
      </c>
      <c r="S527" t="s">
        <v>57</v>
      </c>
      <c r="T527" t="s">
        <v>203</v>
      </c>
      <c r="U527">
        <v>7.8812014618163742E-3</v>
      </c>
      <c r="V527" t="s">
        <v>38</v>
      </c>
    </row>
    <row r="528" spans="9:22" x14ac:dyDescent="0.25">
      <c r="I528" t="s">
        <v>55</v>
      </c>
      <c r="J528" t="s">
        <v>204</v>
      </c>
      <c r="K528">
        <v>5.4638421867625377E-3</v>
      </c>
      <c r="L528" t="s">
        <v>38</v>
      </c>
      <c r="N528" t="s">
        <v>56</v>
      </c>
      <c r="O528" t="s">
        <v>204</v>
      </c>
      <c r="P528">
        <v>1.5748959826374187E-3</v>
      </c>
      <c r="Q528" t="s">
        <v>38</v>
      </c>
      <c r="S528" t="s">
        <v>57</v>
      </c>
      <c r="T528" t="s">
        <v>204</v>
      </c>
      <c r="U528">
        <v>2.7474670649900385E-3</v>
      </c>
      <c r="V528" t="s">
        <v>38</v>
      </c>
    </row>
    <row r="529" spans="9:22" x14ac:dyDescent="0.25">
      <c r="I529" t="s">
        <v>55</v>
      </c>
      <c r="J529" t="s">
        <v>205</v>
      </c>
      <c r="K529">
        <v>2.658648727059983E-3</v>
      </c>
      <c r="L529" t="s">
        <v>38</v>
      </c>
      <c r="N529" t="s">
        <v>56</v>
      </c>
      <c r="O529" t="s">
        <v>205</v>
      </c>
      <c r="P529">
        <v>1.6476193416953063E-3</v>
      </c>
      <c r="Q529" t="s">
        <v>38</v>
      </c>
      <c r="S529" t="s">
        <v>57</v>
      </c>
      <c r="T529" t="s">
        <v>205</v>
      </c>
      <c r="U529">
        <v>2.7119458941402279E-3</v>
      </c>
      <c r="V529" t="s">
        <v>38</v>
      </c>
    </row>
    <row r="530" spans="9:22" x14ac:dyDescent="0.25">
      <c r="I530" t="s">
        <v>55</v>
      </c>
      <c r="J530" t="s">
        <v>206</v>
      </c>
      <c r="K530">
        <v>5.2255227097920523E-6</v>
      </c>
      <c r="L530" t="s">
        <v>38</v>
      </c>
      <c r="N530" t="s">
        <v>56</v>
      </c>
      <c r="O530" t="s">
        <v>206</v>
      </c>
      <c r="P530">
        <v>5.6035887193754789E-3</v>
      </c>
      <c r="Q530" t="s">
        <v>38</v>
      </c>
      <c r="S530" t="s">
        <v>57</v>
      </c>
      <c r="T530" t="s">
        <v>206</v>
      </c>
      <c r="U530">
        <v>8.1188402511800269E-3</v>
      </c>
      <c r="V530" t="s">
        <v>38</v>
      </c>
    </row>
    <row r="531" spans="9:22" x14ac:dyDescent="0.25">
      <c r="I531" t="s">
        <v>55</v>
      </c>
      <c r="J531" t="s">
        <v>207</v>
      </c>
      <c r="K531">
        <v>2.0432968836048087E-3</v>
      </c>
      <c r="L531" t="s">
        <v>38</v>
      </c>
      <c r="N531" t="s">
        <v>56</v>
      </c>
      <c r="O531" t="s">
        <v>207</v>
      </c>
      <c r="P531">
        <v>1.3715033492532263E-2</v>
      </c>
      <c r="Q531" t="s">
        <v>38</v>
      </c>
      <c r="S531" t="s">
        <v>57</v>
      </c>
      <c r="T531" t="s">
        <v>207</v>
      </c>
      <c r="U531">
        <v>1.2780134613770533E-2</v>
      </c>
      <c r="V531" t="s">
        <v>38</v>
      </c>
    </row>
    <row r="532" spans="9:22" x14ac:dyDescent="0.25">
      <c r="I532" t="s">
        <v>55</v>
      </c>
      <c r="J532" t="s">
        <v>208</v>
      </c>
      <c r="K532">
        <v>4.5679682789428388E-3</v>
      </c>
      <c r="L532" t="s">
        <v>38</v>
      </c>
      <c r="N532" t="s">
        <v>56</v>
      </c>
      <c r="O532" t="s">
        <v>208</v>
      </c>
      <c r="P532">
        <v>2.3940334182060577E-3</v>
      </c>
      <c r="Q532" t="s">
        <v>38</v>
      </c>
      <c r="S532" t="s">
        <v>57</v>
      </c>
      <c r="T532" t="s">
        <v>208</v>
      </c>
      <c r="U532">
        <v>2.4589629466553399E-3</v>
      </c>
      <c r="V532" t="s">
        <v>38</v>
      </c>
    </row>
    <row r="533" spans="9:22" x14ac:dyDescent="0.25">
      <c r="I533" t="s">
        <v>55</v>
      </c>
      <c r="J533" t="s">
        <v>209</v>
      </c>
      <c r="K533">
        <v>9.7232139699461428E-2</v>
      </c>
      <c r="L533" t="s">
        <v>38</v>
      </c>
      <c r="N533" t="s">
        <v>56</v>
      </c>
      <c r="O533" t="s">
        <v>209</v>
      </c>
      <c r="P533">
        <v>1.7510885644585805E-2</v>
      </c>
      <c r="Q533" t="s">
        <v>38</v>
      </c>
      <c r="S533" t="s">
        <v>57</v>
      </c>
      <c r="T533" t="s">
        <v>209</v>
      </c>
      <c r="U533">
        <v>2.5019160479035185E-2</v>
      </c>
      <c r="V533" t="s">
        <v>38</v>
      </c>
    </row>
    <row r="534" spans="9:22" x14ac:dyDescent="0.25">
      <c r="I534" t="s">
        <v>55</v>
      </c>
      <c r="J534" t="s">
        <v>210</v>
      </c>
      <c r="K534">
        <v>1.1555554646508332E-2</v>
      </c>
      <c r="L534" t="s">
        <v>38</v>
      </c>
      <c r="N534" t="s">
        <v>56</v>
      </c>
      <c r="O534" t="s">
        <v>210</v>
      </c>
      <c r="P534">
        <v>2.1156349871646295E-3</v>
      </c>
      <c r="Q534" t="s">
        <v>38</v>
      </c>
      <c r="S534" t="s">
        <v>57</v>
      </c>
      <c r="T534" t="s">
        <v>210</v>
      </c>
      <c r="U534">
        <v>3.0827286302170208E-3</v>
      </c>
      <c r="V534" t="s">
        <v>38</v>
      </c>
    </row>
    <row r="535" spans="9:22" x14ac:dyDescent="0.25">
      <c r="I535" t="s">
        <v>55</v>
      </c>
      <c r="J535" t="s">
        <v>211</v>
      </c>
      <c r="K535">
        <v>2.7105357451787514E-2</v>
      </c>
      <c r="L535" t="s">
        <v>38</v>
      </c>
      <c r="N535" t="s">
        <v>56</v>
      </c>
      <c r="O535" t="s">
        <v>211</v>
      </c>
      <c r="P535">
        <v>6.6705296989335375E-3</v>
      </c>
      <c r="Q535" t="s">
        <v>38</v>
      </c>
      <c r="S535" t="s">
        <v>57</v>
      </c>
      <c r="T535" t="s">
        <v>211</v>
      </c>
      <c r="U535">
        <v>9.5264279985959616E-3</v>
      </c>
      <c r="V535" t="s">
        <v>38</v>
      </c>
    </row>
    <row r="536" spans="9:22" x14ac:dyDescent="0.25">
      <c r="I536" t="s">
        <v>55</v>
      </c>
      <c r="J536" t="s">
        <v>212</v>
      </c>
      <c r="K536">
        <v>4.9615852840059161E-3</v>
      </c>
      <c r="L536" t="s">
        <v>38</v>
      </c>
      <c r="N536" t="s">
        <v>56</v>
      </c>
      <c r="O536" t="s">
        <v>212</v>
      </c>
      <c r="P536">
        <v>2.2248511191650124E-3</v>
      </c>
      <c r="Q536" t="s">
        <v>38</v>
      </c>
      <c r="S536" t="s">
        <v>57</v>
      </c>
      <c r="T536" t="s">
        <v>212</v>
      </c>
      <c r="U536">
        <v>3.174960653932633E-3</v>
      </c>
      <c r="V536" t="s">
        <v>38</v>
      </c>
    </row>
    <row r="537" spans="9:22" x14ac:dyDescent="0.25">
      <c r="I537" t="s">
        <v>55</v>
      </c>
      <c r="J537" t="s">
        <v>213</v>
      </c>
      <c r="K537">
        <v>2.3425988290853633E-3</v>
      </c>
      <c r="L537" t="s">
        <v>38</v>
      </c>
      <c r="N537" t="s">
        <v>56</v>
      </c>
      <c r="O537" t="s">
        <v>213</v>
      </c>
      <c r="P537">
        <v>2.2620261583439398E-3</v>
      </c>
      <c r="Q537" t="s">
        <v>38</v>
      </c>
      <c r="S537" t="s">
        <v>57</v>
      </c>
      <c r="T537" t="s">
        <v>213</v>
      </c>
      <c r="U537">
        <v>3.0691248294713856E-3</v>
      </c>
      <c r="V537" t="s">
        <v>38</v>
      </c>
    </row>
    <row r="538" spans="9:22" x14ac:dyDescent="0.25">
      <c r="I538" t="s">
        <v>55</v>
      </c>
      <c r="J538" t="s">
        <v>214</v>
      </c>
      <c r="K538">
        <v>0</v>
      </c>
      <c r="L538" t="s">
        <v>38</v>
      </c>
      <c r="N538" t="s">
        <v>56</v>
      </c>
      <c r="O538" t="s">
        <v>214</v>
      </c>
      <c r="P538">
        <v>7.7928378667982013E-3</v>
      </c>
      <c r="Q538" t="s">
        <v>38</v>
      </c>
      <c r="S538" t="s">
        <v>57</v>
      </c>
      <c r="T538" t="s">
        <v>214</v>
      </c>
      <c r="U538">
        <v>8.5776696842147521E-3</v>
      </c>
      <c r="V538" t="s">
        <v>38</v>
      </c>
    </row>
    <row r="539" spans="9:22" x14ac:dyDescent="0.25">
      <c r="I539" t="s">
        <v>55</v>
      </c>
      <c r="J539" t="s">
        <v>215</v>
      </c>
      <c r="K539">
        <v>4.6812605744907727E-7</v>
      </c>
      <c r="L539" t="s">
        <v>38</v>
      </c>
      <c r="N539" t="s">
        <v>56</v>
      </c>
      <c r="O539" t="s">
        <v>215</v>
      </c>
      <c r="P539">
        <v>1.1906215027207888E-2</v>
      </c>
      <c r="Q539" t="s">
        <v>38</v>
      </c>
      <c r="S539" t="s">
        <v>57</v>
      </c>
      <c r="T539" t="s">
        <v>215</v>
      </c>
      <c r="U539">
        <v>9.8696081666561682E-3</v>
      </c>
      <c r="V539" t="s">
        <v>38</v>
      </c>
    </row>
    <row r="540" spans="9:22" x14ac:dyDescent="0.25">
      <c r="I540" t="s">
        <v>55</v>
      </c>
      <c r="J540" t="s">
        <v>216</v>
      </c>
      <c r="K540">
        <v>2.522759414238504E-3</v>
      </c>
      <c r="L540" t="s">
        <v>38</v>
      </c>
      <c r="N540" t="s">
        <v>56</v>
      </c>
      <c r="O540" t="s">
        <v>216</v>
      </c>
      <c r="P540">
        <v>2.5206017401882249E-3</v>
      </c>
      <c r="Q540" t="s">
        <v>38</v>
      </c>
      <c r="S540" t="s">
        <v>57</v>
      </c>
      <c r="T540" t="s">
        <v>216</v>
      </c>
      <c r="U540">
        <v>1.8974470064106318E-3</v>
      </c>
      <c r="V540" t="s">
        <v>38</v>
      </c>
    </row>
    <row r="541" spans="9:22" x14ac:dyDescent="0.25">
      <c r="I541" t="s">
        <v>55</v>
      </c>
      <c r="J541" t="s">
        <v>217</v>
      </c>
      <c r="K541">
        <v>9.2332655726155219E-2</v>
      </c>
      <c r="L541" t="s">
        <v>38</v>
      </c>
      <c r="N541" t="s">
        <v>56</v>
      </c>
      <c r="O541" t="s">
        <v>217</v>
      </c>
      <c r="P541">
        <v>1.9731805146666656E-2</v>
      </c>
      <c r="Q541" t="s">
        <v>38</v>
      </c>
      <c r="S541" t="s">
        <v>57</v>
      </c>
      <c r="T541" t="s">
        <v>217</v>
      </c>
      <c r="U541">
        <v>1.6487978842490446E-2</v>
      </c>
      <c r="V541" t="s">
        <v>38</v>
      </c>
    </row>
    <row r="542" spans="9:22" x14ac:dyDescent="0.25">
      <c r="I542" t="s">
        <v>55</v>
      </c>
      <c r="J542" t="s">
        <v>218</v>
      </c>
      <c r="K542">
        <v>1.1119025852311337E-2</v>
      </c>
      <c r="L542" t="s">
        <v>38</v>
      </c>
      <c r="N542" t="s">
        <v>56</v>
      </c>
      <c r="O542" t="s">
        <v>218</v>
      </c>
      <c r="P542">
        <v>2.2469617704147251E-3</v>
      </c>
      <c r="Q542" t="s">
        <v>38</v>
      </c>
      <c r="S542" t="s">
        <v>57</v>
      </c>
      <c r="T542" t="s">
        <v>218</v>
      </c>
      <c r="U542">
        <v>1.9682317488824265E-3</v>
      </c>
      <c r="V542" t="s">
        <v>38</v>
      </c>
    </row>
    <row r="543" spans="9:22" x14ac:dyDescent="0.25">
      <c r="I543" t="s">
        <v>55</v>
      </c>
      <c r="J543" t="s">
        <v>219</v>
      </c>
      <c r="K543">
        <v>2.4775076523889432E-2</v>
      </c>
      <c r="L543" t="s">
        <v>38</v>
      </c>
      <c r="N543" t="s">
        <v>56</v>
      </c>
      <c r="O543" t="s">
        <v>219</v>
      </c>
      <c r="P543">
        <v>6.2975853156627655E-3</v>
      </c>
      <c r="Q543" t="s">
        <v>38</v>
      </c>
      <c r="S543" t="s">
        <v>57</v>
      </c>
      <c r="T543" t="s">
        <v>219</v>
      </c>
      <c r="U543">
        <v>6.2564448055426247E-3</v>
      </c>
      <c r="V543" t="s">
        <v>38</v>
      </c>
    </row>
    <row r="544" spans="9:22" x14ac:dyDescent="0.25">
      <c r="I544" t="s">
        <v>55</v>
      </c>
      <c r="J544" t="s">
        <v>220</v>
      </c>
      <c r="K544">
        <v>2.8799984816421965E-3</v>
      </c>
      <c r="L544" t="s">
        <v>38</v>
      </c>
      <c r="N544" t="s">
        <v>56</v>
      </c>
      <c r="O544" t="s">
        <v>220</v>
      </c>
      <c r="P544">
        <v>2.1483615989004124E-3</v>
      </c>
      <c r="Q544" t="s">
        <v>38</v>
      </c>
      <c r="S544" t="s">
        <v>57</v>
      </c>
      <c r="T544" t="s">
        <v>220</v>
      </c>
      <c r="U544">
        <v>2.1944317045556184E-3</v>
      </c>
      <c r="V544" t="s">
        <v>38</v>
      </c>
    </row>
    <row r="545" spans="9:22" x14ac:dyDescent="0.25">
      <c r="I545" t="s">
        <v>55</v>
      </c>
      <c r="J545" t="s">
        <v>221</v>
      </c>
      <c r="K545">
        <v>1.9224399825434825E-4</v>
      </c>
      <c r="L545" t="s">
        <v>38</v>
      </c>
      <c r="N545" t="s">
        <v>56</v>
      </c>
      <c r="O545" t="s">
        <v>221</v>
      </c>
      <c r="P545">
        <v>2.3588735993147216E-3</v>
      </c>
      <c r="Q545" t="s">
        <v>38</v>
      </c>
      <c r="S545" t="s">
        <v>57</v>
      </c>
      <c r="T545" t="s">
        <v>221</v>
      </c>
      <c r="U545">
        <v>2.215430447022037E-3</v>
      </c>
      <c r="V545" t="s">
        <v>38</v>
      </c>
    </row>
    <row r="546" spans="9:22" x14ac:dyDescent="0.25">
      <c r="I546" t="s">
        <v>55</v>
      </c>
      <c r="J546" t="s">
        <v>222</v>
      </c>
      <c r="K546">
        <v>0</v>
      </c>
      <c r="L546" t="s">
        <v>38</v>
      </c>
      <c r="N546" t="s">
        <v>56</v>
      </c>
      <c r="O546" t="s">
        <v>222</v>
      </c>
      <c r="P546">
        <v>7.6966155825782647E-3</v>
      </c>
      <c r="Q546" t="s">
        <v>38</v>
      </c>
      <c r="S546" t="s">
        <v>57</v>
      </c>
      <c r="T546" t="s">
        <v>222</v>
      </c>
      <c r="U546">
        <v>6.4366789489165646E-3</v>
      </c>
      <c r="V546" t="s">
        <v>38</v>
      </c>
    </row>
    <row r="547" spans="9:22" x14ac:dyDescent="0.25">
      <c r="I547" t="s">
        <v>55</v>
      </c>
      <c r="J547" t="s">
        <v>223</v>
      </c>
      <c r="K547">
        <v>0</v>
      </c>
      <c r="L547" t="s">
        <v>38</v>
      </c>
      <c r="N547" t="s">
        <v>56</v>
      </c>
      <c r="O547" t="s">
        <v>223</v>
      </c>
      <c r="P547">
        <v>1.3433201722770184E-2</v>
      </c>
      <c r="Q547" t="s">
        <v>38</v>
      </c>
      <c r="S547" t="s">
        <v>57</v>
      </c>
      <c r="T547" t="s">
        <v>223</v>
      </c>
      <c r="U547">
        <v>1.287986561298725E-2</v>
      </c>
      <c r="V547" t="s">
        <v>38</v>
      </c>
    </row>
    <row r="548" spans="9:22" x14ac:dyDescent="0.25">
      <c r="I548" t="s">
        <v>55</v>
      </c>
      <c r="J548" t="s">
        <v>224</v>
      </c>
      <c r="K548">
        <v>0</v>
      </c>
      <c r="L548" t="s">
        <v>38</v>
      </c>
      <c r="N548" t="s">
        <v>56</v>
      </c>
      <c r="O548" t="s">
        <v>224</v>
      </c>
      <c r="P548">
        <v>2.479075599293144E-3</v>
      </c>
      <c r="Q548" t="s">
        <v>38</v>
      </c>
      <c r="S548" t="s">
        <v>57</v>
      </c>
      <c r="T548" t="s">
        <v>224</v>
      </c>
      <c r="U548">
        <v>2.5366650587922879E-3</v>
      </c>
      <c r="V548" t="s">
        <v>38</v>
      </c>
    </row>
    <row r="549" spans="9:22" x14ac:dyDescent="0.25">
      <c r="I549" t="s">
        <v>55</v>
      </c>
      <c r="J549" t="s">
        <v>225</v>
      </c>
      <c r="K549">
        <v>6.25782451100374E-2</v>
      </c>
      <c r="L549" t="s">
        <v>38</v>
      </c>
      <c r="N549" t="s">
        <v>56</v>
      </c>
      <c r="O549" t="s">
        <v>225</v>
      </c>
      <c r="P549">
        <v>2.0112486837645157E-2</v>
      </c>
      <c r="Q549" t="s">
        <v>38</v>
      </c>
      <c r="S549" t="s">
        <v>57</v>
      </c>
      <c r="T549" t="s">
        <v>225</v>
      </c>
      <c r="U549">
        <v>2.2219522607910939E-2</v>
      </c>
      <c r="V549" t="s">
        <v>38</v>
      </c>
    </row>
    <row r="550" spans="9:22" x14ac:dyDescent="0.25">
      <c r="I550" t="s">
        <v>55</v>
      </c>
      <c r="J550" t="s">
        <v>226</v>
      </c>
      <c r="K550">
        <v>8.1002754149195316E-3</v>
      </c>
      <c r="L550" t="s">
        <v>38</v>
      </c>
      <c r="N550" t="s">
        <v>56</v>
      </c>
      <c r="O550" t="s">
        <v>226</v>
      </c>
      <c r="P550">
        <v>2.3818129473320475E-3</v>
      </c>
      <c r="Q550" t="s">
        <v>38</v>
      </c>
      <c r="S550" t="s">
        <v>57</v>
      </c>
      <c r="T550" t="s">
        <v>226</v>
      </c>
      <c r="U550">
        <v>2.550666567380414E-3</v>
      </c>
      <c r="V550" t="s">
        <v>38</v>
      </c>
    </row>
    <row r="551" spans="9:22" x14ac:dyDescent="0.25">
      <c r="I551" t="s">
        <v>55</v>
      </c>
      <c r="J551" t="s">
        <v>227</v>
      </c>
      <c r="K551">
        <v>1.3397170424069606E-2</v>
      </c>
      <c r="L551" t="s">
        <v>38</v>
      </c>
      <c r="N551" t="s">
        <v>56</v>
      </c>
      <c r="O551" t="s">
        <v>227</v>
      </c>
      <c r="P551">
        <v>7.7071164190158116E-3</v>
      </c>
      <c r="Q551" t="s">
        <v>38</v>
      </c>
      <c r="S551" t="s">
        <v>57</v>
      </c>
      <c r="T551" t="s">
        <v>227</v>
      </c>
      <c r="U551">
        <v>7.8381297461376752E-3</v>
      </c>
      <c r="V551" t="s">
        <v>38</v>
      </c>
    </row>
    <row r="552" spans="9:22" x14ac:dyDescent="0.25">
      <c r="I552" t="s">
        <v>55</v>
      </c>
      <c r="J552" t="s">
        <v>228</v>
      </c>
      <c r="K552">
        <v>0</v>
      </c>
      <c r="L552" t="s">
        <v>38</v>
      </c>
      <c r="N552" t="s">
        <v>56</v>
      </c>
      <c r="O552" t="s">
        <v>228</v>
      </c>
      <c r="P552">
        <v>2.7940281298575449E-3</v>
      </c>
      <c r="Q552" t="s">
        <v>38</v>
      </c>
      <c r="S552" t="s">
        <v>57</v>
      </c>
      <c r="T552" t="s">
        <v>228</v>
      </c>
      <c r="U552">
        <v>2.7042616028759721E-3</v>
      </c>
      <c r="V552" t="s">
        <v>38</v>
      </c>
    </row>
    <row r="553" spans="9:22" x14ac:dyDescent="0.25">
      <c r="I553" t="s">
        <v>55</v>
      </c>
      <c r="J553" t="s">
        <v>229</v>
      </c>
      <c r="K553">
        <v>0</v>
      </c>
      <c r="L553" t="s">
        <v>38</v>
      </c>
      <c r="N553" t="s">
        <v>56</v>
      </c>
      <c r="O553" t="s">
        <v>229</v>
      </c>
      <c r="P553">
        <v>2.9131338279310953E-3</v>
      </c>
      <c r="Q553" t="s">
        <v>38</v>
      </c>
      <c r="S553" t="s">
        <v>57</v>
      </c>
      <c r="T553" t="s">
        <v>229</v>
      </c>
      <c r="U553">
        <v>2.6813195557167874E-3</v>
      </c>
      <c r="V553" t="s">
        <v>38</v>
      </c>
    </row>
    <row r="554" spans="9:22" x14ac:dyDescent="0.25">
      <c r="I554" t="s">
        <v>55</v>
      </c>
      <c r="J554" t="s">
        <v>230</v>
      </c>
      <c r="K554">
        <v>0</v>
      </c>
      <c r="L554" t="s">
        <v>38</v>
      </c>
      <c r="N554" t="s">
        <v>56</v>
      </c>
      <c r="O554" t="s">
        <v>230</v>
      </c>
      <c r="P554">
        <v>8.7392718289667371E-3</v>
      </c>
      <c r="Q554" t="s">
        <v>38</v>
      </c>
      <c r="S554" t="s">
        <v>57</v>
      </c>
      <c r="T554" t="s">
        <v>230</v>
      </c>
      <c r="U554">
        <v>8.1921968543957058E-3</v>
      </c>
      <c r="V554" t="s">
        <v>38</v>
      </c>
    </row>
    <row r="555" spans="9:22" x14ac:dyDescent="0.25">
      <c r="I555" t="s">
        <v>55</v>
      </c>
      <c r="J555" t="s">
        <v>231</v>
      </c>
      <c r="K555">
        <v>0</v>
      </c>
      <c r="L555" t="s">
        <v>38</v>
      </c>
      <c r="N555" t="s">
        <v>56</v>
      </c>
      <c r="O555" t="s">
        <v>231</v>
      </c>
      <c r="P555">
        <v>2.3197197454520629E-2</v>
      </c>
      <c r="Q555" t="s">
        <v>38</v>
      </c>
      <c r="S555" t="s">
        <v>57</v>
      </c>
      <c r="T555" t="s">
        <v>231</v>
      </c>
      <c r="U555">
        <v>2.0846278722156528E-2</v>
      </c>
      <c r="V555" t="s">
        <v>38</v>
      </c>
    </row>
    <row r="556" spans="9:22" x14ac:dyDescent="0.25">
      <c r="I556" t="s">
        <v>55</v>
      </c>
      <c r="J556" t="s">
        <v>232</v>
      </c>
      <c r="K556">
        <v>0</v>
      </c>
      <c r="L556" t="s">
        <v>38</v>
      </c>
      <c r="N556" t="s">
        <v>56</v>
      </c>
      <c r="O556" t="s">
        <v>232</v>
      </c>
      <c r="P556">
        <v>4.6208132829848236E-3</v>
      </c>
      <c r="Q556" t="s">
        <v>38</v>
      </c>
      <c r="S556" t="s">
        <v>57</v>
      </c>
      <c r="T556" t="s">
        <v>232</v>
      </c>
      <c r="U556">
        <v>4.3523782359529556E-3</v>
      </c>
      <c r="V556" t="s">
        <v>38</v>
      </c>
    </row>
    <row r="557" spans="9:22" x14ac:dyDescent="0.25">
      <c r="I557" t="s">
        <v>55</v>
      </c>
      <c r="J557" t="s">
        <v>233</v>
      </c>
      <c r="K557">
        <v>3.4438333681781473E-2</v>
      </c>
      <c r="L557" t="s">
        <v>38</v>
      </c>
      <c r="N557" t="s">
        <v>56</v>
      </c>
      <c r="O557" t="s">
        <v>233</v>
      </c>
      <c r="P557">
        <v>4.1562881139705819E-2</v>
      </c>
      <c r="Q557" t="s">
        <v>38</v>
      </c>
      <c r="S557" t="s">
        <v>57</v>
      </c>
      <c r="T557" t="s">
        <v>233</v>
      </c>
      <c r="U557">
        <v>3.8271207122727621E-2</v>
      </c>
      <c r="V557" t="s">
        <v>38</v>
      </c>
    </row>
    <row r="558" spans="9:22" x14ac:dyDescent="0.25">
      <c r="I558" t="s">
        <v>55</v>
      </c>
      <c r="J558" t="s">
        <v>234</v>
      </c>
      <c r="K558">
        <v>4.2482827806229811E-3</v>
      </c>
      <c r="L558" t="s">
        <v>38</v>
      </c>
      <c r="N558" t="s">
        <v>56</v>
      </c>
      <c r="O558" t="s">
        <v>234</v>
      </c>
      <c r="P558">
        <v>4.2921107836806022E-3</v>
      </c>
      <c r="Q558" t="s">
        <v>38</v>
      </c>
      <c r="S558" t="s">
        <v>57</v>
      </c>
      <c r="T558" t="s">
        <v>234</v>
      </c>
      <c r="U558">
        <v>4.1095198908418507E-3</v>
      </c>
      <c r="V558" t="s">
        <v>38</v>
      </c>
    </row>
    <row r="559" spans="9:22" x14ac:dyDescent="0.25">
      <c r="I559" t="s">
        <v>55</v>
      </c>
      <c r="J559" t="s">
        <v>235</v>
      </c>
      <c r="K559">
        <v>2.7384301295429779E-3</v>
      </c>
      <c r="L559" t="s">
        <v>38</v>
      </c>
      <c r="N559" t="s">
        <v>56</v>
      </c>
      <c r="O559" t="s">
        <v>235</v>
      </c>
      <c r="P559">
        <v>1.3786731217013884E-2</v>
      </c>
      <c r="Q559" t="s">
        <v>38</v>
      </c>
      <c r="S559" t="s">
        <v>57</v>
      </c>
      <c r="T559" t="s">
        <v>235</v>
      </c>
      <c r="U559">
        <v>1.2220829414863006E-2</v>
      </c>
      <c r="V559" t="s">
        <v>38</v>
      </c>
    </row>
    <row r="560" spans="9:22" x14ac:dyDescent="0.25">
      <c r="I560" t="s">
        <v>55</v>
      </c>
      <c r="J560" t="s">
        <v>236</v>
      </c>
      <c r="K560">
        <v>0</v>
      </c>
      <c r="L560" t="s">
        <v>38</v>
      </c>
      <c r="N560" t="s">
        <v>56</v>
      </c>
      <c r="O560" t="s">
        <v>236</v>
      </c>
      <c r="P560">
        <v>4.941853370174343E-3</v>
      </c>
      <c r="Q560" t="s">
        <v>38</v>
      </c>
      <c r="S560" t="s">
        <v>57</v>
      </c>
      <c r="T560" t="s">
        <v>236</v>
      </c>
      <c r="U560">
        <v>4.1176431420182616E-3</v>
      </c>
      <c r="V560" t="s">
        <v>38</v>
      </c>
    </row>
    <row r="561" spans="9:22" x14ac:dyDescent="0.25">
      <c r="I561" t="s">
        <v>55</v>
      </c>
      <c r="J561" t="s">
        <v>237</v>
      </c>
      <c r="K561">
        <v>0</v>
      </c>
      <c r="L561" t="s">
        <v>38</v>
      </c>
      <c r="N561" t="s">
        <v>56</v>
      </c>
      <c r="O561" t="s">
        <v>237</v>
      </c>
      <c r="P561">
        <v>5.0820830378354321E-3</v>
      </c>
      <c r="Q561" t="s">
        <v>38</v>
      </c>
      <c r="S561" t="s">
        <v>57</v>
      </c>
      <c r="T561" t="s">
        <v>237</v>
      </c>
      <c r="U561">
        <v>4.1922010906095446E-3</v>
      </c>
      <c r="V561" t="s">
        <v>38</v>
      </c>
    </row>
    <row r="562" spans="9:22" x14ac:dyDescent="0.25">
      <c r="I562" t="s">
        <v>55</v>
      </c>
      <c r="J562" t="s">
        <v>238</v>
      </c>
      <c r="K562">
        <v>0</v>
      </c>
      <c r="L562" t="s">
        <v>38</v>
      </c>
      <c r="N562" t="s">
        <v>56</v>
      </c>
      <c r="O562" t="s">
        <v>238</v>
      </c>
      <c r="P562">
        <v>1.5283697715512617E-2</v>
      </c>
      <c r="Q562" t="s">
        <v>38</v>
      </c>
      <c r="S562" t="s">
        <v>57</v>
      </c>
      <c r="T562" t="s">
        <v>238</v>
      </c>
      <c r="U562">
        <v>1.2895207462758608E-2</v>
      </c>
      <c r="V562" t="s">
        <v>38</v>
      </c>
    </row>
    <row r="563" spans="9:22" x14ac:dyDescent="0.25">
      <c r="I563" t="s">
        <v>55</v>
      </c>
      <c r="J563" t="s">
        <v>239</v>
      </c>
      <c r="K563">
        <v>0</v>
      </c>
      <c r="L563" t="s">
        <v>38</v>
      </c>
      <c r="N563" t="s">
        <v>56</v>
      </c>
      <c r="O563" t="s">
        <v>239</v>
      </c>
      <c r="P563">
        <v>2.6885584847470941E-2</v>
      </c>
      <c r="Q563" t="s">
        <v>38</v>
      </c>
      <c r="S563" t="s">
        <v>57</v>
      </c>
      <c r="T563" t="s">
        <v>239</v>
      </c>
      <c r="U563">
        <v>2.3180390298082557E-2</v>
      </c>
      <c r="V563" t="s">
        <v>38</v>
      </c>
    </row>
    <row r="564" spans="9:22" x14ac:dyDescent="0.25">
      <c r="I564" t="s">
        <v>55</v>
      </c>
      <c r="J564" t="s">
        <v>240</v>
      </c>
      <c r="K564">
        <v>0</v>
      </c>
      <c r="L564" t="s">
        <v>38</v>
      </c>
      <c r="N564" t="s">
        <v>56</v>
      </c>
      <c r="O564" t="s">
        <v>240</v>
      </c>
      <c r="P564">
        <v>5.2917513760527089E-3</v>
      </c>
      <c r="Q564" t="s">
        <v>38</v>
      </c>
      <c r="S564" t="s">
        <v>57</v>
      </c>
      <c r="T564" t="s">
        <v>240</v>
      </c>
      <c r="U564">
        <v>4.4129252731517224E-3</v>
      </c>
      <c r="V564" t="s">
        <v>38</v>
      </c>
    </row>
    <row r="565" spans="9:22" x14ac:dyDescent="0.25">
      <c r="I565" t="s">
        <v>55</v>
      </c>
      <c r="J565" t="s">
        <v>241</v>
      </c>
      <c r="K565">
        <v>1.7439154093053744E-2</v>
      </c>
      <c r="L565" t="s">
        <v>38</v>
      </c>
      <c r="N565" t="s">
        <v>56</v>
      </c>
      <c r="O565" t="s">
        <v>241</v>
      </c>
      <c r="P565">
        <v>4.4261272964976478E-2</v>
      </c>
      <c r="Q565" t="s">
        <v>38</v>
      </c>
      <c r="S565" t="s">
        <v>57</v>
      </c>
      <c r="T565" t="s">
        <v>241</v>
      </c>
      <c r="U565">
        <v>4.0478847560857054E-2</v>
      </c>
      <c r="V565" t="s">
        <v>38</v>
      </c>
    </row>
    <row r="566" spans="9:22" x14ac:dyDescent="0.25">
      <c r="I566" t="s">
        <v>55</v>
      </c>
      <c r="J566" t="s">
        <v>242</v>
      </c>
      <c r="K566">
        <v>1.1331282731649793E-3</v>
      </c>
      <c r="L566" t="s">
        <v>38</v>
      </c>
      <c r="N566" t="s">
        <v>56</v>
      </c>
      <c r="O566" t="s">
        <v>242</v>
      </c>
      <c r="P566">
        <v>4.782030465497542E-3</v>
      </c>
      <c r="Q566" t="s">
        <v>38</v>
      </c>
      <c r="S566" t="s">
        <v>57</v>
      </c>
      <c r="T566" t="s">
        <v>242</v>
      </c>
      <c r="U566">
        <v>4.679002473013066E-3</v>
      </c>
      <c r="V566" t="s">
        <v>38</v>
      </c>
    </row>
    <row r="567" spans="9:22" x14ac:dyDescent="0.25">
      <c r="I567" t="s">
        <v>55</v>
      </c>
      <c r="J567" t="s">
        <v>243</v>
      </c>
      <c r="K567">
        <v>0</v>
      </c>
      <c r="L567" t="s">
        <v>38</v>
      </c>
      <c r="N567" t="s">
        <v>56</v>
      </c>
      <c r="O567" t="s">
        <v>243</v>
      </c>
      <c r="P567">
        <v>1.5059365875877561E-2</v>
      </c>
      <c r="Q567" t="s">
        <v>38</v>
      </c>
      <c r="S567" t="s">
        <v>57</v>
      </c>
      <c r="T567" t="s">
        <v>243</v>
      </c>
      <c r="U567">
        <v>1.4389229251344629E-2</v>
      </c>
      <c r="V567" t="s">
        <v>38</v>
      </c>
    </row>
    <row r="568" spans="9:22" x14ac:dyDescent="0.25">
      <c r="I568" t="s">
        <v>55</v>
      </c>
      <c r="J568" t="s">
        <v>244</v>
      </c>
      <c r="K568">
        <v>0</v>
      </c>
      <c r="L568" t="s">
        <v>38</v>
      </c>
      <c r="N568" t="s">
        <v>56</v>
      </c>
      <c r="O568" t="s">
        <v>244</v>
      </c>
      <c r="P568">
        <v>5.2185701767976378E-3</v>
      </c>
      <c r="Q568" t="s">
        <v>38</v>
      </c>
      <c r="S568" t="s">
        <v>57</v>
      </c>
      <c r="T568" t="s">
        <v>244</v>
      </c>
      <c r="U568">
        <v>4.8941626179799603E-3</v>
      </c>
      <c r="V568" t="s">
        <v>38</v>
      </c>
    </row>
    <row r="569" spans="9:22" x14ac:dyDescent="0.25">
      <c r="I569" t="s">
        <v>55</v>
      </c>
      <c r="J569" t="s">
        <v>245</v>
      </c>
      <c r="K569">
        <v>0</v>
      </c>
      <c r="L569" t="s">
        <v>38</v>
      </c>
      <c r="N569" t="s">
        <v>56</v>
      </c>
      <c r="O569" t="s">
        <v>245</v>
      </c>
      <c r="P569">
        <v>5.343944005798293E-3</v>
      </c>
      <c r="Q569" t="s">
        <v>38</v>
      </c>
      <c r="S569" t="s">
        <v>57</v>
      </c>
      <c r="T569" t="s">
        <v>245</v>
      </c>
      <c r="U569">
        <v>4.9191659361007859E-3</v>
      </c>
      <c r="V569" t="s">
        <v>38</v>
      </c>
    </row>
    <row r="570" spans="9:22" x14ac:dyDescent="0.25">
      <c r="I570" t="s">
        <v>55</v>
      </c>
      <c r="J570" t="s">
        <v>246</v>
      </c>
      <c r="K570">
        <v>0</v>
      </c>
      <c r="L570" t="s">
        <v>38</v>
      </c>
      <c r="N570" t="s">
        <v>56</v>
      </c>
      <c r="O570" t="s">
        <v>246</v>
      </c>
      <c r="P570">
        <v>1.6584488510825147E-2</v>
      </c>
      <c r="Q570" t="s">
        <v>38</v>
      </c>
      <c r="S570" t="s">
        <v>57</v>
      </c>
      <c r="T570" t="s">
        <v>246</v>
      </c>
      <c r="U570">
        <v>1.4672130545679656E-2</v>
      </c>
      <c r="V570" t="s">
        <v>38</v>
      </c>
    </row>
    <row r="571" spans="9:22" x14ac:dyDescent="0.25">
      <c r="I571" t="s">
        <v>55</v>
      </c>
      <c r="J571" t="s">
        <v>247</v>
      </c>
      <c r="K571">
        <v>0</v>
      </c>
      <c r="L571" t="s">
        <v>38</v>
      </c>
      <c r="N571" t="s">
        <v>56</v>
      </c>
      <c r="O571" t="s">
        <v>247</v>
      </c>
      <c r="P571">
        <v>3.1269162323995195E-2</v>
      </c>
      <c r="Q571" t="s">
        <v>38</v>
      </c>
      <c r="S571" t="s">
        <v>57</v>
      </c>
      <c r="T571" t="s">
        <v>247</v>
      </c>
      <c r="U571">
        <v>2.8291664203596804E-2</v>
      </c>
      <c r="V571" t="s">
        <v>38</v>
      </c>
    </row>
    <row r="572" spans="9:22" x14ac:dyDescent="0.25">
      <c r="I572" t="s">
        <v>55</v>
      </c>
      <c r="J572" t="s">
        <v>248</v>
      </c>
      <c r="K572">
        <v>0</v>
      </c>
      <c r="L572" t="s">
        <v>38</v>
      </c>
      <c r="N572" t="s">
        <v>56</v>
      </c>
      <c r="O572" t="s">
        <v>248</v>
      </c>
      <c r="P572">
        <v>6.2278618559041873E-3</v>
      </c>
      <c r="Q572" t="s">
        <v>38</v>
      </c>
      <c r="S572" t="s">
        <v>57</v>
      </c>
      <c r="T572" t="s">
        <v>248</v>
      </c>
      <c r="U572">
        <v>5.682903000241513E-3</v>
      </c>
      <c r="V572" t="s">
        <v>38</v>
      </c>
    </row>
    <row r="573" spans="9:22" x14ac:dyDescent="0.25">
      <c r="I573" t="s">
        <v>55</v>
      </c>
      <c r="J573" t="s">
        <v>249</v>
      </c>
      <c r="K573">
        <v>6.7632449845545645E-3</v>
      </c>
      <c r="L573" t="s">
        <v>38</v>
      </c>
      <c r="N573" t="s">
        <v>56</v>
      </c>
      <c r="O573" t="s">
        <v>249</v>
      </c>
      <c r="P573">
        <v>5.7872070259225659E-2</v>
      </c>
      <c r="Q573" t="s">
        <v>38</v>
      </c>
      <c r="S573" t="s">
        <v>57</v>
      </c>
      <c r="T573" t="s">
        <v>249</v>
      </c>
      <c r="U573">
        <v>5.2624153855861722E-2</v>
      </c>
      <c r="V573" t="s">
        <v>38</v>
      </c>
    </row>
    <row r="574" spans="9:22" x14ac:dyDescent="0.25">
      <c r="I574" t="s">
        <v>55</v>
      </c>
      <c r="J574" t="s">
        <v>250</v>
      </c>
      <c r="K574">
        <v>0</v>
      </c>
      <c r="L574" t="s">
        <v>38</v>
      </c>
      <c r="N574" t="s">
        <v>56</v>
      </c>
      <c r="O574" t="s">
        <v>250</v>
      </c>
      <c r="P574">
        <v>6.3070939044660573E-3</v>
      </c>
      <c r="Q574" t="s">
        <v>38</v>
      </c>
      <c r="S574" t="s">
        <v>57</v>
      </c>
      <c r="T574" t="s">
        <v>250</v>
      </c>
      <c r="U574">
        <v>5.8119663312592457E-3</v>
      </c>
      <c r="V574" t="s">
        <v>38</v>
      </c>
    </row>
    <row r="575" spans="9:22" x14ac:dyDescent="0.25">
      <c r="I575" t="s">
        <v>55</v>
      </c>
      <c r="J575" t="s">
        <v>251</v>
      </c>
      <c r="K575">
        <v>0</v>
      </c>
      <c r="L575" t="s">
        <v>38</v>
      </c>
      <c r="N575" t="s">
        <v>56</v>
      </c>
      <c r="O575" t="s">
        <v>251</v>
      </c>
      <c r="P575">
        <v>1.9175269789822012E-2</v>
      </c>
      <c r="Q575" t="s">
        <v>38</v>
      </c>
      <c r="S575" t="s">
        <v>57</v>
      </c>
      <c r="T575" t="s">
        <v>251</v>
      </c>
      <c r="U575">
        <v>1.7761730205438205E-2</v>
      </c>
      <c r="V575" t="s">
        <v>38</v>
      </c>
    </row>
    <row r="576" spans="9:22" x14ac:dyDescent="0.25">
      <c r="I576" t="s">
        <v>55</v>
      </c>
      <c r="J576" t="s">
        <v>252</v>
      </c>
      <c r="K576">
        <v>0</v>
      </c>
      <c r="L576" t="s">
        <v>38</v>
      </c>
      <c r="N576" t="s">
        <v>56</v>
      </c>
      <c r="O576" t="s">
        <v>252</v>
      </c>
      <c r="P576">
        <v>6.4692033243198823E-3</v>
      </c>
      <c r="Q576" t="s">
        <v>38</v>
      </c>
      <c r="S576" t="s">
        <v>57</v>
      </c>
      <c r="T576" t="s">
        <v>252</v>
      </c>
      <c r="U576">
        <v>5.9900597319450678E-3</v>
      </c>
      <c r="V576" t="s">
        <v>38</v>
      </c>
    </row>
    <row r="577" spans="9:22" x14ac:dyDescent="0.25">
      <c r="I577" t="s">
        <v>55</v>
      </c>
      <c r="J577" t="s">
        <v>253</v>
      </c>
      <c r="K577">
        <v>0</v>
      </c>
      <c r="L577" t="s">
        <v>38</v>
      </c>
      <c r="N577" t="s">
        <v>56</v>
      </c>
      <c r="O577" t="s">
        <v>253</v>
      </c>
      <c r="P577">
        <v>6.6166344045501379E-3</v>
      </c>
      <c r="Q577" t="s">
        <v>38</v>
      </c>
      <c r="S577" t="s">
        <v>57</v>
      </c>
      <c r="T577" t="s">
        <v>253</v>
      </c>
      <c r="U577">
        <v>5.9734938710151375E-3</v>
      </c>
      <c r="V577" t="s">
        <v>38</v>
      </c>
    </row>
    <row r="578" spans="9:22" x14ac:dyDescent="0.25">
      <c r="I578" t="s">
        <v>55</v>
      </c>
      <c r="J578" t="s">
        <v>254</v>
      </c>
      <c r="K578">
        <v>0</v>
      </c>
      <c r="L578" t="s">
        <v>38</v>
      </c>
      <c r="N578" t="s">
        <v>56</v>
      </c>
      <c r="O578" t="s">
        <v>254</v>
      </c>
      <c r="P578">
        <v>1.9858350720658828E-2</v>
      </c>
      <c r="Q578" t="s">
        <v>38</v>
      </c>
      <c r="S578" t="s">
        <v>57</v>
      </c>
      <c r="T578" t="s">
        <v>254</v>
      </c>
      <c r="U578">
        <v>1.7584419553371915E-2</v>
      </c>
      <c r="V578" t="s">
        <v>38</v>
      </c>
    </row>
    <row r="579" spans="9:22" x14ac:dyDescent="0.25">
      <c r="I579" t="s">
        <v>58</v>
      </c>
      <c r="J579" t="s">
        <v>159</v>
      </c>
      <c r="K579">
        <v>0</v>
      </c>
      <c r="L579" t="s">
        <v>38</v>
      </c>
      <c r="N579" t="s">
        <v>59</v>
      </c>
      <c r="O579" t="s">
        <v>159</v>
      </c>
      <c r="P579">
        <v>1.9146305876652191E-2</v>
      </c>
      <c r="Q579" t="s">
        <v>38</v>
      </c>
      <c r="S579" t="s">
        <v>60</v>
      </c>
      <c r="T579" t="s">
        <v>159</v>
      </c>
      <c r="U579">
        <v>1.942094682940676E-2</v>
      </c>
      <c r="V579" t="s">
        <v>38</v>
      </c>
    </row>
    <row r="580" spans="9:22" x14ac:dyDescent="0.25">
      <c r="I580" t="s">
        <v>58</v>
      </c>
      <c r="J580" t="s">
        <v>160</v>
      </c>
      <c r="K580">
        <v>0</v>
      </c>
      <c r="L580" t="s">
        <v>38</v>
      </c>
      <c r="N580" t="s">
        <v>59</v>
      </c>
      <c r="O580" t="s">
        <v>160</v>
      </c>
      <c r="P580">
        <v>4.151055891340549E-3</v>
      </c>
      <c r="Q580" t="s">
        <v>38</v>
      </c>
      <c r="S580" t="s">
        <v>60</v>
      </c>
      <c r="T580" t="s">
        <v>160</v>
      </c>
      <c r="U580">
        <v>4.032320213779101E-3</v>
      </c>
      <c r="V580" t="s">
        <v>38</v>
      </c>
    </row>
    <row r="581" spans="9:22" x14ac:dyDescent="0.25">
      <c r="I581" t="s">
        <v>58</v>
      </c>
      <c r="J581" t="s">
        <v>161</v>
      </c>
      <c r="K581">
        <v>1.0211925970955783E-2</v>
      </c>
      <c r="L581" t="s">
        <v>38</v>
      </c>
      <c r="N581" t="s">
        <v>59</v>
      </c>
      <c r="O581" t="s">
        <v>161</v>
      </c>
      <c r="P581">
        <v>3.8774439694484936E-2</v>
      </c>
      <c r="Q581" t="s">
        <v>38</v>
      </c>
      <c r="S581" t="s">
        <v>60</v>
      </c>
      <c r="T581" t="s">
        <v>161</v>
      </c>
      <c r="U581">
        <v>3.7651636379611199E-2</v>
      </c>
      <c r="V581" t="s">
        <v>38</v>
      </c>
    </row>
    <row r="582" spans="9:22" x14ac:dyDescent="0.25">
      <c r="I582" t="s">
        <v>58</v>
      </c>
      <c r="J582" t="s">
        <v>162</v>
      </c>
      <c r="K582">
        <v>8.989671685341096E-4</v>
      </c>
      <c r="L582" t="s">
        <v>38</v>
      </c>
      <c r="N582" t="s">
        <v>59</v>
      </c>
      <c r="O582" t="s">
        <v>162</v>
      </c>
      <c r="P582">
        <v>4.2511693212024682E-3</v>
      </c>
      <c r="Q582" t="s">
        <v>38</v>
      </c>
      <c r="S582" t="s">
        <v>60</v>
      </c>
      <c r="T582" t="s">
        <v>162</v>
      </c>
      <c r="U582">
        <v>4.1174133915968057E-3</v>
      </c>
      <c r="V582" t="s">
        <v>38</v>
      </c>
    </row>
    <row r="583" spans="9:22" x14ac:dyDescent="0.25">
      <c r="I583" t="s">
        <v>58</v>
      </c>
      <c r="J583" t="s">
        <v>163</v>
      </c>
      <c r="K583">
        <v>0</v>
      </c>
      <c r="L583" t="s">
        <v>38</v>
      </c>
      <c r="N583" t="s">
        <v>59</v>
      </c>
      <c r="O583" t="s">
        <v>163</v>
      </c>
      <c r="P583">
        <v>1.285657117197824E-2</v>
      </c>
      <c r="Q583" t="s">
        <v>38</v>
      </c>
      <c r="S583" t="s">
        <v>60</v>
      </c>
      <c r="T583" t="s">
        <v>163</v>
      </c>
      <c r="U583">
        <v>1.1707591732727507E-2</v>
      </c>
      <c r="V583" t="s">
        <v>38</v>
      </c>
    </row>
    <row r="584" spans="9:22" x14ac:dyDescent="0.25">
      <c r="I584" t="s">
        <v>58</v>
      </c>
      <c r="J584" t="s">
        <v>164</v>
      </c>
      <c r="K584">
        <v>0</v>
      </c>
      <c r="L584" t="s">
        <v>38</v>
      </c>
      <c r="N584" t="s">
        <v>59</v>
      </c>
      <c r="O584" t="s">
        <v>164</v>
      </c>
      <c r="P584">
        <v>4.2459298782076826E-3</v>
      </c>
      <c r="Q584" t="s">
        <v>38</v>
      </c>
      <c r="S584" t="s">
        <v>60</v>
      </c>
      <c r="T584" t="s">
        <v>164</v>
      </c>
      <c r="U584">
        <v>3.7330273124027238E-3</v>
      </c>
      <c r="V584" t="s">
        <v>38</v>
      </c>
    </row>
    <row r="585" spans="9:22" x14ac:dyDescent="0.25">
      <c r="I585" t="s">
        <v>58</v>
      </c>
      <c r="J585" t="s">
        <v>165</v>
      </c>
      <c r="K585">
        <v>0</v>
      </c>
      <c r="L585" t="s">
        <v>38</v>
      </c>
      <c r="N585" t="s">
        <v>59</v>
      </c>
      <c r="O585" t="s">
        <v>165</v>
      </c>
      <c r="P585">
        <v>4.1134552444241808E-3</v>
      </c>
      <c r="Q585" t="s">
        <v>38</v>
      </c>
      <c r="S585" t="s">
        <v>60</v>
      </c>
      <c r="T585" t="s">
        <v>165</v>
      </c>
      <c r="U585">
        <v>3.6892753805289886E-3</v>
      </c>
      <c r="V585" t="s">
        <v>38</v>
      </c>
    </row>
    <row r="586" spans="9:22" x14ac:dyDescent="0.25">
      <c r="I586" t="s">
        <v>58</v>
      </c>
      <c r="J586" t="s">
        <v>166</v>
      </c>
      <c r="K586">
        <v>0</v>
      </c>
      <c r="L586" t="s">
        <v>38</v>
      </c>
      <c r="N586" t="s">
        <v>59</v>
      </c>
      <c r="O586" t="s">
        <v>166</v>
      </c>
      <c r="P586">
        <v>1.1291538233077051E-2</v>
      </c>
      <c r="Q586" t="s">
        <v>38</v>
      </c>
      <c r="S586" t="s">
        <v>60</v>
      </c>
      <c r="T586" t="s">
        <v>166</v>
      </c>
      <c r="U586">
        <v>1.1130035817207654E-2</v>
      </c>
      <c r="V586" t="s">
        <v>38</v>
      </c>
    </row>
    <row r="587" spans="9:22" x14ac:dyDescent="0.25">
      <c r="I587" t="s">
        <v>58</v>
      </c>
      <c r="J587" t="s">
        <v>167</v>
      </c>
      <c r="K587">
        <v>0</v>
      </c>
      <c r="L587" t="s">
        <v>38</v>
      </c>
      <c r="N587" t="s">
        <v>59</v>
      </c>
      <c r="O587" t="s">
        <v>167</v>
      </c>
      <c r="P587">
        <v>1.1309322463080664E-2</v>
      </c>
      <c r="Q587" t="s">
        <v>38</v>
      </c>
      <c r="S587" t="s">
        <v>60</v>
      </c>
      <c r="T587" t="s">
        <v>167</v>
      </c>
      <c r="U587">
        <v>1.1392317081150268E-2</v>
      </c>
      <c r="V587" t="s">
        <v>38</v>
      </c>
    </row>
    <row r="588" spans="9:22" x14ac:dyDescent="0.25">
      <c r="I588" t="s">
        <v>58</v>
      </c>
      <c r="J588" t="s">
        <v>168</v>
      </c>
      <c r="K588">
        <v>0</v>
      </c>
      <c r="L588" t="s">
        <v>38</v>
      </c>
      <c r="N588" t="s">
        <v>59</v>
      </c>
      <c r="O588" t="s">
        <v>168</v>
      </c>
      <c r="P588">
        <v>2.6735452990040848E-3</v>
      </c>
      <c r="Q588" t="s">
        <v>38</v>
      </c>
      <c r="S588" t="s">
        <v>60</v>
      </c>
      <c r="T588" t="s">
        <v>168</v>
      </c>
      <c r="U588">
        <v>2.4804727721418566E-3</v>
      </c>
      <c r="V588" t="s">
        <v>38</v>
      </c>
    </row>
    <row r="589" spans="9:22" x14ac:dyDescent="0.25">
      <c r="I589" t="s">
        <v>58</v>
      </c>
      <c r="J589" t="s">
        <v>169</v>
      </c>
      <c r="K589">
        <v>2.7531888580969457E-2</v>
      </c>
      <c r="L589" t="s">
        <v>38</v>
      </c>
      <c r="N589" t="s">
        <v>59</v>
      </c>
      <c r="O589" t="s">
        <v>169</v>
      </c>
      <c r="P589">
        <v>2.3687467815183112E-2</v>
      </c>
      <c r="Q589" t="s">
        <v>38</v>
      </c>
      <c r="S589" t="s">
        <v>60</v>
      </c>
      <c r="T589" t="s">
        <v>169</v>
      </c>
      <c r="U589">
        <v>2.2770027964139575E-2</v>
      </c>
      <c r="V589" t="s">
        <v>38</v>
      </c>
    </row>
    <row r="590" spans="9:22" x14ac:dyDescent="0.25">
      <c r="I590" t="s">
        <v>58</v>
      </c>
      <c r="J590" t="s">
        <v>170</v>
      </c>
      <c r="K590">
        <v>3.4703501128855313E-3</v>
      </c>
      <c r="L590" t="s">
        <v>38</v>
      </c>
      <c r="N590" t="s">
        <v>59</v>
      </c>
      <c r="O590" t="s">
        <v>170</v>
      </c>
      <c r="P590">
        <v>2.1937543640147754E-3</v>
      </c>
      <c r="Q590" t="s">
        <v>38</v>
      </c>
      <c r="S590" t="s">
        <v>60</v>
      </c>
      <c r="T590" t="s">
        <v>170</v>
      </c>
      <c r="U590">
        <v>2.6083625790883002E-3</v>
      </c>
      <c r="V590" t="s">
        <v>38</v>
      </c>
    </row>
    <row r="591" spans="9:22" x14ac:dyDescent="0.25">
      <c r="I591" t="s">
        <v>58</v>
      </c>
      <c r="J591" t="s">
        <v>171</v>
      </c>
      <c r="K591">
        <v>1.8614318381114355E-3</v>
      </c>
      <c r="L591" t="s">
        <v>38</v>
      </c>
      <c r="N591" t="s">
        <v>59</v>
      </c>
      <c r="O591" t="s">
        <v>171</v>
      </c>
      <c r="P591">
        <v>7.1811938358270133E-3</v>
      </c>
      <c r="Q591" t="s">
        <v>38</v>
      </c>
      <c r="S591" t="s">
        <v>60</v>
      </c>
      <c r="T591" t="s">
        <v>171</v>
      </c>
      <c r="U591">
        <v>7.8132223067409971E-3</v>
      </c>
      <c r="V591" t="s">
        <v>38</v>
      </c>
    </row>
    <row r="592" spans="9:22" x14ac:dyDescent="0.25">
      <c r="I592" t="s">
        <v>58</v>
      </c>
      <c r="J592" t="s">
        <v>172</v>
      </c>
      <c r="K592">
        <v>0</v>
      </c>
      <c r="L592" t="s">
        <v>38</v>
      </c>
      <c r="N592" t="s">
        <v>59</v>
      </c>
      <c r="O592" t="s">
        <v>172</v>
      </c>
      <c r="P592">
        <v>2.4450259904881767E-3</v>
      </c>
      <c r="Q592" t="s">
        <v>38</v>
      </c>
      <c r="S592" t="s">
        <v>60</v>
      </c>
      <c r="T592" t="s">
        <v>172</v>
      </c>
      <c r="U592">
        <v>2.5236763228350719E-3</v>
      </c>
      <c r="V592" t="s">
        <v>38</v>
      </c>
    </row>
    <row r="593" spans="9:22" x14ac:dyDescent="0.25">
      <c r="I593" t="s">
        <v>58</v>
      </c>
      <c r="J593" t="s">
        <v>173</v>
      </c>
      <c r="K593">
        <v>0</v>
      </c>
      <c r="L593" t="s">
        <v>38</v>
      </c>
      <c r="N593" t="s">
        <v>59</v>
      </c>
      <c r="O593" t="s">
        <v>173</v>
      </c>
      <c r="P593">
        <v>2.3888738908957744E-3</v>
      </c>
      <c r="Q593" t="s">
        <v>38</v>
      </c>
      <c r="S593" t="s">
        <v>60</v>
      </c>
      <c r="T593" t="s">
        <v>173</v>
      </c>
      <c r="U593">
        <v>2.4435121038051382E-3</v>
      </c>
      <c r="V593" t="s">
        <v>38</v>
      </c>
    </row>
    <row r="594" spans="9:22" x14ac:dyDescent="0.25">
      <c r="I594" t="s">
        <v>58</v>
      </c>
      <c r="J594" t="s">
        <v>174</v>
      </c>
      <c r="K594">
        <v>0</v>
      </c>
      <c r="L594" t="s">
        <v>38</v>
      </c>
      <c r="N594" t="s">
        <v>59</v>
      </c>
      <c r="O594" t="s">
        <v>174</v>
      </c>
      <c r="P594">
        <v>6.8751771074640885E-3</v>
      </c>
      <c r="Q594" t="s">
        <v>38</v>
      </c>
      <c r="S594" t="s">
        <v>60</v>
      </c>
      <c r="T594" t="s">
        <v>174</v>
      </c>
      <c r="U594">
        <v>6.863222206268743E-3</v>
      </c>
      <c r="V594" t="s">
        <v>38</v>
      </c>
    </row>
    <row r="595" spans="9:22" x14ac:dyDescent="0.25">
      <c r="I595" t="s">
        <v>58</v>
      </c>
      <c r="J595" t="s">
        <v>175</v>
      </c>
      <c r="K595">
        <v>0</v>
      </c>
      <c r="L595" t="s">
        <v>38</v>
      </c>
      <c r="N595" t="s">
        <v>59</v>
      </c>
      <c r="O595" t="s">
        <v>175</v>
      </c>
      <c r="P595">
        <v>1.7967216226703324E-2</v>
      </c>
      <c r="Q595" t="s">
        <v>38</v>
      </c>
      <c r="S595" t="s">
        <v>60</v>
      </c>
      <c r="T595" t="s">
        <v>175</v>
      </c>
      <c r="U595">
        <v>1.382939225460879E-2</v>
      </c>
      <c r="V595" t="s">
        <v>38</v>
      </c>
    </row>
    <row r="596" spans="9:22" x14ac:dyDescent="0.25">
      <c r="I596" t="s">
        <v>58</v>
      </c>
      <c r="J596" t="s">
        <v>176</v>
      </c>
      <c r="K596">
        <v>0</v>
      </c>
      <c r="L596" t="s">
        <v>38</v>
      </c>
      <c r="N596" t="s">
        <v>59</v>
      </c>
      <c r="O596" t="s">
        <v>176</v>
      </c>
      <c r="P596">
        <v>3.421226456601601E-3</v>
      </c>
      <c r="Q596" t="s">
        <v>38</v>
      </c>
      <c r="S596" t="s">
        <v>60</v>
      </c>
      <c r="T596" t="s">
        <v>176</v>
      </c>
      <c r="U596">
        <v>2.6530632811010003E-3</v>
      </c>
      <c r="V596" t="s">
        <v>38</v>
      </c>
    </row>
    <row r="597" spans="9:22" x14ac:dyDescent="0.25">
      <c r="I597" t="s">
        <v>58</v>
      </c>
      <c r="J597" t="s">
        <v>177</v>
      </c>
      <c r="K597">
        <v>9.2588714051087193E-2</v>
      </c>
      <c r="L597" t="s">
        <v>38</v>
      </c>
      <c r="N597" t="s">
        <v>59</v>
      </c>
      <c r="O597" t="s">
        <v>177</v>
      </c>
      <c r="P597">
        <v>2.5726839567742653E-2</v>
      </c>
      <c r="Q597" t="s">
        <v>38</v>
      </c>
      <c r="S597" t="s">
        <v>60</v>
      </c>
      <c r="T597" t="s">
        <v>177</v>
      </c>
      <c r="U597">
        <v>2.7861802973338172E-2</v>
      </c>
      <c r="V597" t="s">
        <v>38</v>
      </c>
    </row>
    <row r="598" spans="9:22" x14ac:dyDescent="0.25">
      <c r="I598" t="s">
        <v>58</v>
      </c>
      <c r="J598" t="s">
        <v>178</v>
      </c>
      <c r="K598">
        <v>1.0317199156925852E-2</v>
      </c>
      <c r="L598" t="s">
        <v>38</v>
      </c>
      <c r="N598" t="s">
        <v>59</v>
      </c>
      <c r="O598" t="s">
        <v>178</v>
      </c>
      <c r="P598">
        <v>3.3825999737777121E-3</v>
      </c>
      <c r="Q598" t="s">
        <v>38</v>
      </c>
      <c r="S598" t="s">
        <v>60</v>
      </c>
      <c r="T598" t="s">
        <v>178</v>
      </c>
      <c r="U598">
        <v>3.656311106915321E-3</v>
      </c>
      <c r="V598" t="s">
        <v>38</v>
      </c>
    </row>
    <row r="599" spans="9:22" x14ac:dyDescent="0.25">
      <c r="I599" t="s">
        <v>58</v>
      </c>
      <c r="J599" t="s">
        <v>179</v>
      </c>
      <c r="K599">
        <v>1.4653990761039412E-2</v>
      </c>
      <c r="L599" t="s">
        <v>38</v>
      </c>
      <c r="N599" t="s">
        <v>59</v>
      </c>
      <c r="O599" t="s">
        <v>179</v>
      </c>
      <c r="P599">
        <v>1.1801411990884626E-2</v>
      </c>
      <c r="Q599" t="s">
        <v>38</v>
      </c>
      <c r="S599" t="s">
        <v>60</v>
      </c>
      <c r="T599" t="s">
        <v>179</v>
      </c>
      <c r="U599">
        <v>1.118195248073359E-2</v>
      </c>
      <c r="V599" t="s">
        <v>38</v>
      </c>
    </row>
    <row r="600" spans="9:22" x14ac:dyDescent="0.25">
      <c r="I600" t="s">
        <v>58</v>
      </c>
      <c r="J600" t="s">
        <v>180</v>
      </c>
      <c r="K600">
        <v>0</v>
      </c>
      <c r="L600" t="s">
        <v>38</v>
      </c>
      <c r="N600" t="s">
        <v>59</v>
      </c>
      <c r="O600" t="s">
        <v>180</v>
      </c>
      <c r="P600">
        <v>4.636870296117558E-3</v>
      </c>
      <c r="Q600" t="s">
        <v>38</v>
      </c>
      <c r="S600" t="s">
        <v>60</v>
      </c>
      <c r="T600" t="s">
        <v>180</v>
      </c>
      <c r="U600">
        <v>3.5843225520221862E-3</v>
      </c>
      <c r="V600" t="s">
        <v>38</v>
      </c>
    </row>
    <row r="601" spans="9:22" x14ac:dyDescent="0.25">
      <c r="I601" t="s">
        <v>58</v>
      </c>
      <c r="J601" t="s">
        <v>181</v>
      </c>
      <c r="K601">
        <v>0</v>
      </c>
      <c r="L601" t="s">
        <v>38</v>
      </c>
      <c r="N601" t="s">
        <v>59</v>
      </c>
      <c r="O601" t="s">
        <v>181</v>
      </c>
      <c r="P601">
        <v>4.7014773333181473E-3</v>
      </c>
      <c r="Q601" t="s">
        <v>38</v>
      </c>
      <c r="S601" t="s">
        <v>60</v>
      </c>
      <c r="T601" t="s">
        <v>181</v>
      </c>
      <c r="U601">
        <v>3.4241932608547535E-3</v>
      </c>
      <c r="V601" t="s">
        <v>38</v>
      </c>
    </row>
    <row r="602" spans="9:22" x14ac:dyDescent="0.25">
      <c r="I602" t="s">
        <v>58</v>
      </c>
      <c r="J602" t="s">
        <v>182</v>
      </c>
      <c r="K602">
        <v>0</v>
      </c>
      <c r="L602" t="s">
        <v>38</v>
      </c>
      <c r="N602" t="s">
        <v>59</v>
      </c>
      <c r="O602" t="s">
        <v>182</v>
      </c>
      <c r="P602">
        <v>1.2919812259605168E-2</v>
      </c>
      <c r="Q602" t="s">
        <v>38</v>
      </c>
      <c r="S602" t="s">
        <v>60</v>
      </c>
      <c r="T602" t="s">
        <v>182</v>
      </c>
      <c r="U602">
        <v>9.2176922806263065E-3</v>
      </c>
      <c r="V602" t="s">
        <v>38</v>
      </c>
    </row>
    <row r="603" spans="9:22" x14ac:dyDescent="0.25">
      <c r="I603" t="s">
        <v>58</v>
      </c>
      <c r="J603" t="s">
        <v>183</v>
      </c>
      <c r="K603">
        <v>0</v>
      </c>
      <c r="L603" t="s">
        <v>38</v>
      </c>
      <c r="N603" t="s">
        <v>59</v>
      </c>
      <c r="O603" t="s">
        <v>183</v>
      </c>
      <c r="P603">
        <v>2.0964937957535026E-2</v>
      </c>
      <c r="Q603" t="s">
        <v>38</v>
      </c>
      <c r="S603" t="s">
        <v>60</v>
      </c>
      <c r="T603" t="s">
        <v>183</v>
      </c>
      <c r="U603">
        <v>1.9414220208109373E-2</v>
      </c>
      <c r="V603" t="s">
        <v>38</v>
      </c>
    </row>
    <row r="604" spans="9:22" x14ac:dyDescent="0.25">
      <c r="I604" t="s">
        <v>58</v>
      </c>
      <c r="J604" t="s">
        <v>184</v>
      </c>
      <c r="K604">
        <v>1.4757929103584025E-3</v>
      </c>
      <c r="L604" t="s">
        <v>38</v>
      </c>
      <c r="N604" t="s">
        <v>59</v>
      </c>
      <c r="O604" t="s">
        <v>184</v>
      </c>
      <c r="P604">
        <v>4.4900673044986949E-3</v>
      </c>
      <c r="Q604" t="s">
        <v>38</v>
      </c>
      <c r="S604" t="s">
        <v>60</v>
      </c>
      <c r="T604" t="s">
        <v>184</v>
      </c>
      <c r="U604">
        <v>4.1791956110475929E-3</v>
      </c>
      <c r="V604" t="s">
        <v>38</v>
      </c>
    </row>
    <row r="605" spans="9:22" x14ac:dyDescent="0.25">
      <c r="I605" t="s">
        <v>58</v>
      </c>
      <c r="J605" t="s">
        <v>185</v>
      </c>
      <c r="K605">
        <v>9.0671066707493767E-2</v>
      </c>
      <c r="L605" t="s">
        <v>38</v>
      </c>
      <c r="N605" t="s">
        <v>59</v>
      </c>
      <c r="O605" t="s">
        <v>185</v>
      </c>
      <c r="P605">
        <v>3.6092906294599367E-2</v>
      </c>
      <c r="Q605" t="s">
        <v>38</v>
      </c>
      <c r="S605" t="s">
        <v>60</v>
      </c>
      <c r="T605" t="s">
        <v>185</v>
      </c>
      <c r="U605">
        <v>3.6655546869744753E-2</v>
      </c>
      <c r="V605" t="s">
        <v>38</v>
      </c>
    </row>
    <row r="606" spans="9:22" x14ac:dyDescent="0.25">
      <c r="I606" t="s">
        <v>58</v>
      </c>
      <c r="J606" t="s">
        <v>186</v>
      </c>
      <c r="K606">
        <v>1.0367687300176147E-2</v>
      </c>
      <c r="L606" t="s">
        <v>38</v>
      </c>
      <c r="N606" t="s">
        <v>59</v>
      </c>
      <c r="O606" t="s">
        <v>186</v>
      </c>
      <c r="P606">
        <v>4.390345292083259E-3</v>
      </c>
      <c r="Q606" t="s">
        <v>38</v>
      </c>
      <c r="S606" t="s">
        <v>60</v>
      </c>
      <c r="T606" t="s">
        <v>186</v>
      </c>
      <c r="U606">
        <v>4.0626177382817137E-3</v>
      </c>
      <c r="V606" t="s">
        <v>38</v>
      </c>
    </row>
    <row r="607" spans="9:22" x14ac:dyDescent="0.25">
      <c r="I607" t="s">
        <v>58</v>
      </c>
      <c r="J607" t="s">
        <v>187</v>
      </c>
      <c r="K607">
        <v>1.968211385153806E-2</v>
      </c>
      <c r="L607" t="s">
        <v>38</v>
      </c>
      <c r="N607" t="s">
        <v>59</v>
      </c>
      <c r="O607" t="s">
        <v>187</v>
      </c>
      <c r="P607">
        <v>1.3080786187224549E-2</v>
      </c>
      <c r="Q607" t="s">
        <v>38</v>
      </c>
      <c r="S607" t="s">
        <v>60</v>
      </c>
      <c r="T607" t="s">
        <v>187</v>
      </c>
      <c r="U607">
        <v>1.1800136112300526E-2</v>
      </c>
      <c r="V607" t="s">
        <v>38</v>
      </c>
    </row>
    <row r="608" spans="9:22" x14ac:dyDescent="0.25">
      <c r="I608" t="s">
        <v>58</v>
      </c>
      <c r="J608" t="s">
        <v>188</v>
      </c>
      <c r="K608">
        <v>7.815110946601747E-4</v>
      </c>
      <c r="L608" t="s">
        <v>38</v>
      </c>
      <c r="N608" t="s">
        <v>59</v>
      </c>
      <c r="O608" t="s">
        <v>188</v>
      </c>
      <c r="P608">
        <v>4.3776867354281043E-3</v>
      </c>
      <c r="Q608" t="s">
        <v>38</v>
      </c>
      <c r="S608" t="s">
        <v>60</v>
      </c>
      <c r="T608" t="s">
        <v>188</v>
      </c>
      <c r="U608">
        <v>3.8878702231639629E-3</v>
      </c>
      <c r="V608" t="s">
        <v>38</v>
      </c>
    </row>
    <row r="609" spans="9:22" x14ac:dyDescent="0.25">
      <c r="I609" t="s">
        <v>58</v>
      </c>
      <c r="J609" t="s">
        <v>189</v>
      </c>
      <c r="K609">
        <v>0</v>
      </c>
      <c r="L609" t="s">
        <v>38</v>
      </c>
      <c r="N609" t="s">
        <v>59</v>
      </c>
      <c r="O609" t="s">
        <v>189</v>
      </c>
      <c r="P609">
        <v>4.3749844756302853E-3</v>
      </c>
      <c r="Q609" t="s">
        <v>38</v>
      </c>
      <c r="S609" t="s">
        <v>60</v>
      </c>
      <c r="T609" t="s">
        <v>189</v>
      </c>
      <c r="U609">
        <v>3.9186396178281704E-3</v>
      </c>
      <c r="V609" t="s">
        <v>38</v>
      </c>
    </row>
    <row r="610" spans="9:22" x14ac:dyDescent="0.25">
      <c r="I610" t="s">
        <v>58</v>
      </c>
      <c r="J610" t="s">
        <v>190</v>
      </c>
      <c r="K610">
        <v>0</v>
      </c>
      <c r="L610" t="s">
        <v>38</v>
      </c>
      <c r="N610" t="s">
        <v>59</v>
      </c>
      <c r="O610" t="s">
        <v>190</v>
      </c>
      <c r="P610">
        <v>1.3152542499595781E-2</v>
      </c>
      <c r="Q610" t="s">
        <v>38</v>
      </c>
      <c r="S610" t="s">
        <v>60</v>
      </c>
      <c r="T610" t="s">
        <v>190</v>
      </c>
      <c r="U610">
        <v>1.2049994548053942E-2</v>
      </c>
      <c r="V610" t="s">
        <v>38</v>
      </c>
    </row>
    <row r="611" spans="9:22" x14ac:dyDescent="0.25">
      <c r="I611" t="s">
        <v>58</v>
      </c>
      <c r="J611" t="s">
        <v>191</v>
      </c>
      <c r="K611">
        <v>1.8469610312557409E-3</v>
      </c>
      <c r="L611" t="s">
        <v>38</v>
      </c>
      <c r="N611" t="s">
        <v>59</v>
      </c>
      <c r="O611" t="s">
        <v>191</v>
      </c>
      <c r="P611">
        <v>1.3654009181518191E-2</v>
      </c>
      <c r="Q611" t="s">
        <v>38</v>
      </c>
      <c r="S611" t="s">
        <v>60</v>
      </c>
      <c r="T611" t="s">
        <v>191</v>
      </c>
      <c r="U611">
        <v>1.6592915157455222E-2</v>
      </c>
      <c r="V611" t="s">
        <v>38</v>
      </c>
    </row>
    <row r="612" spans="9:22" x14ac:dyDescent="0.25">
      <c r="I612" t="s">
        <v>58</v>
      </c>
      <c r="J612" t="s">
        <v>192</v>
      </c>
      <c r="K612">
        <v>5.1704651053752233E-3</v>
      </c>
      <c r="L612" t="s">
        <v>38</v>
      </c>
      <c r="N612" t="s">
        <v>59</v>
      </c>
      <c r="O612" t="s">
        <v>192</v>
      </c>
      <c r="P612">
        <v>2.3706114443215851E-3</v>
      </c>
      <c r="Q612" t="s">
        <v>38</v>
      </c>
      <c r="S612" t="s">
        <v>60</v>
      </c>
      <c r="T612" t="s">
        <v>192</v>
      </c>
      <c r="U612">
        <v>3.2659862921849392E-3</v>
      </c>
      <c r="V612" t="s">
        <v>38</v>
      </c>
    </row>
    <row r="613" spans="9:22" x14ac:dyDescent="0.25">
      <c r="I613" t="s">
        <v>58</v>
      </c>
      <c r="J613" t="s">
        <v>193</v>
      </c>
      <c r="K613">
        <v>0.10521260877976077</v>
      </c>
      <c r="L613" t="s">
        <v>38</v>
      </c>
      <c r="N613" t="s">
        <v>59</v>
      </c>
      <c r="O613" t="s">
        <v>193</v>
      </c>
      <c r="P613">
        <v>1.9434090147094029E-2</v>
      </c>
      <c r="Q613" t="s">
        <v>38</v>
      </c>
      <c r="S613" t="s">
        <v>60</v>
      </c>
      <c r="T613" t="s">
        <v>193</v>
      </c>
      <c r="U613">
        <v>2.838045055277582E-2</v>
      </c>
      <c r="V613" t="s">
        <v>38</v>
      </c>
    </row>
    <row r="614" spans="9:22" x14ac:dyDescent="0.25">
      <c r="I614" t="s">
        <v>58</v>
      </c>
      <c r="J614" t="s">
        <v>194</v>
      </c>
      <c r="K614">
        <v>1.132914729738733E-2</v>
      </c>
      <c r="L614" t="s">
        <v>38</v>
      </c>
      <c r="N614" t="s">
        <v>59</v>
      </c>
      <c r="O614" t="s">
        <v>194</v>
      </c>
      <c r="P614">
        <v>2.4726669515595053E-3</v>
      </c>
      <c r="Q614" t="s">
        <v>38</v>
      </c>
      <c r="S614" t="s">
        <v>60</v>
      </c>
      <c r="T614" t="s">
        <v>194</v>
      </c>
      <c r="U614">
        <v>3.140356709352888E-3</v>
      </c>
      <c r="V614" t="s">
        <v>38</v>
      </c>
    </row>
    <row r="615" spans="9:22" x14ac:dyDescent="0.25">
      <c r="I615" t="s">
        <v>58</v>
      </c>
      <c r="J615" t="s">
        <v>195</v>
      </c>
      <c r="K615">
        <v>2.4463778995081783E-2</v>
      </c>
      <c r="L615" t="s">
        <v>38</v>
      </c>
      <c r="N615" t="s">
        <v>59</v>
      </c>
      <c r="O615" t="s">
        <v>195</v>
      </c>
      <c r="P615">
        <v>6.7691854794367547E-3</v>
      </c>
      <c r="Q615" t="s">
        <v>38</v>
      </c>
      <c r="S615" t="s">
        <v>60</v>
      </c>
      <c r="T615" t="s">
        <v>195</v>
      </c>
      <c r="U615">
        <v>9.4764460517839082E-3</v>
      </c>
      <c r="V615" t="s">
        <v>38</v>
      </c>
    </row>
    <row r="616" spans="9:22" x14ac:dyDescent="0.25">
      <c r="I616" t="s">
        <v>58</v>
      </c>
      <c r="J616" t="s">
        <v>196</v>
      </c>
      <c r="K616">
        <v>3.0636158580076736E-3</v>
      </c>
      <c r="L616" t="s">
        <v>38</v>
      </c>
      <c r="N616" t="s">
        <v>59</v>
      </c>
      <c r="O616" t="s">
        <v>196</v>
      </c>
      <c r="P616">
        <v>2.5030648020362978E-3</v>
      </c>
      <c r="Q616" t="s">
        <v>38</v>
      </c>
      <c r="S616" t="s">
        <v>60</v>
      </c>
      <c r="T616" t="s">
        <v>196</v>
      </c>
      <c r="U616">
        <v>3.206164039912405E-3</v>
      </c>
      <c r="V616" t="s">
        <v>38</v>
      </c>
    </row>
    <row r="617" spans="9:22" x14ac:dyDescent="0.25">
      <c r="I617" t="s">
        <v>58</v>
      </c>
      <c r="J617" t="s">
        <v>197</v>
      </c>
      <c r="K617">
        <v>3.9923469032053933E-4</v>
      </c>
      <c r="L617" t="s">
        <v>38</v>
      </c>
      <c r="N617" t="s">
        <v>59</v>
      </c>
      <c r="O617" t="s">
        <v>197</v>
      </c>
      <c r="P617">
        <v>2.6435851190366884E-3</v>
      </c>
      <c r="Q617" t="s">
        <v>38</v>
      </c>
      <c r="S617" t="s">
        <v>60</v>
      </c>
      <c r="T617" t="s">
        <v>197</v>
      </c>
      <c r="U617">
        <v>3.0915779724654206E-3</v>
      </c>
      <c r="V617" t="s">
        <v>38</v>
      </c>
    </row>
    <row r="618" spans="9:22" x14ac:dyDescent="0.25">
      <c r="I618" t="s">
        <v>58</v>
      </c>
      <c r="J618" t="s">
        <v>198</v>
      </c>
      <c r="K618">
        <v>0</v>
      </c>
      <c r="L618" t="s">
        <v>38</v>
      </c>
      <c r="N618" t="s">
        <v>59</v>
      </c>
      <c r="O618" t="s">
        <v>198</v>
      </c>
      <c r="P618">
        <v>8.4314385594205891E-3</v>
      </c>
      <c r="Q618" t="s">
        <v>38</v>
      </c>
      <c r="S618" t="s">
        <v>60</v>
      </c>
      <c r="T618" t="s">
        <v>198</v>
      </c>
      <c r="U618">
        <v>9.3073685692696782E-3</v>
      </c>
      <c r="V618" t="s">
        <v>38</v>
      </c>
    </row>
    <row r="619" spans="9:22" x14ac:dyDescent="0.25">
      <c r="I619" t="s">
        <v>58</v>
      </c>
      <c r="J619" t="s">
        <v>199</v>
      </c>
      <c r="K619">
        <v>3.3137091451522706E-3</v>
      </c>
      <c r="L619" t="s">
        <v>38</v>
      </c>
      <c r="N619" t="s">
        <v>59</v>
      </c>
      <c r="O619" t="s">
        <v>199</v>
      </c>
      <c r="P619">
        <v>1.1368677378990546E-2</v>
      </c>
      <c r="Q619" t="s">
        <v>38</v>
      </c>
      <c r="S619" t="s">
        <v>60</v>
      </c>
      <c r="T619" t="s">
        <v>199</v>
      </c>
      <c r="U619">
        <v>1.3537567828574529E-2</v>
      </c>
      <c r="V619" t="s">
        <v>38</v>
      </c>
    </row>
    <row r="620" spans="9:22" x14ac:dyDescent="0.25">
      <c r="I620" t="s">
        <v>58</v>
      </c>
      <c r="J620" t="s">
        <v>200</v>
      </c>
      <c r="K620">
        <v>6.0871924422433894E-3</v>
      </c>
      <c r="L620" t="s">
        <v>38</v>
      </c>
      <c r="N620" t="s">
        <v>59</v>
      </c>
      <c r="O620" t="s">
        <v>200</v>
      </c>
      <c r="P620">
        <v>1.7410742291169973E-3</v>
      </c>
      <c r="Q620" t="s">
        <v>38</v>
      </c>
      <c r="S620" t="s">
        <v>60</v>
      </c>
      <c r="T620" t="s">
        <v>200</v>
      </c>
      <c r="U620">
        <v>2.5951184832232904E-3</v>
      </c>
      <c r="V620" t="s">
        <v>38</v>
      </c>
    </row>
    <row r="621" spans="9:22" x14ac:dyDescent="0.25">
      <c r="I621" t="s">
        <v>58</v>
      </c>
      <c r="J621" t="s">
        <v>201</v>
      </c>
      <c r="K621">
        <v>9.8467915455403413E-2</v>
      </c>
      <c r="L621" t="s">
        <v>38</v>
      </c>
      <c r="N621" t="s">
        <v>59</v>
      </c>
      <c r="O621" t="s">
        <v>201</v>
      </c>
      <c r="P621">
        <v>1.6349927785706275E-2</v>
      </c>
      <c r="Q621" t="s">
        <v>38</v>
      </c>
      <c r="S621" t="s">
        <v>60</v>
      </c>
      <c r="T621" t="s">
        <v>201</v>
      </c>
      <c r="U621">
        <v>2.262878615576731E-2</v>
      </c>
      <c r="V621" t="s">
        <v>38</v>
      </c>
    </row>
    <row r="622" spans="9:22" x14ac:dyDescent="0.25">
      <c r="I622" t="s">
        <v>58</v>
      </c>
      <c r="J622" t="s">
        <v>202</v>
      </c>
      <c r="K622">
        <v>1.0278439654165344E-2</v>
      </c>
      <c r="L622" t="s">
        <v>38</v>
      </c>
      <c r="N622" t="s">
        <v>59</v>
      </c>
      <c r="O622" t="s">
        <v>202</v>
      </c>
      <c r="P622">
        <v>2.200132078205025E-3</v>
      </c>
      <c r="Q622" t="s">
        <v>38</v>
      </c>
      <c r="S622" t="s">
        <v>60</v>
      </c>
      <c r="T622" t="s">
        <v>202</v>
      </c>
      <c r="U622">
        <v>2.4510195438999459E-3</v>
      </c>
      <c r="V622" t="s">
        <v>38</v>
      </c>
    </row>
    <row r="623" spans="9:22" x14ac:dyDescent="0.25">
      <c r="I623" t="s">
        <v>58</v>
      </c>
      <c r="J623" t="s">
        <v>203</v>
      </c>
      <c r="K623">
        <v>2.340548599977341E-2</v>
      </c>
      <c r="L623" t="s">
        <v>38</v>
      </c>
      <c r="N623" t="s">
        <v>59</v>
      </c>
      <c r="O623" t="s">
        <v>203</v>
      </c>
      <c r="P623">
        <v>5.5567273671280649E-3</v>
      </c>
      <c r="Q623" t="s">
        <v>38</v>
      </c>
      <c r="S623" t="s">
        <v>60</v>
      </c>
      <c r="T623" t="s">
        <v>203</v>
      </c>
      <c r="U623">
        <v>7.539887759413234E-3</v>
      </c>
      <c r="V623" t="s">
        <v>38</v>
      </c>
    </row>
    <row r="624" spans="9:22" x14ac:dyDescent="0.25">
      <c r="I624" t="s">
        <v>58</v>
      </c>
      <c r="J624" t="s">
        <v>204</v>
      </c>
      <c r="K624">
        <v>4.5017459031897944E-3</v>
      </c>
      <c r="L624" t="s">
        <v>38</v>
      </c>
      <c r="N624" t="s">
        <v>59</v>
      </c>
      <c r="O624" t="s">
        <v>204</v>
      </c>
      <c r="P624">
        <v>1.6885240480993683E-3</v>
      </c>
      <c r="Q624" t="s">
        <v>38</v>
      </c>
      <c r="S624" t="s">
        <v>60</v>
      </c>
      <c r="T624" t="s">
        <v>204</v>
      </c>
      <c r="U624">
        <v>2.732940886423767E-3</v>
      </c>
      <c r="V624" t="s">
        <v>38</v>
      </c>
    </row>
    <row r="625" spans="9:22" x14ac:dyDescent="0.25">
      <c r="I625" t="s">
        <v>58</v>
      </c>
      <c r="J625" t="s">
        <v>205</v>
      </c>
      <c r="K625">
        <v>1.8780775311185046E-3</v>
      </c>
      <c r="L625" t="s">
        <v>38</v>
      </c>
      <c r="N625" t="s">
        <v>59</v>
      </c>
      <c r="O625" t="s">
        <v>205</v>
      </c>
      <c r="P625">
        <v>1.8709160390769017E-3</v>
      </c>
      <c r="Q625" t="s">
        <v>38</v>
      </c>
      <c r="S625" t="s">
        <v>60</v>
      </c>
      <c r="T625" t="s">
        <v>205</v>
      </c>
      <c r="U625">
        <v>2.7026934680583932E-3</v>
      </c>
      <c r="V625" t="s">
        <v>38</v>
      </c>
    </row>
    <row r="626" spans="9:22" x14ac:dyDescent="0.25">
      <c r="I626" t="s">
        <v>58</v>
      </c>
      <c r="J626" t="s">
        <v>206</v>
      </c>
      <c r="K626">
        <v>0</v>
      </c>
      <c r="L626" t="s">
        <v>38</v>
      </c>
      <c r="N626" t="s">
        <v>59</v>
      </c>
      <c r="O626" t="s">
        <v>206</v>
      </c>
      <c r="P626">
        <v>6.6082732573126742E-3</v>
      </c>
      <c r="Q626" t="s">
        <v>38</v>
      </c>
      <c r="S626" t="s">
        <v>60</v>
      </c>
      <c r="T626" t="s">
        <v>206</v>
      </c>
      <c r="U626">
        <v>8.0133714813873397E-3</v>
      </c>
      <c r="V626" t="s">
        <v>38</v>
      </c>
    </row>
    <row r="627" spans="9:22" x14ac:dyDescent="0.25">
      <c r="I627" t="s">
        <v>58</v>
      </c>
      <c r="J627" t="s">
        <v>207</v>
      </c>
      <c r="K627">
        <v>2.6616061243009818E-3</v>
      </c>
      <c r="L627" t="s">
        <v>38</v>
      </c>
      <c r="N627" t="s">
        <v>59</v>
      </c>
      <c r="O627" t="s">
        <v>207</v>
      </c>
      <c r="P627">
        <v>1.2545837768293478E-2</v>
      </c>
      <c r="Q627" t="s">
        <v>38</v>
      </c>
      <c r="S627" t="s">
        <v>60</v>
      </c>
      <c r="T627" t="s">
        <v>207</v>
      </c>
      <c r="U627">
        <v>1.2705385934488117E-2</v>
      </c>
      <c r="V627" t="s">
        <v>38</v>
      </c>
    </row>
    <row r="628" spans="9:22" x14ac:dyDescent="0.25">
      <c r="I628" t="s">
        <v>58</v>
      </c>
      <c r="J628" t="s">
        <v>208</v>
      </c>
      <c r="K628">
        <v>5.7293505133921667E-3</v>
      </c>
      <c r="L628" t="s">
        <v>38</v>
      </c>
      <c r="N628" t="s">
        <v>59</v>
      </c>
      <c r="O628" t="s">
        <v>208</v>
      </c>
      <c r="P628">
        <v>2.0548795932891395E-3</v>
      </c>
      <c r="Q628" t="s">
        <v>38</v>
      </c>
      <c r="S628" t="s">
        <v>60</v>
      </c>
      <c r="T628" t="s">
        <v>208</v>
      </c>
      <c r="U628">
        <v>2.3502483351205972E-3</v>
      </c>
      <c r="V628" t="s">
        <v>38</v>
      </c>
    </row>
    <row r="629" spans="9:22" x14ac:dyDescent="0.25">
      <c r="I629" t="s">
        <v>58</v>
      </c>
      <c r="J629" t="s">
        <v>209</v>
      </c>
      <c r="K629">
        <v>9.7871135599351192E-2</v>
      </c>
      <c r="L629" t="s">
        <v>38</v>
      </c>
      <c r="N629" t="s">
        <v>59</v>
      </c>
      <c r="O629" t="s">
        <v>209</v>
      </c>
      <c r="P629">
        <v>1.8173538937277217E-2</v>
      </c>
      <c r="Q629" t="s">
        <v>38</v>
      </c>
      <c r="S629" t="s">
        <v>60</v>
      </c>
      <c r="T629" t="s">
        <v>209</v>
      </c>
      <c r="U629">
        <v>2.4563552898784584E-2</v>
      </c>
      <c r="V629" t="s">
        <v>38</v>
      </c>
    </row>
    <row r="630" spans="9:22" x14ac:dyDescent="0.25">
      <c r="I630" t="s">
        <v>58</v>
      </c>
      <c r="J630" t="s">
        <v>210</v>
      </c>
      <c r="K630">
        <v>1.0785501665431681E-2</v>
      </c>
      <c r="L630" t="s">
        <v>38</v>
      </c>
      <c r="N630" t="s">
        <v>59</v>
      </c>
      <c r="O630" t="s">
        <v>210</v>
      </c>
      <c r="P630">
        <v>2.5313215542296591E-3</v>
      </c>
      <c r="Q630" t="s">
        <v>38</v>
      </c>
      <c r="S630" t="s">
        <v>60</v>
      </c>
      <c r="T630" t="s">
        <v>210</v>
      </c>
      <c r="U630">
        <v>3.1328504726523595E-3</v>
      </c>
      <c r="V630" t="s">
        <v>38</v>
      </c>
    </row>
    <row r="631" spans="9:22" x14ac:dyDescent="0.25">
      <c r="I631" t="s">
        <v>58</v>
      </c>
      <c r="J631" t="s">
        <v>211</v>
      </c>
      <c r="K631">
        <v>2.5131669924038584E-2</v>
      </c>
      <c r="L631" t="s">
        <v>38</v>
      </c>
      <c r="N631" t="s">
        <v>59</v>
      </c>
      <c r="O631" t="s">
        <v>211</v>
      </c>
      <c r="P631">
        <v>7.7757260786214108E-3</v>
      </c>
      <c r="Q631" t="s">
        <v>38</v>
      </c>
      <c r="S631" t="s">
        <v>60</v>
      </c>
      <c r="T631" t="s">
        <v>211</v>
      </c>
      <c r="U631">
        <v>9.3489369231855718E-3</v>
      </c>
      <c r="V631" t="s">
        <v>38</v>
      </c>
    </row>
    <row r="632" spans="9:22" x14ac:dyDescent="0.25">
      <c r="I632" t="s">
        <v>58</v>
      </c>
      <c r="J632" t="s">
        <v>212</v>
      </c>
      <c r="K632">
        <v>4.414867200989268E-3</v>
      </c>
      <c r="L632" t="s">
        <v>38</v>
      </c>
      <c r="N632" t="s">
        <v>59</v>
      </c>
      <c r="O632" t="s">
        <v>212</v>
      </c>
      <c r="P632">
        <v>2.6660272291755696E-3</v>
      </c>
      <c r="Q632" t="s">
        <v>38</v>
      </c>
      <c r="S632" t="s">
        <v>60</v>
      </c>
      <c r="T632" t="s">
        <v>212</v>
      </c>
      <c r="U632">
        <v>3.0611167157355719E-3</v>
      </c>
      <c r="V632" t="s">
        <v>38</v>
      </c>
    </row>
    <row r="633" spans="9:22" x14ac:dyDescent="0.25">
      <c r="I633" t="s">
        <v>58</v>
      </c>
      <c r="J633" t="s">
        <v>213</v>
      </c>
      <c r="K633">
        <v>1.81972499894632E-3</v>
      </c>
      <c r="L633" t="s">
        <v>38</v>
      </c>
      <c r="N633" t="s">
        <v>59</v>
      </c>
      <c r="O633" t="s">
        <v>213</v>
      </c>
      <c r="P633">
        <v>2.7741060935455582E-3</v>
      </c>
      <c r="Q633" t="s">
        <v>38</v>
      </c>
      <c r="S633" t="s">
        <v>60</v>
      </c>
      <c r="T633" t="s">
        <v>213</v>
      </c>
      <c r="U633">
        <v>2.951589351468276E-3</v>
      </c>
      <c r="V633" t="s">
        <v>38</v>
      </c>
    </row>
    <row r="634" spans="9:22" x14ac:dyDescent="0.25">
      <c r="I634" t="s">
        <v>58</v>
      </c>
      <c r="J634" t="s">
        <v>214</v>
      </c>
      <c r="K634">
        <v>0</v>
      </c>
      <c r="L634" t="s">
        <v>38</v>
      </c>
      <c r="N634" t="s">
        <v>59</v>
      </c>
      <c r="O634" t="s">
        <v>214</v>
      </c>
      <c r="P634">
        <v>8.5255534141999573E-3</v>
      </c>
      <c r="Q634" t="s">
        <v>38</v>
      </c>
      <c r="S634" t="s">
        <v>60</v>
      </c>
      <c r="T634" t="s">
        <v>214</v>
      </c>
      <c r="U634">
        <v>8.5630577340455576E-3</v>
      </c>
      <c r="V634" t="s">
        <v>38</v>
      </c>
    </row>
    <row r="635" spans="9:22" x14ac:dyDescent="0.25">
      <c r="I635" t="s">
        <v>58</v>
      </c>
      <c r="J635" t="s">
        <v>215</v>
      </c>
      <c r="K635">
        <v>1.9633007803347255E-4</v>
      </c>
      <c r="L635" t="s">
        <v>38</v>
      </c>
      <c r="N635" t="s">
        <v>59</v>
      </c>
      <c r="O635" t="s">
        <v>215</v>
      </c>
      <c r="P635">
        <v>1.0871146462811201E-2</v>
      </c>
      <c r="Q635" t="s">
        <v>38</v>
      </c>
      <c r="S635" t="s">
        <v>60</v>
      </c>
      <c r="T635" t="s">
        <v>215</v>
      </c>
      <c r="U635">
        <v>9.8492082908886378E-3</v>
      </c>
      <c r="V635" t="s">
        <v>38</v>
      </c>
    </row>
    <row r="636" spans="9:22" x14ac:dyDescent="0.25">
      <c r="I636" t="s">
        <v>58</v>
      </c>
      <c r="J636" t="s">
        <v>216</v>
      </c>
      <c r="K636">
        <v>2.7772873217290716E-3</v>
      </c>
      <c r="L636" t="s">
        <v>38</v>
      </c>
      <c r="N636" t="s">
        <v>59</v>
      </c>
      <c r="O636" t="s">
        <v>216</v>
      </c>
      <c r="P636">
        <v>2.2410508027276115E-3</v>
      </c>
      <c r="Q636" t="s">
        <v>38</v>
      </c>
      <c r="S636" t="s">
        <v>60</v>
      </c>
      <c r="T636" t="s">
        <v>216</v>
      </c>
      <c r="U636">
        <v>1.9111411873316566E-3</v>
      </c>
      <c r="V636" t="s">
        <v>38</v>
      </c>
    </row>
    <row r="637" spans="9:22" x14ac:dyDescent="0.25">
      <c r="I637" t="s">
        <v>58</v>
      </c>
      <c r="J637" t="s">
        <v>217</v>
      </c>
      <c r="K637">
        <v>8.667428373543147E-2</v>
      </c>
      <c r="L637" t="s">
        <v>38</v>
      </c>
      <c r="N637" t="s">
        <v>59</v>
      </c>
      <c r="O637" t="s">
        <v>217</v>
      </c>
      <c r="P637">
        <v>1.7378174018725507E-2</v>
      </c>
      <c r="Q637" t="s">
        <v>38</v>
      </c>
      <c r="S637" t="s">
        <v>60</v>
      </c>
      <c r="T637" t="s">
        <v>217</v>
      </c>
      <c r="U637">
        <v>1.6695268578029651E-2</v>
      </c>
      <c r="V637" t="s">
        <v>38</v>
      </c>
    </row>
    <row r="638" spans="9:22" x14ac:dyDescent="0.25">
      <c r="I638" t="s">
        <v>58</v>
      </c>
      <c r="J638" t="s">
        <v>218</v>
      </c>
      <c r="K638">
        <v>9.005001588819013E-3</v>
      </c>
      <c r="L638" t="s">
        <v>38</v>
      </c>
      <c r="N638" t="s">
        <v>59</v>
      </c>
      <c r="O638" t="s">
        <v>218</v>
      </c>
      <c r="P638">
        <v>2.2004354506711646E-3</v>
      </c>
      <c r="Q638" t="s">
        <v>38</v>
      </c>
      <c r="S638" t="s">
        <v>60</v>
      </c>
      <c r="T638" t="s">
        <v>218</v>
      </c>
      <c r="U638">
        <v>1.9757697164264074E-3</v>
      </c>
      <c r="V638" t="s">
        <v>38</v>
      </c>
    </row>
    <row r="639" spans="9:22" x14ac:dyDescent="0.25">
      <c r="I639" t="s">
        <v>58</v>
      </c>
      <c r="J639" t="s">
        <v>219</v>
      </c>
      <c r="K639">
        <v>1.9145182415920465E-2</v>
      </c>
      <c r="L639" t="s">
        <v>38</v>
      </c>
      <c r="N639" t="s">
        <v>59</v>
      </c>
      <c r="O639" t="s">
        <v>219</v>
      </c>
      <c r="P639">
        <v>5.8023236751737588E-3</v>
      </c>
      <c r="Q639" t="s">
        <v>38</v>
      </c>
      <c r="S639" t="s">
        <v>60</v>
      </c>
      <c r="T639" t="s">
        <v>219</v>
      </c>
      <c r="U639">
        <v>6.2563853249674034E-3</v>
      </c>
      <c r="V639" t="s">
        <v>38</v>
      </c>
    </row>
    <row r="640" spans="9:22" x14ac:dyDescent="0.25">
      <c r="I640" t="s">
        <v>58</v>
      </c>
      <c r="J640" t="s">
        <v>220</v>
      </c>
      <c r="K640">
        <v>2.1099487842055303E-3</v>
      </c>
      <c r="L640" t="s">
        <v>38</v>
      </c>
      <c r="N640" t="s">
        <v>59</v>
      </c>
      <c r="O640" t="s">
        <v>220</v>
      </c>
      <c r="P640">
        <v>1.9400850435927054E-3</v>
      </c>
      <c r="Q640" t="s">
        <v>38</v>
      </c>
      <c r="S640" t="s">
        <v>60</v>
      </c>
      <c r="T640" t="s">
        <v>220</v>
      </c>
      <c r="U640">
        <v>2.1213726753902006E-3</v>
      </c>
      <c r="V640" t="s">
        <v>38</v>
      </c>
    </row>
    <row r="641" spans="9:22" x14ac:dyDescent="0.25">
      <c r="I641" t="s">
        <v>58</v>
      </c>
      <c r="J641" t="s">
        <v>221</v>
      </c>
      <c r="K641">
        <v>0</v>
      </c>
      <c r="L641" t="s">
        <v>38</v>
      </c>
      <c r="N641" t="s">
        <v>59</v>
      </c>
      <c r="O641" t="s">
        <v>221</v>
      </c>
      <c r="P641">
        <v>2.1011980234465402E-3</v>
      </c>
      <c r="Q641" t="s">
        <v>38</v>
      </c>
      <c r="S641" t="s">
        <v>60</v>
      </c>
      <c r="T641" t="s">
        <v>221</v>
      </c>
      <c r="U641">
        <v>2.1104118765694381E-3</v>
      </c>
      <c r="V641" t="s">
        <v>38</v>
      </c>
    </row>
    <row r="642" spans="9:22" x14ac:dyDescent="0.25">
      <c r="I642" t="s">
        <v>58</v>
      </c>
      <c r="J642" t="s">
        <v>222</v>
      </c>
      <c r="K642">
        <v>0</v>
      </c>
      <c r="L642" t="s">
        <v>38</v>
      </c>
      <c r="N642" t="s">
        <v>59</v>
      </c>
      <c r="O642" t="s">
        <v>222</v>
      </c>
      <c r="P642">
        <v>6.9388128841623544E-3</v>
      </c>
      <c r="Q642" t="s">
        <v>38</v>
      </c>
      <c r="S642" t="s">
        <v>60</v>
      </c>
      <c r="T642" t="s">
        <v>222</v>
      </c>
      <c r="U642">
        <v>6.3007161917279031E-3</v>
      </c>
      <c r="V642" t="s">
        <v>38</v>
      </c>
    </row>
    <row r="643" spans="9:22" x14ac:dyDescent="0.25">
      <c r="I643" t="s">
        <v>58</v>
      </c>
      <c r="J643" t="s">
        <v>223</v>
      </c>
      <c r="K643">
        <v>0</v>
      </c>
      <c r="L643" t="s">
        <v>38</v>
      </c>
      <c r="N643" t="s">
        <v>59</v>
      </c>
      <c r="O643" t="s">
        <v>223</v>
      </c>
      <c r="P643">
        <v>1.2650669035369724E-2</v>
      </c>
      <c r="Q643" t="s">
        <v>38</v>
      </c>
      <c r="S643" t="s">
        <v>60</v>
      </c>
      <c r="T643" t="s">
        <v>223</v>
      </c>
      <c r="U643">
        <v>1.2645452928747155E-2</v>
      </c>
      <c r="V643" t="s">
        <v>38</v>
      </c>
    </row>
    <row r="644" spans="9:22" x14ac:dyDescent="0.25">
      <c r="I644" t="s">
        <v>58</v>
      </c>
      <c r="J644" t="s">
        <v>224</v>
      </c>
      <c r="K644">
        <v>9.1977132144519005E-6</v>
      </c>
      <c r="L644" t="s">
        <v>38</v>
      </c>
      <c r="N644" t="s">
        <v>59</v>
      </c>
      <c r="O644" t="s">
        <v>224</v>
      </c>
      <c r="P644">
        <v>2.4743363226007306E-3</v>
      </c>
      <c r="Q644" t="s">
        <v>38</v>
      </c>
      <c r="S644" t="s">
        <v>60</v>
      </c>
      <c r="T644" t="s">
        <v>224</v>
      </c>
      <c r="U644">
        <v>2.4865732191054466E-3</v>
      </c>
      <c r="V644" t="s">
        <v>38</v>
      </c>
    </row>
    <row r="645" spans="9:22" x14ac:dyDescent="0.25">
      <c r="I645" t="s">
        <v>58</v>
      </c>
      <c r="J645" t="s">
        <v>225</v>
      </c>
      <c r="K645">
        <v>7.0618857843692623E-2</v>
      </c>
      <c r="L645" t="s">
        <v>38</v>
      </c>
      <c r="N645" t="s">
        <v>59</v>
      </c>
      <c r="O645" t="s">
        <v>225</v>
      </c>
      <c r="P645">
        <v>1.9221759088123097E-2</v>
      </c>
      <c r="Q645" t="s">
        <v>38</v>
      </c>
      <c r="S645" t="s">
        <v>60</v>
      </c>
      <c r="T645" t="s">
        <v>225</v>
      </c>
      <c r="U645">
        <v>2.1440341971898272E-2</v>
      </c>
      <c r="V645" t="s">
        <v>38</v>
      </c>
    </row>
    <row r="646" spans="9:22" x14ac:dyDescent="0.25">
      <c r="I646" t="s">
        <v>58</v>
      </c>
      <c r="J646" t="s">
        <v>226</v>
      </c>
      <c r="K646">
        <v>7.9490082224194809E-3</v>
      </c>
      <c r="L646" t="s">
        <v>38</v>
      </c>
      <c r="N646" t="s">
        <v>59</v>
      </c>
      <c r="O646" t="s">
        <v>226</v>
      </c>
      <c r="P646">
        <v>2.0906074308013715E-3</v>
      </c>
      <c r="Q646" t="s">
        <v>38</v>
      </c>
      <c r="S646" t="s">
        <v>60</v>
      </c>
      <c r="T646" t="s">
        <v>226</v>
      </c>
      <c r="U646">
        <v>2.5793574014279894E-3</v>
      </c>
      <c r="V646" t="s">
        <v>38</v>
      </c>
    </row>
    <row r="647" spans="9:22" x14ac:dyDescent="0.25">
      <c r="I647" t="s">
        <v>58</v>
      </c>
      <c r="J647" t="s">
        <v>227</v>
      </c>
      <c r="K647">
        <v>1.2460294302115699E-2</v>
      </c>
      <c r="L647" t="s">
        <v>38</v>
      </c>
      <c r="N647" t="s">
        <v>59</v>
      </c>
      <c r="O647" t="s">
        <v>227</v>
      </c>
      <c r="P647">
        <v>7.048169135445587E-3</v>
      </c>
      <c r="Q647" t="s">
        <v>38</v>
      </c>
      <c r="S647" t="s">
        <v>60</v>
      </c>
      <c r="T647" t="s">
        <v>227</v>
      </c>
      <c r="U647">
        <v>7.8971683439635603E-3</v>
      </c>
      <c r="V647" t="s">
        <v>38</v>
      </c>
    </row>
    <row r="648" spans="9:22" x14ac:dyDescent="0.25">
      <c r="I648" t="s">
        <v>58</v>
      </c>
      <c r="J648" t="s">
        <v>228</v>
      </c>
      <c r="K648">
        <v>0</v>
      </c>
      <c r="L648" t="s">
        <v>38</v>
      </c>
      <c r="N648" t="s">
        <v>59</v>
      </c>
      <c r="O648" t="s">
        <v>228</v>
      </c>
      <c r="P648">
        <v>2.8636671793577312E-3</v>
      </c>
      <c r="Q648" t="s">
        <v>38</v>
      </c>
      <c r="S648" t="s">
        <v>60</v>
      </c>
      <c r="T648" t="s">
        <v>228</v>
      </c>
      <c r="U648">
        <v>2.7077563678037445E-3</v>
      </c>
      <c r="V648" t="s">
        <v>38</v>
      </c>
    </row>
    <row r="649" spans="9:22" x14ac:dyDescent="0.25">
      <c r="I649" t="s">
        <v>58</v>
      </c>
      <c r="J649" t="s">
        <v>229</v>
      </c>
      <c r="K649">
        <v>0</v>
      </c>
      <c r="L649" t="s">
        <v>38</v>
      </c>
      <c r="N649" t="s">
        <v>59</v>
      </c>
      <c r="O649" t="s">
        <v>229</v>
      </c>
      <c r="P649">
        <v>2.92588787487584E-3</v>
      </c>
      <c r="Q649" t="s">
        <v>38</v>
      </c>
      <c r="S649" t="s">
        <v>60</v>
      </c>
      <c r="T649" t="s">
        <v>229</v>
      </c>
      <c r="U649">
        <v>2.6984985889956696E-3</v>
      </c>
      <c r="V649" t="s">
        <v>38</v>
      </c>
    </row>
    <row r="650" spans="9:22" x14ac:dyDescent="0.25">
      <c r="I650" t="s">
        <v>58</v>
      </c>
      <c r="J650" t="s">
        <v>230</v>
      </c>
      <c r="K650">
        <v>0</v>
      </c>
      <c r="L650" t="s">
        <v>38</v>
      </c>
      <c r="N650" t="s">
        <v>59</v>
      </c>
      <c r="O650" t="s">
        <v>230</v>
      </c>
      <c r="P650">
        <v>8.8922401827856747E-3</v>
      </c>
      <c r="Q650" t="s">
        <v>38</v>
      </c>
      <c r="S650" t="s">
        <v>60</v>
      </c>
      <c r="T650" t="s">
        <v>230</v>
      </c>
      <c r="U650">
        <v>8.1404122151640841E-3</v>
      </c>
      <c r="V650" t="s">
        <v>38</v>
      </c>
    </row>
    <row r="651" spans="9:22" x14ac:dyDescent="0.25">
      <c r="I651" t="s">
        <v>58</v>
      </c>
      <c r="J651" t="s">
        <v>231</v>
      </c>
      <c r="K651">
        <v>0</v>
      </c>
      <c r="L651" t="s">
        <v>38</v>
      </c>
      <c r="N651" t="s">
        <v>59</v>
      </c>
      <c r="O651" t="s">
        <v>231</v>
      </c>
      <c r="P651">
        <v>2.2627106295974236E-2</v>
      </c>
      <c r="Q651" t="s">
        <v>38</v>
      </c>
      <c r="S651" t="s">
        <v>60</v>
      </c>
      <c r="T651" t="s">
        <v>231</v>
      </c>
      <c r="U651">
        <v>2.0795269274618701E-2</v>
      </c>
      <c r="V651" t="s">
        <v>38</v>
      </c>
    </row>
    <row r="652" spans="9:22" x14ac:dyDescent="0.25">
      <c r="I652" t="s">
        <v>58</v>
      </c>
      <c r="J652" t="s">
        <v>232</v>
      </c>
      <c r="K652">
        <v>0</v>
      </c>
      <c r="L652" t="s">
        <v>38</v>
      </c>
      <c r="N652" t="s">
        <v>59</v>
      </c>
      <c r="O652" t="s">
        <v>232</v>
      </c>
      <c r="P652">
        <v>4.6065734342156618E-3</v>
      </c>
      <c r="Q652" t="s">
        <v>38</v>
      </c>
      <c r="S652" t="s">
        <v>60</v>
      </c>
      <c r="T652" t="s">
        <v>232</v>
      </c>
      <c r="U652">
        <v>4.3126053829639702E-3</v>
      </c>
      <c r="V652" t="s">
        <v>38</v>
      </c>
    </row>
    <row r="653" spans="9:22" x14ac:dyDescent="0.25">
      <c r="I653" t="s">
        <v>58</v>
      </c>
      <c r="J653" t="s">
        <v>233</v>
      </c>
      <c r="K653">
        <v>3.0967696066491763E-2</v>
      </c>
      <c r="L653" t="s">
        <v>38</v>
      </c>
      <c r="N653" t="s">
        <v>59</v>
      </c>
      <c r="O653" t="s">
        <v>233</v>
      </c>
      <c r="P653">
        <v>4.1826053499836646E-2</v>
      </c>
      <c r="Q653" t="s">
        <v>38</v>
      </c>
      <c r="S653" t="s">
        <v>60</v>
      </c>
      <c r="T653" t="s">
        <v>233</v>
      </c>
      <c r="U653">
        <v>3.9754399899188116E-2</v>
      </c>
      <c r="V653" t="s">
        <v>38</v>
      </c>
    </row>
    <row r="654" spans="9:22" x14ac:dyDescent="0.25">
      <c r="I654" t="s">
        <v>58</v>
      </c>
      <c r="J654" t="s">
        <v>234</v>
      </c>
      <c r="K654">
        <v>3.2093154099189771E-3</v>
      </c>
      <c r="L654" t="s">
        <v>38</v>
      </c>
      <c r="N654" t="s">
        <v>59</v>
      </c>
      <c r="O654" t="s">
        <v>234</v>
      </c>
      <c r="P654">
        <v>4.7173493970933695E-3</v>
      </c>
      <c r="Q654" t="s">
        <v>38</v>
      </c>
      <c r="S654" t="s">
        <v>60</v>
      </c>
      <c r="T654" t="s">
        <v>234</v>
      </c>
      <c r="U654">
        <v>4.2166535917519113E-3</v>
      </c>
      <c r="V654" t="s">
        <v>38</v>
      </c>
    </row>
    <row r="655" spans="9:22" x14ac:dyDescent="0.25">
      <c r="I655" t="s">
        <v>58</v>
      </c>
      <c r="J655" t="s">
        <v>235</v>
      </c>
      <c r="K655">
        <v>1.9265756441521431E-3</v>
      </c>
      <c r="L655" t="s">
        <v>38</v>
      </c>
      <c r="N655" t="s">
        <v>59</v>
      </c>
      <c r="O655" t="s">
        <v>235</v>
      </c>
      <c r="P655">
        <v>1.4419191621173852E-2</v>
      </c>
      <c r="Q655" t="s">
        <v>38</v>
      </c>
      <c r="S655" t="s">
        <v>60</v>
      </c>
      <c r="T655" t="s">
        <v>235</v>
      </c>
      <c r="U655">
        <v>1.24905435434268E-2</v>
      </c>
      <c r="V655" t="s">
        <v>38</v>
      </c>
    </row>
    <row r="656" spans="9:22" x14ac:dyDescent="0.25">
      <c r="I656" t="s">
        <v>58</v>
      </c>
      <c r="J656" t="s">
        <v>236</v>
      </c>
      <c r="K656">
        <v>0</v>
      </c>
      <c r="L656" t="s">
        <v>38</v>
      </c>
      <c r="N656" t="s">
        <v>59</v>
      </c>
      <c r="O656" t="s">
        <v>236</v>
      </c>
      <c r="P656">
        <v>4.9116487736005909E-3</v>
      </c>
      <c r="Q656" t="s">
        <v>38</v>
      </c>
      <c r="S656" t="s">
        <v>60</v>
      </c>
      <c r="T656" t="s">
        <v>236</v>
      </c>
      <c r="U656">
        <v>4.164027352973017E-3</v>
      </c>
      <c r="V656" t="s">
        <v>38</v>
      </c>
    </row>
    <row r="657" spans="9:22" x14ac:dyDescent="0.25">
      <c r="I657" t="s">
        <v>58</v>
      </c>
      <c r="J657" t="s">
        <v>237</v>
      </c>
      <c r="K657">
        <v>0</v>
      </c>
      <c r="L657" t="s">
        <v>38</v>
      </c>
      <c r="N657" t="s">
        <v>59</v>
      </c>
      <c r="O657" t="s">
        <v>237</v>
      </c>
      <c r="P657">
        <v>4.872706681413627E-3</v>
      </c>
      <c r="Q657" t="s">
        <v>38</v>
      </c>
      <c r="S657" t="s">
        <v>60</v>
      </c>
      <c r="T657" t="s">
        <v>237</v>
      </c>
      <c r="U657">
        <v>4.2675130178779401E-3</v>
      </c>
      <c r="V657" t="s">
        <v>38</v>
      </c>
    </row>
    <row r="658" spans="9:22" x14ac:dyDescent="0.25">
      <c r="I658" t="s">
        <v>58</v>
      </c>
      <c r="J658" t="s">
        <v>238</v>
      </c>
      <c r="K658">
        <v>0</v>
      </c>
      <c r="L658" t="s">
        <v>38</v>
      </c>
      <c r="N658" t="s">
        <v>59</v>
      </c>
      <c r="O658" t="s">
        <v>238</v>
      </c>
      <c r="P658">
        <v>1.4586881629107491E-2</v>
      </c>
      <c r="Q658" t="s">
        <v>38</v>
      </c>
      <c r="S658" t="s">
        <v>60</v>
      </c>
      <c r="T658" t="s">
        <v>238</v>
      </c>
      <c r="U658">
        <v>1.3258005150117659E-2</v>
      </c>
      <c r="V658" t="s">
        <v>38</v>
      </c>
    </row>
    <row r="659" spans="9:22" x14ac:dyDescent="0.25">
      <c r="I659" t="s">
        <v>58</v>
      </c>
      <c r="J659" t="s">
        <v>239</v>
      </c>
      <c r="K659">
        <v>0</v>
      </c>
      <c r="L659" t="s">
        <v>38</v>
      </c>
      <c r="N659" t="s">
        <v>59</v>
      </c>
      <c r="O659" t="s">
        <v>239</v>
      </c>
      <c r="P659">
        <v>2.559918306303266E-2</v>
      </c>
      <c r="Q659" t="s">
        <v>38</v>
      </c>
      <c r="S659" t="s">
        <v>60</v>
      </c>
      <c r="T659" t="s">
        <v>239</v>
      </c>
      <c r="U659">
        <v>2.3505393598093251E-2</v>
      </c>
      <c r="V659" t="s">
        <v>38</v>
      </c>
    </row>
    <row r="660" spans="9:22" x14ac:dyDescent="0.25">
      <c r="I660" t="s">
        <v>58</v>
      </c>
      <c r="J660" t="s">
        <v>240</v>
      </c>
      <c r="K660">
        <v>0</v>
      </c>
      <c r="L660" t="s">
        <v>38</v>
      </c>
      <c r="N660" t="s">
        <v>59</v>
      </c>
      <c r="O660" t="s">
        <v>240</v>
      </c>
      <c r="P660">
        <v>4.8098178082201281E-3</v>
      </c>
      <c r="Q660" t="s">
        <v>38</v>
      </c>
      <c r="S660" t="s">
        <v>60</v>
      </c>
      <c r="T660" t="s">
        <v>240</v>
      </c>
      <c r="U660">
        <v>4.4178504216045526E-3</v>
      </c>
      <c r="V660" t="s">
        <v>38</v>
      </c>
    </row>
    <row r="661" spans="9:22" x14ac:dyDescent="0.25">
      <c r="I661" t="s">
        <v>58</v>
      </c>
      <c r="J661" t="s">
        <v>241</v>
      </c>
      <c r="K661">
        <v>1.3573330110896722E-2</v>
      </c>
      <c r="L661" t="s">
        <v>38</v>
      </c>
      <c r="N661" t="s">
        <v>59</v>
      </c>
      <c r="O661" t="s">
        <v>241</v>
      </c>
      <c r="P661">
        <v>4.2014399118726384E-2</v>
      </c>
      <c r="Q661" t="s">
        <v>38</v>
      </c>
      <c r="S661" t="s">
        <v>60</v>
      </c>
      <c r="T661" t="s">
        <v>241</v>
      </c>
      <c r="U661">
        <v>4.1010899486539659E-2</v>
      </c>
      <c r="V661" t="s">
        <v>38</v>
      </c>
    </row>
    <row r="662" spans="9:22" x14ac:dyDescent="0.25">
      <c r="I662" t="s">
        <v>58</v>
      </c>
      <c r="J662" t="s">
        <v>242</v>
      </c>
      <c r="K662">
        <v>6.854249145230722E-4</v>
      </c>
      <c r="L662" t="s">
        <v>38</v>
      </c>
      <c r="N662" t="s">
        <v>59</v>
      </c>
      <c r="O662" t="s">
        <v>242</v>
      </c>
      <c r="P662">
        <v>4.7524909388365101E-3</v>
      </c>
      <c r="Q662" t="s">
        <v>38</v>
      </c>
      <c r="S662" t="s">
        <v>60</v>
      </c>
      <c r="T662" t="s">
        <v>242</v>
      </c>
      <c r="U662">
        <v>4.7698434448522351E-3</v>
      </c>
      <c r="V662" t="s">
        <v>38</v>
      </c>
    </row>
    <row r="663" spans="9:22" x14ac:dyDescent="0.25">
      <c r="I663" t="s">
        <v>58</v>
      </c>
      <c r="J663" t="s">
        <v>243</v>
      </c>
      <c r="K663">
        <v>0</v>
      </c>
      <c r="L663" t="s">
        <v>38</v>
      </c>
      <c r="N663" t="s">
        <v>59</v>
      </c>
      <c r="O663" t="s">
        <v>243</v>
      </c>
      <c r="P663">
        <v>1.514310518357808E-2</v>
      </c>
      <c r="Q663" t="s">
        <v>38</v>
      </c>
      <c r="S663" t="s">
        <v>60</v>
      </c>
      <c r="T663" t="s">
        <v>243</v>
      </c>
      <c r="U663">
        <v>1.4533706791673654E-2</v>
      </c>
      <c r="V663" t="s">
        <v>38</v>
      </c>
    </row>
    <row r="664" spans="9:22" x14ac:dyDescent="0.25">
      <c r="I664" t="s">
        <v>58</v>
      </c>
      <c r="J664" t="s">
        <v>244</v>
      </c>
      <c r="K664">
        <v>0</v>
      </c>
      <c r="L664" t="s">
        <v>38</v>
      </c>
      <c r="N664" t="s">
        <v>59</v>
      </c>
      <c r="O664" t="s">
        <v>244</v>
      </c>
      <c r="P664">
        <v>5.2463918761989142E-3</v>
      </c>
      <c r="Q664" t="s">
        <v>38</v>
      </c>
      <c r="S664" t="s">
        <v>60</v>
      </c>
      <c r="T664" t="s">
        <v>244</v>
      </c>
      <c r="U664">
        <v>5.0016077629217092E-3</v>
      </c>
      <c r="V664" t="s">
        <v>38</v>
      </c>
    </row>
    <row r="665" spans="9:22" x14ac:dyDescent="0.25">
      <c r="I665" t="s">
        <v>58</v>
      </c>
      <c r="J665" t="s">
        <v>245</v>
      </c>
      <c r="K665">
        <v>0</v>
      </c>
      <c r="L665" t="s">
        <v>38</v>
      </c>
      <c r="N665" t="s">
        <v>59</v>
      </c>
      <c r="O665" t="s">
        <v>245</v>
      </c>
      <c r="P665">
        <v>5.3096934960474625E-3</v>
      </c>
      <c r="Q665" t="s">
        <v>38</v>
      </c>
      <c r="S665" t="s">
        <v>60</v>
      </c>
      <c r="T665" t="s">
        <v>245</v>
      </c>
      <c r="U665">
        <v>5.0442542175550406E-3</v>
      </c>
      <c r="V665" t="s">
        <v>38</v>
      </c>
    </row>
    <row r="666" spans="9:22" x14ac:dyDescent="0.25">
      <c r="I666" t="s">
        <v>58</v>
      </c>
      <c r="J666" t="s">
        <v>246</v>
      </c>
      <c r="K666">
        <v>0</v>
      </c>
      <c r="L666" t="s">
        <v>38</v>
      </c>
      <c r="N666" t="s">
        <v>59</v>
      </c>
      <c r="O666" t="s">
        <v>246</v>
      </c>
      <c r="P666">
        <v>1.5576962282385365E-2</v>
      </c>
      <c r="Q666" t="s">
        <v>38</v>
      </c>
      <c r="S666" t="s">
        <v>60</v>
      </c>
      <c r="T666" t="s">
        <v>246</v>
      </c>
      <c r="U666">
        <v>1.4914359303714859E-2</v>
      </c>
      <c r="V666" t="s">
        <v>38</v>
      </c>
    </row>
    <row r="667" spans="9:22" x14ac:dyDescent="0.25">
      <c r="I667" t="s">
        <v>58</v>
      </c>
      <c r="J667" t="s">
        <v>247</v>
      </c>
      <c r="K667">
        <v>0</v>
      </c>
      <c r="L667" t="s">
        <v>38</v>
      </c>
      <c r="N667" t="s">
        <v>59</v>
      </c>
      <c r="O667" t="s">
        <v>247</v>
      </c>
      <c r="P667">
        <v>3.1450388242008194E-2</v>
      </c>
      <c r="Q667" t="s">
        <v>38</v>
      </c>
      <c r="S667" t="s">
        <v>60</v>
      </c>
      <c r="T667" t="s">
        <v>247</v>
      </c>
      <c r="U667">
        <v>2.9249351129512786E-2</v>
      </c>
      <c r="V667" t="s">
        <v>38</v>
      </c>
    </row>
    <row r="668" spans="9:22" x14ac:dyDescent="0.25">
      <c r="I668" t="s">
        <v>58</v>
      </c>
      <c r="J668" t="s">
        <v>248</v>
      </c>
      <c r="K668">
        <v>0</v>
      </c>
      <c r="L668" t="s">
        <v>38</v>
      </c>
      <c r="N668" t="s">
        <v>59</v>
      </c>
      <c r="O668" t="s">
        <v>248</v>
      </c>
      <c r="P668">
        <v>6.4541329850535713E-3</v>
      </c>
      <c r="Q668" t="s">
        <v>38</v>
      </c>
      <c r="S668" t="s">
        <v>60</v>
      </c>
      <c r="T668" t="s">
        <v>248</v>
      </c>
      <c r="U668">
        <v>5.8995767573699846E-3</v>
      </c>
      <c r="V668" t="s">
        <v>38</v>
      </c>
    </row>
    <row r="669" spans="9:22" x14ac:dyDescent="0.25">
      <c r="I669" t="s">
        <v>58</v>
      </c>
      <c r="J669" t="s">
        <v>249</v>
      </c>
      <c r="K669">
        <v>6.3473924290138768E-3</v>
      </c>
      <c r="L669" t="s">
        <v>38</v>
      </c>
      <c r="N669" t="s">
        <v>59</v>
      </c>
      <c r="O669" t="s">
        <v>249</v>
      </c>
      <c r="P669">
        <v>5.9292168208042284E-2</v>
      </c>
      <c r="Q669" t="s">
        <v>38</v>
      </c>
      <c r="S669" t="s">
        <v>60</v>
      </c>
      <c r="T669" t="s">
        <v>249</v>
      </c>
      <c r="U669">
        <v>5.4463395599068209E-2</v>
      </c>
      <c r="V669" t="s">
        <v>38</v>
      </c>
    </row>
    <row r="670" spans="9:22" x14ac:dyDescent="0.25">
      <c r="I670" t="s">
        <v>58</v>
      </c>
      <c r="J670" t="s">
        <v>250</v>
      </c>
      <c r="K670">
        <v>0</v>
      </c>
      <c r="L670" t="s">
        <v>38</v>
      </c>
      <c r="N670" t="s">
        <v>59</v>
      </c>
      <c r="O670" t="s">
        <v>250</v>
      </c>
      <c r="P670">
        <v>6.4278503193823545E-3</v>
      </c>
      <c r="Q670" t="s">
        <v>38</v>
      </c>
      <c r="S670" t="s">
        <v>60</v>
      </c>
      <c r="T670" t="s">
        <v>250</v>
      </c>
      <c r="U670">
        <v>5.9599307745327821E-3</v>
      </c>
      <c r="V670" t="s">
        <v>38</v>
      </c>
    </row>
    <row r="671" spans="9:22" x14ac:dyDescent="0.25">
      <c r="I671" t="s">
        <v>58</v>
      </c>
      <c r="J671" t="s">
        <v>251</v>
      </c>
      <c r="K671">
        <v>0</v>
      </c>
      <c r="L671" t="s">
        <v>38</v>
      </c>
      <c r="N671" t="s">
        <v>59</v>
      </c>
      <c r="O671" t="s">
        <v>251</v>
      </c>
      <c r="P671">
        <v>1.9119797045343487E-2</v>
      </c>
      <c r="Q671" t="s">
        <v>38</v>
      </c>
      <c r="S671" t="s">
        <v>60</v>
      </c>
      <c r="T671" t="s">
        <v>251</v>
      </c>
      <c r="U671">
        <v>1.8355978678444053E-2</v>
      </c>
      <c r="V671" t="s">
        <v>38</v>
      </c>
    </row>
    <row r="672" spans="9:22" x14ac:dyDescent="0.25">
      <c r="I672" t="s">
        <v>58</v>
      </c>
      <c r="J672" t="s">
        <v>252</v>
      </c>
      <c r="K672">
        <v>0</v>
      </c>
      <c r="L672" t="s">
        <v>38</v>
      </c>
      <c r="N672" t="s">
        <v>59</v>
      </c>
      <c r="O672" t="s">
        <v>252</v>
      </c>
      <c r="P672">
        <v>6.5362479814540554E-3</v>
      </c>
      <c r="Q672" t="s">
        <v>38</v>
      </c>
      <c r="S672" t="s">
        <v>60</v>
      </c>
      <c r="T672" t="s">
        <v>252</v>
      </c>
      <c r="U672">
        <v>6.2231459666073526E-3</v>
      </c>
      <c r="V672" t="s">
        <v>38</v>
      </c>
    </row>
    <row r="673" spans="9:22" x14ac:dyDescent="0.25">
      <c r="I673" t="s">
        <v>58</v>
      </c>
      <c r="J673" t="s">
        <v>253</v>
      </c>
      <c r="K673">
        <v>0</v>
      </c>
      <c r="L673" t="s">
        <v>38</v>
      </c>
      <c r="N673" t="s">
        <v>59</v>
      </c>
      <c r="O673" t="s">
        <v>253</v>
      </c>
      <c r="P673">
        <v>6.526219129279612E-3</v>
      </c>
      <c r="Q673" t="s">
        <v>38</v>
      </c>
      <c r="S673" t="s">
        <v>60</v>
      </c>
      <c r="T673" t="s">
        <v>253</v>
      </c>
      <c r="U673">
        <v>6.2034541683698603E-3</v>
      </c>
      <c r="V673" t="s">
        <v>38</v>
      </c>
    </row>
    <row r="674" spans="9:22" x14ac:dyDescent="0.25">
      <c r="I674" t="s">
        <v>58</v>
      </c>
      <c r="J674" t="s">
        <v>254</v>
      </c>
      <c r="K674">
        <v>0</v>
      </c>
      <c r="L674" t="s">
        <v>38</v>
      </c>
      <c r="N674" t="s">
        <v>59</v>
      </c>
      <c r="O674" t="s">
        <v>254</v>
      </c>
      <c r="P674">
        <v>1.9756646913961687E-2</v>
      </c>
      <c r="Q674" t="s">
        <v>38</v>
      </c>
      <c r="S674" t="s">
        <v>60</v>
      </c>
      <c r="T674" t="s">
        <v>254</v>
      </c>
      <c r="U674">
        <v>1.827899897819641E-2</v>
      </c>
      <c r="V674" t="s">
        <v>38</v>
      </c>
    </row>
    <row r="675" spans="9:22" x14ac:dyDescent="0.25">
      <c r="I675" t="s">
        <v>61</v>
      </c>
      <c r="J675" t="s">
        <v>159</v>
      </c>
      <c r="K675">
        <v>0</v>
      </c>
      <c r="L675" t="s">
        <v>38</v>
      </c>
      <c r="N675" t="s">
        <v>62</v>
      </c>
      <c r="O675" t="s">
        <v>159</v>
      </c>
      <c r="P675">
        <v>2.1302593023377277E-2</v>
      </c>
      <c r="Q675" t="s">
        <v>38</v>
      </c>
      <c r="S675" t="s">
        <v>63</v>
      </c>
      <c r="T675" t="s">
        <v>159</v>
      </c>
      <c r="U675">
        <v>2.0110113891458514E-2</v>
      </c>
      <c r="V675" t="s">
        <v>38</v>
      </c>
    </row>
    <row r="676" spans="9:22" x14ac:dyDescent="0.25">
      <c r="I676" t="s">
        <v>61</v>
      </c>
      <c r="J676" t="s">
        <v>160</v>
      </c>
      <c r="K676">
        <v>0</v>
      </c>
      <c r="L676" t="s">
        <v>38</v>
      </c>
      <c r="N676" t="s">
        <v>62</v>
      </c>
      <c r="O676" t="s">
        <v>160</v>
      </c>
      <c r="P676">
        <v>4.2149873926452756E-3</v>
      </c>
      <c r="Q676" t="s">
        <v>38</v>
      </c>
      <c r="S676" t="s">
        <v>63</v>
      </c>
      <c r="T676" t="s">
        <v>160</v>
      </c>
      <c r="U676">
        <v>4.2090189216902364E-3</v>
      </c>
      <c r="V676" t="s">
        <v>38</v>
      </c>
    </row>
    <row r="677" spans="9:22" x14ac:dyDescent="0.25">
      <c r="I677" t="s">
        <v>61</v>
      </c>
      <c r="J677" t="s">
        <v>161</v>
      </c>
      <c r="K677">
        <v>1.0991757294581328E-2</v>
      </c>
      <c r="L677" t="s">
        <v>38</v>
      </c>
      <c r="N677" t="s">
        <v>62</v>
      </c>
      <c r="O677" t="s">
        <v>161</v>
      </c>
      <c r="P677">
        <v>3.7615480965005763E-2</v>
      </c>
      <c r="Q677" t="s">
        <v>38</v>
      </c>
      <c r="S677" t="s">
        <v>63</v>
      </c>
      <c r="T677" t="s">
        <v>161</v>
      </c>
      <c r="U677">
        <v>3.6511034033667567E-2</v>
      </c>
      <c r="V677" t="s">
        <v>38</v>
      </c>
    </row>
    <row r="678" spans="9:22" x14ac:dyDescent="0.25">
      <c r="I678" t="s">
        <v>61</v>
      </c>
      <c r="J678" t="s">
        <v>162</v>
      </c>
      <c r="K678">
        <v>9.4071798727060141E-4</v>
      </c>
      <c r="L678" t="s">
        <v>38</v>
      </c>
      <c r="N678" t="s">
        <v>62</v>
      </c>
      <c r="O678" t="s">
        <v>162</v>
      </c>
      <c r="P678">
        <v>4.2597883264701465E-3</v>
      </c>
      <c r="Q678" t="s">
        <v>38</v>
      </c>
      <c r="S678" t="s">
        <v>63</v>
      </c>
      <c r="T678" t="s">
        <v>162</v>
      </c>
      <c r="U678">
        <v>3.8961970730965125E-3</v>
      </c>
      <c r="V678" t="s">
        <v>38</v>
      </c>
    </row>
    <row r="679" spans="9:22" x14ac:dyDescent="0.25">
      <c r="I679" t="s">
        <v>61</v>
      </c>
      <c r="J679" t="s">
        <v>163</v>
      </c>
      <c r="K679">
        <v>0</v>
      </c>
      <c r="L679" t="s">
        <v>38</v>
      </c>
      <c r="N679" t="s">
        <v>62</v>
      </c>
      <c r="O679" t="s">
        <v>163</v>
      </c>
      <c r="P679">
        <v>1.2391368825054806E-2</v>
      </c>
      <c r="Q679" t="s">
        <v>38</v>
      </c>
      <c r="S679" t="s">
        <v>63</v>
      </c>
      <c r="T679" t="s">
        <v>163</v>
      </c>
      <c r="U679">
        <v>1.1400640130089918E-2</v>
      </c>
      <c r="V679" t="s">
        <v>38</v>
      </c>
    </row>
    <row r="680" spans="9:22" x14ac:dyDescent="0.25">
      <c r="I680" t="s">
        <v>61</v>
      </c>
      <c r="J680" t="s">
        <v>164</v>
      </c>
      <c r="K680">
        <v>0</v>
      </c>
      <c r="L680" t="s">
        <v>38</v>
      </c>
      <c r="N680" t="s">
        <v>62</v>
      </c>
      <c r="O680" t="s">
        <v>164</v>
      </c>
      <c r="P680">
        <v>4.0113105317416235E-3</v>
      </c>
      <c r="Q680" t="s">
        <v>38</v>
      </c>
      <c r="S680" t="s">
        <v>63</v>
      </c>
      <c r="T680" t="s">
        <v>164</v>
      </c>
      <c r="U680">
        <v>3.5904578885747364E-3</v>
      </c>
      <c r="V680" t="s">
        <v>38</v>
      </c>
    </row>
    <row r="681" spans="9:22" x14ac:dyDescent="0.25">
      <c r="I681" t="s">
        <v>61</v>
      </c>
      <c r="J681" t="s">
        <v>165</v>
      </c>
      <c r="K681">
        <v>0</v>
      </c>
      <c r="L681" t="s">
        <v>38</v>
      </c>
      <c r="N681" t="s">
        <v>62</v>
      </c>
      <c r="O681" t="s">
        <v>165</v>
      </c>
      <c r="P681">
        <v>3.9698477623255225E-3</v>
      </c>
      <c r="Q681" t="s">
        <v>38</v>
      </c>
      <c r="S681" t="s">
        <v>63</v>
      </c>
      <c r="T681" t="s">
        <v>165</v>
      </c>
      <c r="U681">
        <v>3.5518348474263394E-3</v>
      </c>
      <c r="V681" t="s">
        <v>38</v>
      </c>
    </row>
    <row r="682" spans="9:22" x14ac:dyDescent="0.25">
      <c r="I682" t="s">
        <v>61</v>
      </c>
      <c r="J682" t="s">
        <v>166</v>
      </c>
      <c r="K682">
        <v>0</v>
      </c>
      <c r="L682" t="s">
        <v>38</v>
      </c>
      <c r="N682" t="s">
        <v>62</v>
      </c>
      <c r="O682" t="s">
        <v>166</v>
      </c>
      <c r="P682">
        <v>1.1799861635925215E-2</v>
      </c>
      <c r="Q682" t="s">
        <v>38</v>
      </c>
      <c r="S682" t="s">
        <v>63</v>
      </c>
      <c r="T682" t="s">
        <v>166</v>
      </c>
      <c r="U682">
        <v>1.1074347948677062E-2</v>
      </c>
      <c r="V682" t="s">
        <v>38</v>
      </c>
    </row>
    <row r="683" spans="9:22" x14ac:dyDescent="0.25">
      <c r="I683" t="s">
        <v>61</v>
      </c>
      <c r="J683" t="s">
        <v>167</v>
      </c>
      <c r="K683">
        <v>0</v>
      </c>
      <c r="L683" t="s">
        <v>38</v>
      </c>
      <c r="N683" t="s">
        <v>62</v>
      </c>
      <c r="O683" t="s">
        <v>167</v>
      </c>
      <c r="P683">
        <v>9.6295107674570189E-3</v>
      </c>
      <c r="Q683" t="s">
        <v>38</v>
      </c>
      <c r="S683" t="s">
        <v>63</v>
      </c>
      <c r="T683" t="s">
        <v>167</v>
      </c>
      <c r="U683">
        <v>1.2394839208273965E-2</v>
      </c>
      <c r="V683" t="s">
        <v>38</v>
      </c>
    </row>
    <row r="684" spans="9:22" x14ac:dyDescent="0.25">
      <c r="I684" t="s">
        <v>61</v>
      </c>
      <c r="J684" t="s">
        <v>168</v>
      </c>
      <c r="K684">
        <v>0</v>
      </c>
      <c r="L684" t="s">
        <v>38</v>
      </c>
      <c r="N684" t="s">
        <v>62</v>
      </c>
      <c r="O684" t="s">
        <v>168</v>
      </c>
      <c r="P684">
        <v>2.0912447767219627E-3</v>
      </c>
      <c r="Q684" t="s">
        <v>38</v>
      </c>
      <c r="S684" t="s">
        <v>63</v>
      </c>
      <c r="T684" t="s">
        <v>168</v>
      </c>
      <c r="U684">
        <v>2.6019401710250145E-3</v>
      </c>
      <c r="V684" t="s">
        <v>38</v>
      </c>
    </row>
    <row r="685" spans="9:22" x14ac:dyDescent="0.25">
      <c r="I685" t="s">
        <v>61</v>
      </c>
      <c r="J685" t="s">
        <v>169</v>
      </c>
      <c r="K685">
        <v>3.0019790393472516E-2</v>
      </c>
      <c r="L685" t="s">
        <v>38</v>
      </c>
      <c r="N685" t="s">
        <v>62</v>
      </c>
      <c r="O685" t="s">
        <v>169</v>
      </c>
      <c r="P685">
        <v>2.0637888391221403E-2</v>
      </c>
      <c r="Q685" t="s">
        <v>38</v>
      </c>
      <c r="S685" t="s">
        <v>63</v>
      </c>
      <c r="T685" t="s">
        <v>169</v>
      </c>
      <c r="U685">
        <v>2.3184312497975125E-2</v>
      </c>
      <c r="V685" t="s">
        <v>38</v>
      </c>
    </row>
    <row r="686" spans="9:22" x14ac:dyDescent="0.25">
      <c r="I686" t="s">
        <v>61</v>
      </c>
      <c r="J686" t="s">
        <v>170</v>
      </c>
      <c r="K686">
        <v>3.770556506144866E-3</v>
      </c>
      <c r="L686" t="s">
        <v>38</v>
      </c>
      <c r="N686" t="s">
        <v>62</v>
      </c>
      <c r="O686" t="s">
        <v>170</v>
      </c>
      <c r="P686">
        <v>2.4617250363147295E-3</v>
      </c>
      <c r="Q686" t="s">
        <v>38</v>
      </c>
      <c r="S686" t="s">
        <v>63</v>
      </c>
      <c r="T686" t="s">
        <v>170</v>
      </c>
      <c r="U686">
        <v>2.5493858869976771E-3</v>
      </c>
      <c r="V686" t="s">
        <v>38</v>
      </c>
    </row>
    <row r="687" spans="9:22" x14ac:dyDescent="0.25">
      <c r="I687" t="s">
        <v>61</v>
      </c>
      <c r="J687" t="s">
        <v>171</v>
      </c>
      <c r="K687">
        <v>2.1156142953967978E-3</v>
      </c>
      <c r="L687" t="s">
        <v>38</v>
      </c>
      <c r="N687" t="s">
        <v>62</v>
      </c>
      <c r="O687" t="s">
        <v>171</v>
      </c>
      <c r="P687">
        <v>7.6711613272408812E-3</v>
      </c>
      <c r="Q687" t="s">
        <v>38</v>
      </c>
      <c r="S687" t="s">
        <v>63</v>
      </c>
      <c r="T687" t="s">
        <v>171</v>
      </c>
      <c r="U687">
        <v>7.7982193072503835E-3</v>
      </c>
      <c r="V687" t="s">
        <v>38</v>
      </c>
    </row>
    <row r="688" spans="9:22" x14ac:dyDescent="0.25">
      <c r="I688" t="s">
        <v>61</v>
      </c>
      <c r="J688" t="s">
        <v>172</v>
      </c>
      <c r="K688">
        <v>0</v>
      </c>
      <c r="L688" t="s">
        <v>38</v>
      </c>
      <c r="N688" t="s">
        <v>62</v>
      </c>
      <c r="O688" t="s">
        <v>172</v>
      </c>
      <c r="P688">
        <v>2.5067609353690195E-3</v>
      </c>
      <c r="Q688" t="s">
        <v>38</v>
      </c>
      <c r="S688" t="s">
        <v>63</v>
      </c>
      <c r="T688" t="s">
        <v>172</v>
      </c>
      <c r="U688">
        <v>2.662763986033228E-3</v>
      </c>
      <c r="V688" t="s">
        <v>38</v>
      </c>
    </row>
    <row r="689" spans="9:22" x14ac:dyDescent="0.25">
      <c r="I689" t="s">
        <v>61</v>
      </c>
      <c r="J689" t="s">
        <v>173</v>
      </c>
      <c r="K689">
        <v>0</v>
      </c>
      <c r="L689" t="s">
        <v>38</v>
      </c>
      <c r="N689" t="s">
        <v>62</v>
      </c>
      <c r="O689" t="s">
        <v>173</v>
      </c>
      <c r="P689">
        <v>2.3678181924779384E-3</v>
      </c>
      <c r="Q689" t="s">
        <v>38</v>
      </c>
      <c r="S689" t="s">
        <v>63</v>
      </c>
      <c r="T689" t="s">
        <v>173</v>
      </c>
      <c r="U689">
        <v>2.6263304183693414E-3</v>
      </c>
      <c r="V689" t="s">
        <v>38</v>
      </c>
    </row>
    <row r="690" spans="9:22" x14ac:dyDescent="0.25">
      <c r="I690" t="s">
        <v>61</v>
      </c>
      <c r="J690" t="s">
        <v>174</v>
      </c>
      <c r="K690">
        <v>0</v>
      </c>
      <c r="L690" t="s">
        <v>38</v>
      </c>
      <c r="N690" t="s">
        <v>62</v>
      </c>
      <c r="O690" t="s">
        <v>174</v>
      </c>
      <c r="P690">
        <v>6.6144998711483109E-3</v>
      </c>
      <c r="Q690" t="s">
        <v>38</v>
      </c>
      <c r="S690" t="s">
        <v>63</v>
      </c>
      <c r="T690" t="s">
        <v>174</v>
      </c>
      <c r="U690">
        <v>7.5499209358566447E-3</v>
      </c>
      <c r="V690" t="s">
        <v>38</v>
      </c>
    </row>
    <row r="691" spans="9:22" x14ac:dyDescent="0.25">
      <c r="I691" t="s">
        <v>61</v>
      </c>
      <c r="J691" t="s">
        <v>175</v>
      </c>
      <c r="K691">
        <v>0</v>
      </c>
      <c r="L691" t="s">
        <v>38</v>
      </c>
      <c r="N691" t="s">
        <v>62</v>
      </c>
      <c r="O691" t="s">
        <v>175</v>
      </c>
      <c r="P691">
        <v>1.7626389351679608E-2</v>
      </c>
      <c r="Q691" t="s">
        <v>38</v>
      </c>
      <c r="S691" t="s">
        <v>63</v>
      </c>
      <c r="T691" t="s">
        <v>175</v>
      </c>
      <c r="U691">
        <v>1.4574729567187973E-2</v>
      </c>
      <c r="V691" t="s">
        <v>38</v>
      </c>
    </row>
    <row r="692" spans="9:22" x14ac:dyDescent="0.25">
      <c r="I692" t="s">
        <v>61</v>
      </c>
      <c r="J692" t="s">
        <v>176</v>
      </c>
      <c r="K692">
        <v>0</v>
      </c>
      <c r="L692" t="s">
        <v>38</v>
      </c>
      <c r="N692" t="s">
        <v>62</v>
      </c>
      <c r="O692" t="s">
        <v>176</v>
      </c>
      <c r="P692">
        <v>3.3618125310611352E-3</v>
      </c>
      <c r="Q692" t="s">
        <v>38</v>
      </c>
      <c r="S692" t="s">
        <v>63</v>
      </c>
      <c r="T692" t="s">
        <v>176</v>
      </c>
      <c r="U692">
        <v>2.6121402114640444E-3</v>
      </c>
      <c r="V692" t="s">
        <v>38</v>
      </c>
    </row>
    <row r="693" spans="9:22" x14ac:dyDescent="0.25">
      <c r="I693" t="s">
        <v>61</v>
      </c>
      <c r="J693" t="s">
        <v>177</v>
      </c>
      <c r="K693">
        <v>9.2120029633861719E-2</v>
      </c>
      <c r="L693" t="s">
        <v>38</v>
      </c>
      <c r="N693" t="s">
        <v>62</v>
      </c>
      <c r="O693" t="s">
        <v>177</v>
      </c>
      <c r="P693">
        <v>2.8530120561828829E-2</v>
      </c>
      <c r="Q693" t="s">
        <v>38</v>
      </c>
      <c r="S693" t="s">
        <v>63</v>
      </c>
      <c r="T693" t="s">
        <v>177</v>
      </c>
      <c r="U693">
        <v>2.6208899901885845E-2</v>
      </c>
      <c r="V693" t="s">
        <v>38</v>
      </c>
    </row>
    <row r="694" spans="9:22" x14ac:dyDescent="0.25">
      <c r="I694" t="s">
        <v>61</v>
      </c>
      <c r="J694" t="s">
        <v>178</v>
      </c>
      <c r="K694">
        <v>1.0474902390885082E-2</v>
      </c>
      <c r="L694" t="s">
        <v>38</v>
      </c>
      <c r="N694" t="s">
        <v>62</v>
      </c>
      <c r="O694" t="s">
        <v>178</v>
      </c>
      <c r="P694">
        <v>3.3139476099165025E-3</v>
      </c>
      <c r="Q694" t="s">
        <v>38</v>
      </c>
      <c r="S694" t="s">
        <v>63</v>
      </c>
      <c r="T694" t="s">
        <v>178</v>
      </c>
      <c r="U694">
        <v>3.5106650480308706E-3</v>
      </c>
      <c r="V694" t="s">
        <v>38</v>
      </c>
    </row>
    <row r="695" spans="9:22" x14ac:dyDescent="0.25">
      <c r="I695" t="s">
        <v>61</v>
      </c>
      <c r="J695" t="s">
        <v>179</v>
      </c>
      <c r="K695">
        <v>1.3945456946345991E-2</v>
      </c>
      <c r="L695" t="s">
        <v>38</v>
      </c>
      <c r="N695" t="s">
        <v>62</v>
      </c>
      <c r="O695" t="s">
        <v>179</v>
      </c>
      <c r="P695">
        <v>1.1112665579431615E-2</v>
      </c>
      <c r="Q695" t="s">
        <v>38</v>
      </c>
      <c r="S695" t="s">
        <v>63</v>
      </c>
      <c r="T695" t="s">
        <v>179</v>
      </c>
      <c r="U695">
        <v>1.1315216734763132E-2</v>
      </c>
      <c r="V695" t="s">
        <v>38</v>
      </c>
    </row>
    <row r="696" spans="9:22" x14ac:dyDescent="0.25">
      <c r="I696" t="s">
        <v>61</v>
      </c>
      <c r="J696" t="s">
        <v>180</v>
      </c>
      <c r="K696">
        <v>0</v>
      </c>
      <c r="L696" t="s">
        <v>38</v>
      </c>
      <c r="N696" t="s">
        <v>62</v>
      </c>
      <c r="O696" t="s">
        <v>180</v>
      </c>
      <c r="P696">
        <v>4.108589943177355E-3</v>
      </c>
      <c r="Q696" t="s">
        <v>38</v>
      </c>
      <c r="S696" t="s">
        <v>63</v>
      </c>
      <c r="T696" t="s">
        <v>180</v>
      </c>
      <c r="U696">
        <v>3.7080020322824664E-3</v>
      </c>
      <c r="V696" t="s">
        <v>38</v>
      </c>
    </row>
    <row r="697" spans="9:22" x14ac:dyDescent="0.25">
      <c r="I697" t="s">
        <v>61</v>
      </c>
      <c r="J697" t="s">
        <v>181</v>
      </c>
      <c r="K697">
        <v>0</v>
      </c>
      <c r="L697" t="s">
        <v>38</v>
      </c>
      <c r="N697" t="s">
        <v>62</v>
      </c>
      <c r="O697" t="s">
        <v>181</v>
      </c>
      <c r="P697">
        <v>4.1400981809578763E-3</v>
      </c>
      <c r="Q697" t="s">
        <v>38</v>
      </c>
      <c r="S697" t="s">
        <v>63</v>
      </c>
      <c r="T697" t="s">
        <v>181</v>
      </c>
      <c r="U697">
        <v>3.5408126717562847E-3</v>
      </c>
      <c r="V697" t="s">
        <v>38</v>
      </c>
    </row>
    <row r="698" spans="9:22" x14ac:dyDescent="0.25">
      <c r="I698" t="s">
        <v>61</v>
      </c>
      <c r="J698" t="s">
        <v>182</v>
      </c>
      <c r="K698">
        <v>0</v>
      </c>
      <c r="L698" t="s">
        <v>38</v>
      </c>
      <c r="N698" t="s">
        <v>62</v>
      </c>
      <c r="O698" t="s">
        <v>182</v>
      </c>
      <c r="P698">
        <v>1.158339212760038E-2</v>
      </c>
      <c r="Q698" t="s">
        <v>38</v>
      </c>
      <c r="S698" t="s">
        <v>63</v>
      </c>
      <c r="T698" t="s">
        <v>182</v>
      </c>
      <c r="U698">
        <v>9.6423791842831699E-3</v>
      </c>
      <c r="V698" t="s">
        <v>38</v>
      </c>
    </row>
    <row r="699" spans="9:22" x14ac:dyDescent="0.25">
      <c r="I699" t="s">
        <v>61</v>
      </c>
      <c r="J699" t="s">
        <v>183</v>
      </c>
      <c r="K699">
        <v>0</v>
      </c>
      <c r="L699" t="s">
        <v>38</v>
      </c>
      <c r="N699" t="s">
        <v>62</v>
      </c>
      <c r="O699" t="s">
        <v>183</v>
      </c>
      <c r="P699">
        <v>1.8643295340340069E-2</v>
      </c>
      <c r="Q699" t="s">
        <v>38</v>
      </c>
      <c r="S699" t="s">
        <v>63</v>
      </c>
      <c r="T699" t="s">
        <v>183</v>
      </c>
      <c r="U699">
        <v>1.9588855512661027E-2</v>
      </c>
      <c r="V699" t="s">
        <v>38</v>
      </c>
    </row>
    <row r="700" spans="9:22" x14ac:dyDescent="0.25">
      <c r="I700" t="s">
        <v>61</v>
      </c>
      <c r="J700" t="s">
        <v>184</v>
      </c>
      <c r="K700">
        <v>1.5170926774658545E-3</v>
      </c>
      <c r="L700" t="s">
        <v>38</v>
      </c>
      <c r="N700" t="s">
        <v>62</v>
      </c>
      <c r="O700" t="s">
        <v>184</v>
      </c>
      <c r="P700">
        <v>3.8493567845536026E-3</v>
      </c>
      <c r="Q700" t="s">
        <v>38</v>
      </c>
      <c r="S700" t="s">
        <v>63</v>
      </c>
      <c r="T700" t="s">
        <v>184</v>
      </c>
      <c r="U700">
        <v>4.2351014128108287E-3</v>
      </c>
      <c r="V700" t="s">
        <v>38</v>
      </c>
    </row>
    <row r="701" spans="9:22" x14ac:dyDescent="0.25">
      <c r="I701" t="s">
        <v>61</v>
      </c>
      <c r="J701" t="s">
        <v>185</v>
      </c>
      <c r="K701">
        <v>8.9080654347093516E-2</v>
      </c>
      <c r="L701" t="s">
        <v>38</v>
      </c>
      <c r="N701" t="s">
        <v>62</v>
      </c>
      <c r="O701" t="s">
        <v>185</v>
      </c>
      <c r="P701">
        <v>3.4020762538385457E-2</v>
      </c>
      <c r="Q701" t="s">
        <v>38</v>
      </c>
      <c r="S701" t="s">
        <v>63</v>
      </c>
      <c r="T701" t="s">
        <v>185</v>
      </c>
      <c r="U701">
        <v>3.6629352957884928E-2</v>
      </c>
      <c r="V701" t="s">
        <v>38</v>
      </c>
    </row>
    <row r="702" spans="9:22" x14ac:dyDescent="0.25">
      <c r="I702" t="s">
        <v>61</v>
      </c>
      <c r="J702" t="s">
        <v>186</v>
      </c>
      <c r="K702">
        <v>1.055787301226657E-2</v>
      </c>
      <c r="L702" t="s">
        <v>38</v>
      </c>
      <c r="N702" t="s">
        <v>62</v>
      </c>
      <c r="O702" t="s">
        <v>186</v>
      </c>
      <c r="P702">
        <v>3.9262136729735948E-3</v>
      </c>
      <c r="Q702" t="s">
        <v>38</v>
      </c>
      <c r="S702" t="s">
        <v>63</v>
      </c>
      <c r="T702" t="s">
        <v>186</v>
      </c>
      <c r="U702">
        <v>3.8860492125194104E-3</v>
      </c>
      <c r="V702" t="s">
        <v>38</v>
      </c>
    </row>
    <row r="703" spans="9:22" x14ac:dyDescent="0.25">
      <c r="I703" t="s">
        <v>61</v>
      </c>
      <c r="J703" t="s">
        <v>187</v>
      </c>
      <c r="K703">
        <v>1.9636717123876608E-2</v>
      </c>
      <c r="L703" t="s">
        <v>38</v>
      </c>
      <c r="N703" t="s">
        <v>62</v>
      </c>
      <c r="O703" t="s">
        <v>187</v>
      </c>
      <c r="P703">
        <v>1.1791044744036435E-2</v>
      </c>
      <c r="Q703" t="s">
        <v>38</v>
      </c>
      <c r="S703" t="s">
        <v>63</v>
      </c>
      <c r="T703" t="s">
        <v>187</v>
      </c>
      <c r="U703">
        <v>1.11526529413765E-2</v>
      </c>
      <c r="V703" t="s">
        <v>38</v>
      </c>
    </row>
    <row r="704" spans="9:22" x14ac:dyDescent="0.25">
      <c r="I704" t="s">
        <v>61</v>
      </c>
      <c r="J704" t="s">
        <v>188</v>
      </c>
      <c r="K704">
        <v>6.6303413842771673E-4</v>
      </c>
      <c r="L704" t="s">
        <v>38</v>
      </c>
      <c r="N704" t="s">
        <v>62</v>
      </c>
      <c r="O704" t="s">
        <v>188</v>
      </c>
      <c r="P704">
        <v>4.0417775084017858E-3</v>
      </c>
      <c r="Q704" t="s">
        <v>38</v>
      </c>
      <c r="S704" t="s">
        <v>63</v>
      </c>
      <c r="T704" t="s">
        <v>188</v>
      </c>
      <c r="U704">
        <v>3.6886598016175297E-3</v>
      </c>
      <c r="V704" t="s">
        <v>38</v>
      </c>
    </row>
    <row r="705" spans="9:22" x14ac:dyDescent="0.25">
      <c r="I705" t="s">
        <v>61</v>
      </c>
      <c r="J705" t="s">
        <v>189</v>
      </c>
      <c r="K705">
        <v>0</v>
      </c>
      <c r="L705" t="s">
        <v>38</v>
      </c>
      <c r="N705" t="s">
        <v>62</v>
      </c>
      <c r="O705" t="s">
        <v>189</v>
      </c>
      <c r="P705">
        <v>4.1152018027403774E-3</v>
      </c>
      <c r="Q705" t="s">
        <v>38</v>
      </c>
      <c r="S705" t="s">
        <v>63</v>
      </c>
      <c r="T705" t="s">
        <v>189</v>
      </c>
      <c r="U705">
        <v>3.7622508179850824E-3</v>
      </c>
      <c r="V705" t="s">
        <v>38</v>
      </c>
    </row>
    <row r="706" spans="9:22" x14ac:dyDescent="0.25">
      <c r="I706" t="s">
        <v>61</v>
      </c>
      <c r="J706" t="s">
        <v>190</v>
      </c>
      <c r="K706">
        <v>0</v>
      </c>
      <c r="L706" t="s">
        <v>38</v>
      </c>
      <c r="N706" t="s">
        <v>62</v>
      </c>
      <c r="O706" t="s">
        <v>190</v>
      </c>
      <c r="P706">
        <v>1.244004552316377E-2</v>
      </c>
      <c r="Q706" t="s">
        <v>38</v>
      </c>
      <c r="S706" t="s">
        <v>63</v>
      </c>
      <c r="T706" t="s">
        <v>190</v>
      </c>
      <c r="U706">
        <v>1.1863839899075461E-2</v>
      </c>
      <c r="V706" t="s">
        <v>38</v>
      </c>
    </row>
    <row r="707" spans="9:22" x14ac:dyDescent="0.25">
      <c r="I707" t="s">
        <v>61</v>
      </c>
      <c r="J707" t="s">
        <v>191</v>
      </c>
      <c r="K707">
        <v>2.0004491837752776E-3</v>
      </c>
      <c r="L707" t="s">
        <v>38</v>
      </c>
      <c r="N707" t="s">
        <v>62</v>
      </c>
      <c r="O707" t="s">
        <v>191</v>
      </c>
      <c r="P707">
        <v>1.5700247268072773E-2</v>
      </c>
      <c r="Q707" t="s">
        <v>38</v>
      </c>
      <c r="S707" t="s">
        <v>63</v>
      </c>
      <c r="T707" t="s">
        <v>191</v>
      </c>
      <c r="U707">
        <v>1.6996805767538144E-2</v>
      </c>
      <c r="V707" t="s">
        <v>38</v>
      </c>
    </row>
    <row r="708" spans="9:22" x14ac:dyDescent="0.25">
      <c r="I708" t="s">
        <v>61</v>
      </c>
      <c r="J708" t="s">
        <v>192</v>
      </c>
      <c r="K708">
        <v>5.5895493800241277E-3</v>
      </c>
      <c r="L708" t="s">
        <v>38</v>
      </c>
      <c r="N708" t="s">
        <v>62</v>
      </c>
      <c r="O708" t="s">
        <v>192</v>
      </c>
      <c r="P708">
        <v>2.7842552909211351E-3</v>
      </c>
      <c r="Q708" t="s">
        <v>38</v>
      </c>
      <c r="S708" t="s">
        <v>63</v>
      </c>
      <c r="T708" t="s">
        <v>192</v>
      </c>
      <c r="U708">
        <v>3.4603787288806451E-3</v>
      </c>
      <c r="V708" t="s">
        <v>38</v>
      </c>
    </row>
    <row r="709" spans="9:22" x14ac:dyDescent="0.25">
      <c r="I709" t="s">
        <v>61</v>
      </c>
      <c r="J709" t="s">
        <v>193</v>
      </c>
      <c r="K709">
        <v>0.10551882831824563</v>
      </c>
      <c r="L709" t="s">
        <v>38</v>
      </c>
      <c r="N709" t="s">
        <v>62</v>
      </c>
      <c r="O709" t="s">
        <v>193</v>
      </c>
      <c r="P709">
        <v>2.608709353211347E-2</v>
      </c>
      <c r="Q709" t="s">
        <v>38</v>
      </c>
      <c r="S709" t="s">
        <v>63</v>
      </c>
      <c r="T709" t="s">
        <v>193</v>
      </c>
      <c r="U709">
        <v>3.0348216227807024E-2</v>
      </c>
      <c r="V709" t="s">
        <v>38</v>
      </c>
    </row>
    <row r="710" spans="9:22" x14ac:dyDescent="0.25">
      <c r="I710" t="s">
        <v>61</v>
      </c>
      <c r="J710" t="s">
        <v>194</v>
      </c>
      <c r="K710">
        <v>1.1098316616782641E-2</v>
      </c>
      <c r="L710" t="s">
        <v>38</v>
      </c>
      <c r="N710" t="s">
        <v>62</v>
      </c>
      <c r="O710" t="s">
        <v>194</v>
      </c>
      <c r="P710">
        <v>3.3803523710352053E-3</v>
      </c>
      <c r="Q710" t="s">
        <v>38</v>
      </c>
      <c r="S710" t="s">
        <v>63</v>
      </c>
      <c r="T710" t="s">
        <v>194</v>
      </c>
      <c r="U710">
        <v>3.1393260553418292E-3</v>
      </c>
      <c r="V710" t="s">
        <v>38</v>
      </c>
    </row>
    <row r="711" spans="9:22" x14ac:dyDescent="0.25">
      <c r="I711" t="s">
        <v>61</v>
      </c>
      <c r="J711" t="s">
        <v>195</v>
      </c>
      <c r="K711">
        <v>2.3786410199542193E-2</v>
      </c>
      <c r="L711" t="s">
        <v>38</v>
      </c>
      <c r="N711" t="s">
        <v>62</v>
      </c>
      <c r="O711" t="s">
        <v>195</v>
      </c>
      <c r="P711">
        <v>1.019261816815558E-2</v>
      </c>
      <c r="Q711" t="s">
        <v>38</v>
      </c>
      <c r="S711" t="s">
        <v>63</v>
      </c>
      <c r="T711" t="s">
        <v>195</v>
      </c>
      <c r="U711">
        <v>9.122485199989443E-3</v>
      </c>
      <c r="V711" t="s">
        <v>38</v>
      </c>
    </row>
    <row r="712" spans="9:22" x14ac:dyDescent="0.25">
      <c r="I712" t="s">
        <v>61</v>
      </c>
      <c r="J712" t="s">
        <v>196</v>
      </c>
      <c r="K712">
        <v>2.8322260822380859E-3</v>
      </c>
      <c r="L712" t="s">
        <v>38</v>
      </c>
      <c r="N712" t="s">
        <v>62</v>
      </c>
      <c r="O712" t="s">
        <v>196</v>
      </c>
      <c r="P712">
        <v>3.4789254038543119E-3</v>
      </c>
      <c r="Q712" t="s">
        <v>38</v>
      </c>
      <c r="S712" t="s">
        <v>63</v>
      </c>
      <c r="T712" t="s">
        <v>196</v>
      </c>
      <c r="U712">
        <v>3.0946336665674239E-3</v>
      </c>
      <c r="V712" t="s">
        <v>38</v>
      </c>
    </row>
    <row r="713" spans="9:22" x14ac:dyDescent="0.25">
      <c r="I713" t="s">
        <v>61</v>
      </c>
      <c r="J713" t="s">
        <v>197</v>
      </c>
      <c r="K713">
        <v>3.2828456650146101E-4</v>
      </c>
      <c r="L713" t="s">
        <v>38</v>
      </c>
      <c r="N713" t="s">
        <v>62</v>
      </c>
      <c r="O713" t="s">
        <v>197</v>
      </c>
      <c r="P713">
        <v>3.5035046170694079E-3</v>
      </c>
      <c r="Q713" t="s">
        <v>38</v>
      </c>
      <c r="S713" t="s">
        <v>63</v>
      </c>
      <c r="T713" t="s">
        <v>197</v>
      </c>
      <c r="U713">
        <v>3.1650498991700484E-3</v>
      </c>
      <c r="V713" t="s">
        <v>38</v>
      </c>
    </row>
    <row r="714" spans="9:22" x14ac:dyDescent="0.25">
      <c r="I714" t="s">
        <v>61</v>
      </c>
      <c r="J714" t="s">
        <v>198</v>
      </c>
      <c r="K714">
        <v>0</v>
      </c>
      <c r="L714" t="s">
        <v>38</v>
      </c>
      <c r="N714" t="s">
        <v>62</v>
      </c>
      <c r="O714" t="s">
        <v>198</v>
      </c>
      <c r="P714">
        <v>1.0079276769565826E-2</v>
      </c>
      <c r="Q714" t="s">
        <v>38</v>
      </c>
      <c r="S714" t="s">
        <v>63</v>
      </c>
      <c r="T714" t="s">
        <v>198</v>
      </c>
      <c r="U714">
        <v>1.0197388916664597E-2</v>
      </c>
      <c r="V714" t="s">
        <v>38</v>
      </c>
    </row>
    <row r="715" spans="9:22" x14ac:dyDescent="0.25">
      <c r="I715" t="s">
        <v>61</v>
      </c>
      <c r="J715" t="s">
        <v>199</v>
      </c>
      <c r="K715">
        <v>2.7456405878244433E-3</v>
      </c>
      <c r="L715" t="s">
        <v>38</v>
      </c>
      <c r="N715" t="s">
        <v>62</v>
      </c>
      <c r="O715" t="s">
        <v>199</v>
      </c>
      <c r="P715">
        <v>1.1094007884558083E-2</v>
      </c>
      <c r="Q715" t="s">
        <v>38</v>
      </c>
      <c r="S715" t="s">
        <v>63</v>
      </c>
      <c r="T715" t="s">
        <v>199</v>
      </c>
      <c r="U715">
        <v>1.4613544070585681E-2</v>
      </c>
      <c r="V715" t="s">
        <v>38</v>
      </c>
    </row>
    <row r="716" spans="9:22" x14ac:dyDescent="0.25">
      <c r="I716" t="s">
        <v>61</v>
      </c>
      <c r="J716" t="s">
        <v>200</v>
      </c>
      <c r="K716">
        <v>5.5189811832062081E-3</v>
      </c>
      <c r="L716" t="s">
        <v>38</v>
      </c>
      <c r="N716" t="s">
        <v>62</v>
      </c>
      <c r="O716" t="s">
        <v>200</v>
      </c>
      <c r="P716">
        <v>1.7886155692032662E-3</v>
      </c>
      <c r="Q716" t="s">
        <v>38</v>
      </c>
      <c r="S716" t="s">
        <v>63</v>
      </c>
      <c r="T716" t="s">
        <v>200</v>
      </c>
      <c r="U716">
        <v>2.6561712698492243E-3</v>
      </c>
      <c r="V716" t="s">
        <v>38</v>
      </c>
    </row>
    <row r="717" spans="9:22" x14ac:dyDescent="0.25">
      <c r="I717" t="s">
        <v>61</v>
      </c>
      <c r="J717" t="s">
        <v>201</v>
      </c>
      <c r="K717">
        <v>9.8292782773530415E-2</v>
      </c>
      <c r="L717" t="s">
        <v>38</v>
      </c>
      <c r="N717" t="s">
        <v>62</v>
      </c>
      <c r="O717" t="s">
        <v>201</v>
      </c>
      <c r="P717">
        <v>1.5795505392942544E-2</v>
      </c>
      <c r="Q717" t="s">
        <v>38</v>
      </c>
      <c r="S717" t="s">
        <v>63</v>
      </c>
      <c r="T717" t="s">
        <v>201</v>
      </c>
      <c r="U717">
        <v>2.3154246388708027E-2</v>
      </c>
      <c r="V717" t="s">
        <v>38</v>
      </c>
    </row>
    <row r="718" spans="9:22" x14ac:dyDescent="0.25">
      <c r="I718" t="s">
        <v>61</v>
      </c>
      <c r="J718" t="s">
        <v>202</v>
      </c>
      <c r="K718">
        <v>1.0652268745893057E-2</v>
      </c>
      <c r="L718" t="s">
        <v>38</v>
      </c>
      <c r="N718" t="s">
        <v>62</v>
      </c>
      <c r="O718" t="s">
        <v>202</v>
      </c>
      <c r="P718">
        <v>2.2163553594750762E-3</v>
      </c>
      <c r="Q718" t="s">
        <v>38</v>
      </c>
      <c r="S718" t="s">
        <v>63</v>
      </c>
      <c r="T718" t="s">
        <v>202</v>
      </c>
      <c r="U718">
        <v>2.4975387909422901E-3</v>
      </c>
      <c r="V718" t="s">
        <v>38</v>
      </c>
    </row>
    <row r="719" spans="9:22" x14ac:dyDescent="0.25">
      <c r="I719" t="s">
        <v>61</v>
      </c>
      <c r="J719" t="s">
        <v>203</v>
      </c>
      <c r="K719">
        <v>2.4206418090378486E-2</v>
      </c>
      <c r="L719" t="s">
        <v>38</v>
      </c>
      <c r="N719" t="s">
        <v>62</v>
      </c>
      <c r="O719" t="s">
        <v>203</v>
      </c>
      <c r="P719">
        <v>6.5834624427894761E-3</v>
      </c>
      <c r="Q719" t="s">
        <v>38</v>
      </c>
      <c r="S719" t="s">
        <v>63</v>
      </c>
      <c r="T719" t="s">
        <v>203</v>
      </c>
      <c r="U719">
        <v>7.9035839745087866E-3</v>
      </c>
      <c r="V719" t="s">
        <v>38</v>
      </c>
    </row>
    <row r="720" spans="9:22" x14ac:dyDescent="0.25">
      <c r="I720" t="s">
        <v>61</v>
      </c>
      <c r="J720" t="s">
        <v>204</v>
      </c>
      <c r="K720">
        <v>4.3579259970887756E-3</v>
      </c>
      <c r="L720" t="s">
        <v>38</v>
      </c>
      <c r="N720" t="s">
        <v>62</v>
      </c>
      <c r="O720" t="s">
        <v>204</v>
      </c>
      <c r="P720">
        <v>2.0790918948623582E-3</v>
      </c>
      <c r="Q720" t="s">
        <v>38</v>
      </c>
      <c r="S720" t="s">
        <v>63</v>
      </c>
      <c r="T720" t="s">
        <v>204</v>
      </c>
      <c r="U720">
        <v>2.7594564866797815E-3</v>
      </c>
      <c r="V720" t="s">
        <v>38</v>
      </c>
    </row>
    <row r="721" spans="9:22" x14ac:dyDescent="0.25">
      <c r="I721" t="s">
        <v>61</v>
      </c>
      <c r="J721" t="s">
        <v>205</v>
      </c>
      <c r="K721">
        <v>1.8346737007096899E-3</v>
      </c>
      <c r="L721" t="s">
        <v>38</v>
      </c>
      <c r="N721" t="s">
        <v>62</v>
      </c>
      <c r="O721" t="s">
        <v>205</v>
      </c>
      <c r="P721">
        <v>2.1380065326391437E-3</v>
      </c>
      <c r="Q721" t="s">
        <v>38</v>
      </c>
      <c r="S721" t="s">
        <v>63</v>
      </c>
      <c r="T721" t="s">
        <v>205</v>
      </c>
      <c r="U721">
        <v>2.7089942875240724E-3</v>
      </c>
      <c r="V721" t="s">
        <v>38</v>
      </c>
    </row>
    <row r="722" spans="9:22" x14ac:dyDescent="0.25">
      <c r="I722" t="s">
        <v>61</v>
      </c>
      <c r="J722" t="s">
        <v>206</v>
      </c>
      <c r="K722">
        <v>0</v>
      </c>
      <c r="L722" t="s">
        <v>38</v>
      </c>
      <c r="N722" t="s">
        <v>62</v>
      </c>
      <c r="O722" t="s">
        <v>206</v>
      </c>
      <c r="P722">
        <v>6.7840617511364023E-3</v>
      </c>
      <c r="Q722" t="s">
        <v>38</v>
      </c>
      <c r="S722" t="s">
        <v>63</v>
      </c>
      <c r="T722" t="s">
        <v>206</v>
      </c>
      <c r="U722">
        <v>8.2702705061062712E-3</v>
      </c>
      <c r="V722" t="s">
        <v>38</v>
      </c>
    </row>
    <row r="723" spans="9:22" x14ac:dyDescent="0.25">
      <c r="I723" t="s">
        <v>61</v>
      </c>
      <c r="J723" t="s">
        <v>207</v>
      </c>
      <c r="K723">
        <v>2.3716110837138189E-3</v>
      </c>
      <c r="L723" t="s">
        <v>38</v>
      </c>
      <c r="N723" t="s">
        <v>62</v>
      </c>
      <c r="O723" t="s">
        <v>207</v>
      </c>
      <c r="P723">
        <v>1.3624940148632273E-2</v>
      </c>
      <c r="Q723" t="s">
        <v>38</v>
      </c>
      <c r="S723" t="s">
        <v>63</v>
      </c>
      <c r="T723" t="s">
        <v>207</v>
      </c>
      <c r="U723">
        <v>1.3427889429966916E-2</v>
      </c>
      <c r="V723" t="s">
        <v>38</v>
      </c>
    </row>
    <row r="724" spans="9:22" x14ac:dyDescent="0.25">
      <c r="I724" t="s">
        <v>61</v>
      </c>
      <c r="J724" t="s">
        <v>208</v>
      </c>
      <c r="K724">
        <v>5.2473388354320975E-3</v>
      </c>
      <c r="L724" t="s">
        <v>38</v>
      </c>
      <c r="N724" t="s">
        <v>62</v>
      </c>
      <c r="O724" t="s">
        <v>208</v>
      </c>
      <c r="P724">
        <v>2.1516116574931791E-3</v>
      </c>
      <c r="Q724" t="s">
        <v>38</v>
      </c>
      <c r="S724" t="s">
        <v>63</v>
      </c>
      <c r="T724" t="s">
        <v>208</v>
      </c>
      <c r="U724">
        <v>2.3892489225572906E-3</v>
      </c>
      <c r="V724" t="s">
        <v>38</v>
      </c>
    </row>
    <row r="725" spans="9:22" x14ac:dyDescent="0.25">
      <c r="I725" t="s">
        <v>61</v>
      </c>
      <c r="J725" t="s">
        <v>209</v>
      </c>
      <c r="K725">
        <v>9.5495898975482205E-2</v>
      </c>
      <c r="L725" t="s">
        <v>38</v>
      </c>
      <c r="N725" t="s">
        <v>62</v>
      </c>
      <c r="O725" t="s">
        <v>209</v>
      </c>
      <c r="P725">
        <v>1.8667741433531636E-2</v>
      </c>
      <c r="Q725" t="s">
        <v>38</v>
      </c>
      <c r="S725" t="s">
        <v>63</v>
      </c>
      <c r="T725" t="s">
        <v>209</v>
      </c>
      <c r="U725">
        <v>2.2790815214079087E-2</v>
      </c>
      <c r="V725" t="s">
        <v>38</v>
      </c>
    </row>
    <row r="726" spans="9:22" x14ac:dyDescent="0.25">
      <c r="I726" t="s">
        <v>61</v>
      </c>
      <c r="J726" t="s">
        <v>210</v>
      </c>
      <c r="K726">
        <v>1.0662932450713614E-2</v>
      </c>
      <c r="L726" t="s">
        <v>38</v>
      </c>
      <c r="N726" t="s">
        <v>62</v>
      </c>
      <c r="O726" t="s">
        <v>210</v>
      </c>
      <c r="P726">
        <v>2.6025239515427732E-3</v>
      </c>
      <c r="Q726" t="s">
        <v>38</v>
      </c>
      <c r="S726" t="s">
        <v>63</v>
      </c>
      <c r="T726" t="s">
        <v>210</v>
      </c>
      <c r="U726">
        <v>2.8553127775974656E-3</v>
      </c>
      <c r="V726" t="s">
        <v>38</v>
      </c>
    </row>
    <row r="727" spans="9:22" x14ac:dyDescent="0.25">
      <c r="I727" t="s">
        <v>61</v>
      </c>
      <c r="J727" t="s">
        <v>211</v>
      </c>
      <c r="K727">
        <v>2.5847814561981642E-2</v>
      </c>
      <c r="L727" t="s">
        <v>38</v>
      </c>
      <c r="N727" t="s">
        <v>62</v>
      </c>
      <c r="O727" t="s">
        <v>211</v>
      </c>
      <c r="P727">
        <v>8.53642506127846E-3</v>
      </c>
      <c r="Q727" t="s">
        <v>38</v>
      </c>
      <c r="S727" t="s">
        <v>63</v>
      </c>
      <c r="T727" t="s">
        <v>211</v>
      </c>
      <c r="U727">
        <v>8.3492513358392872E-3</v>
      </c>
      <c r="V727" t="s">
        <v>38</v>
      </c>
    </row>
    <row r="728" spans="9:22" x14ac:dyDescent="0.25">
      <c r="I728" t="s">
        <v>61</v>
      </c>
      <c r="J728" t="s">
        <v>212</v>
      </c>
      <c r="K728">
        <v>4.49079884407288E-3</v>
      </c>
      <c r="L728" t="s">
        <v>38</v>
      </c>
      <c r="N728" t="s">
        <v>62</v>
      </c>
      <c r="O728" t="s">
        <v>212</v>
      </c>
      <c r="P728">
        <v>2.861975394278913E-3</v>
      </c>
      <c r="Q728" t="s">
        <v>38</v>
      </c>
      <c r="S728" t="s">
        <v>63</v>
      </c>
      <c r="T728" t="s">
        <v>212</v>
      </c>
      <c r="U728">
        <v>2.803300304998499E-3</v>
      </c>
      <c r="V728" t="s">
        <v>38</v>
      </c>
    </row>
    <row r="729" spans="9:22" x14ac:dyDescent="0.25">
      <c r="I729" t="s">
        <v>61</v>
      </c>
      <c r="J729" t="s">
        <v>213</v>
      </c>
      <c r="K729">
        <v>1.727397820833691E-3</v>
      </c>
      <c r="L729" t="s">
        <v>38</v>
      </c>
      <c r="N729" t="s">
        <v>62</v>
      </c>
      <c r="O729" t="s">
        <v>213</v>
      </c>
      <c r="P729">
        <v>2.8976791733337556E-3</v>
      </c>
      <c r="Q729" t="s">
        <v>38</v>
      </c>
      <c r="S729" t="s">
        <v>63</v>
      </c>
      <c r="T729" t="s">
        <v>213</v>
      </c>
      <c r="U729">
        <v>2.8673671110705391E-3</v>
      </c>
      <c r="V729" t="s">
        <v>38</v>
      </c>
    </row>
    <row r="730" spans="9:22" x14ac:dyDescent="0.25">
      <c r="I730" t="s">
        <v>61</v>
      </c>
      <c r="J730" t="s">
        <v>214</v>
      </c>
      <c r="K730">
        <v>0</v>
      </c>
      <c r="L730" t="s">
        <v>38</v>
      </c>
      <c r="N730" t="s">
        <v>62</v>
      </c>
      <c r="O730" t="s">
        <v>214</v>
      </c>
      <c r="P730">
        <v>8.9528824708649535E-3</v>
      </c>
      <c r="Q730" t="s">
        <v>38</v>
      </c>
      <c r="S730" t="s">
        <v>63</v>
      </c>
      <c r="T730" t="s">
        <v>214</v>
      </c>
      <c r="U730">
        <v>8.8334270568412952E-3</v>
      </c>
      <c r="V730" t="s">
        <v>38</v>
      </c>
    </row>
    <row r="731" spans="9:22" x14ac:dyDescent="0.25">
      <c r="I731" t="s">
        <v>61</v>
      </c>
      <c r="J731" t="s">
        <v>215</v>
      </c>
      <c r="K731">
        <v>4.6248293501083316E-5</v>
      </c>
      <c r="L731" t="s">
        <v>38</v>
      </c>
      <c r="N731" t="s">
        <v>62</v>
      </c>
      <c r="O731" t="s">
        <v>215</v>
      </c>
      <c r="P731">
        <v>1.0893169502700605E-2</v>
      </c>
      <c r="Q731" t="s">
        <v>38</v>
      </c>
      <c r="S731" t="s">
        <v>63</v>
      </c>
      <c r="T731" t="s">
        <v>215</v>
      </c>
      <c r="U731">
        <v>9.8230030345879179E-3</v>
      </c>
      <c r="V731" t="s">
        <v>38</v>
      </c>
    </row>
    <row r="732" spans="9:22" x14ac:dyDescent="0.25">
      <c r="I732" t="s">
        <v>61</v>
      </c>
      <c r="J732" t="s">
        <v>216</v>
      </c>
      <c r="K732">
        <v>2.6919535077001349E-3</v>
      </c>
      <c r="L732" t="s">
        <v>38</v>
      </c>
      <c r="N732" t="s">
        <v>62</v>
      </c>
      <c r="O732" t="s">
        <v>216</v>
      </c>
      <c r="P732">
        <v>2.3035236356288295E-3</v>
      </c>
      <c r="Q732" t="s">
        <v>38</v>
      </c>
      <c r="S732" t="s">
        <v>63</v>
      </c>
      <c r="T732" t="s">
        <v>216</v>
      </c>
      <c r="U732">
        <v>1.9208941507990527E-3</v>
      </c>
      <c r="V732" t="s">
        <v>38</v>
      </c>
    </row>
    <row r="733" spans="9:22" x14ac:dyDescent="0.25">
      <c r="I733" t="s">
        <v>61</v>
      </c>
      <c r="J733" t="s">
        <v>217</v>
      </c>
      <c r="K733">
        <v>8.7670199707316349E-2</v>
      </c>
      <c r="L733" t="s">
        <v>38</v>
      </c>
      <c r="N733" t="s">
        <v>62</v>
      </c>
      <c r="O733" t="s">
        <v>217</v>
      </c>
      <c r="P733">
        <v>1.794645533738649E-2</v>
      </c>
      <c r="Q733" t="s">
        <v>38</v>
      </c>
      <c r="S733" t="s">
        <v>63</v>
      </c>
      <c r="T733" t="s">
        <v>217</v>
      </c>
      <c r="U733">
        <v>1.6450957778458928E-2</v>
      </c>
      <c r="V733" t="s">
        <v>38</v>
      </c>
    </row>
    <row r="734" spans="9:22" x14ac:dyDescent="0.25">
      <c r="I734" t="s">
        <v>61</v>
      </c>
      <c r="J734" t="s">
        <v>218</v>
      </c>
      <c r="K734">
        <v>9.2802384663803941E-3</v>
      </c>
      <c r="L734" t="s">
        <v>38</v>
      </c>
      <c r="N734" t="s">
        <v>62</v>
      </c>
      <c r="O734" t="s">
        <v>218</v>
      </c>
      <c r="P734">
        <v>1.9116341987605037E-3</v>
      </c>
      <c r="Q734" t="s">
        <v>38</v>
      </c>
      <c r="S734" t="s">
        <v>63</v>
      </c>
      <c r="T734" t="s">
        <v>218</v>
      </c>
      <c r="U734">
        <v>1.8147038269757073E-3</v>
      </c>
      <c r="V734" t="s">
        <v>38</v>
      </c>
    </row>
    <row r="735" spans="9:22" x14ac:dyDescent="0.25">
      <c r="I735" t="s">
        <v>61</v>
      </c>
      <c r="J735" t="s">
        <v>219</v>
      </c>
      <c r="K735">
        <v>2.0210965326162369E-2</v>
      </c>
      <c r="L735" t="s">
        <v>38</v>
      </c>
      <c r="N735" t="s">
        <v>62</v>
      </c>
      <c r="O735" t="s">
        <v>219</v>
      </c>
      <c r="P735">
        <v>5.5129242167842761E-3</v>
      </c>
      <c r="Q735" t="s">
        <v>38</v>
      </c>
      <c r="S735" t="s">
        <v>63</v>
      </c>
      <c r="T735" t="s">
        <v>219</v>
      </c>
      <c r="U735">
        <v>5.9531934336051421E-3</v>
      </c>
      <c r="V735" t="s">
        <v>38</v>
      </c>
    </row>
    <row r="736" spans="9:22" x14ac:dyDescent="0.25">
      <c r="I736" t="s">
        <v>61</v>
      </c>
      <c r="J736" t="s">
        <v>220</v>
      </c>
      <c r="K736">
        <v>2.0347824265727166E-3</v>
      </c>
      <c r="L736" t="s">
        <v>38</v>
      </c>
      <c r="N736" t="s">
        <v>62</v>
      </c>
      <c r="O736" t="s">
        <v>220</v>
      </c>
      <c r="P736">
        <v>1.9396673174793663E-3</v>
      </c>
      <c r="Q736" t="s">
        <v>38</v>
      </c>
      <c r="S736" t="s">
        <v>63</v>
      </c>
      <c r="T736" t="s">
        <v>220</v>
      </c>
      <c r="U736">
        <v>1.9840767283571914E-3</v>
      </c>
      <c r="V736" t="s">
        <v>38</v>
      </c>
    </row>
    <row r="737" spans="9:22" x14ac:dyDescent="0.25">
      <c r="I737" t="s">
        <v>61</v>
      </c>
      <c r="J737" t="s">
        <v>221</v>
      </c>
      <c r="K737">
        <v>0</v>
      </c>
      <c r="L737" t="s">
        <v>38</v>
      </c>
      <c r="N737" t="s">
        <v>62</v>
      </c>
      <c r="O737" t="s">
        <v>221</v>
      </c>
      <c r="P737">
        <v>2.0848302062932448E-3</v>
      </c>
      <c r="Q737" t="s">
        <v>38</v>
      </c>
      <c r="S737" t="s">
        <v>63</v>
      </c>
      <c r="T737" t="s">
        <v>221</v>
      </c>
      <c r="U737">
        <v>1.9917629979841183E-3</v>
      </c>
      <c r="V737" t="s">
        <v>38</v>
      </c>
    </row>
    <row r="738" spans="9:22" x14ac:dyDescent="0.25">
      <c r="I738" t="s">
        <v>61</v>
      </c>
      <c r="J738" t="s">
        <v>222</v>
      </c>
      <c r="K738">
        <v>0</v>
      </c>
      <c r="L738" t="s">
        <v>38</v>
      </c>
      <c r="N738" t="s">
        <v>62</v>
      </c>
      <c r="O738" t="s">
        <v>222</v>
      </c>
      <c r="P738">
        <v>7.0487076143734258E-3</v>
      </c>
      <c r="Q738" t="s">
        <v>38</v>
      </c>
      <c r="S738" t="s">
        <v>63</v>
      </c>
      <c r="T738" t="s">
        <v>222</v>
      </c>
      <c r="U738">
        <v>6.2944796583847317E-3</v>
      </c>
      <c r="V738" t="s">
        <v>38</v>
      </c>
    </row>
    <row r="739" spans="9:22" x14ac:dyDescent="0.25">
      <c r="I739" t="s">
        <v>61</v>
      </c>
      <c r="J739" t="s">
        <v>223</v>
      </c>
      <c r="K739">
        <v>0</v>
      </c>
      <c r="L739" t="s">
        <v>38</v>
      </c>
      <c r="N739" t="s">
        <v>62</v>
      </c>
      <c r="O739" t="s">
        <v>223</v>
      </c>
      <c r="P739">
        <v>1.3673307685720764E-2</v>
      </c>
      <c r="Q739" t="s">
        <v>38</v>
      </c>
      <c r="S739" t="s">
        <v>63</v>
      </c>
      <c r="T739" t="s">
        <v>223</v>
      </c>
      <c r="U739">
        <v>1.2524422859607873E-2</v>
      </c>
      <c r="V739" t="s">
        <v>38</v>
      </c>
    </row>
    <row r="740" spans="9:22" x14ac:dyDescent="0.25">
      <c r="I740" t="s">
        <v>61</v>
      </c>
      <c r="J740" t="s">
        <v>224</v>
      </c>
      <c r="K740">
        <v>2.291419966374588E-6</v>
      </c>
      <c r="L740" t="s">
        <v>38</v>
      </c>
      <c r="N740" t="s">
        <v>62</v>
      </c>
      <c r="O740" t="s">
        <v>224</v>
      </c>
      <c r="P740">
        <v>2.8945928555905152E-3</v>
      </c>
      <c r="Q740" t="s">
        <v>38</v>
      </c>
      <c r="S740" t="s">
        <v>63</v>
      </c>
      <c r="T740" t="s">
        <v>224</v>
      </c>
      <c r="U740">
        <v>2.3956902057955241E-3</v>
      </c>
      <c r="V740" t="s">
        <v>38</v>
      </c>
    </row>
    <row r="741" spans="9:22" x14ac:dyDescent="0.25">
      <c r="I741" t="s">
        <v>61</v>
      </c>
      <c r="J741" t="s">
        <v>225</v>
      </c>
      <c r="K741">
        <v>7.1181668323911818E-2</v>
      </c>
      <c r="L741" t="s">
        <v>38</v>
      </c>
      <c r="N741" t="s">
        <v>62</v>
      </c>
      <c r="O741" t="s">
        <v>225</v>
      </c>
      <c r="P741">
        <v>2.1077932276338918E-2</v>
      </c>
      <c r="Q741" t="s">
        <v>38</v>
      </c>
      <c r="S741" t="s">
        <v>63</v>
      </c>
      <c r="T741" t="s">
        <v>225</v>
      </c>
      <c r="U741">
        <v>2.2267068020715541E-2</v>
      </c>
      <c r="V741" t="s">
        <v>38</v>
      </c>
    </row>
    <row r="742" spans="9:22" x14ac:dyDescent="0.25">
      <c r="I742" t="s">
        <v>61</v>
      </c>
      <c r="J742" t="s">
        <v>226</v>
      </c>
      <c r="K742">
        <v>8.2624339306712775E-3</v>
      </c>
      <c r="L742" t="s">
        <v>38</v>
      </c>
      <c r="N742" t="s">
        <v>62</v>
      </c>
      <c r="O742" t="s">
        <v>226</v>
      </c>
      <c r="P742">
        <v>2.289696449945147E-3</v>
      </c>
      <c r="Q742" t="s">
        <v>38</v>
      </c>
      <c r="S742" t="s">
        <v>63</v>
      </c>
      <c r="T742" t="s">
        <v>226</v>
      </c>
      <c r="U742">
        <v>2.7928695692457065E-3</v>
      </c>
      <c r="V742" t="s">
        <v>38</v>
      </c>
    </row>
    <row r="743" spans="9:22" x14ac:dyDescent="0.25">
      <c r="I743" t="s">
        <v>61</v>
      </c>
      <c r="J743" t="s">
        <v>227</v>
      </c>
      <c r="K743">
        <v>1.2968773714424313E-2</v>
      </c>
      <c r="L743" t="s">
        <v>38</v>
      </c>
      <c r="N743" t="s">
        <v>62</v>
      </c>
      <c r="O743" t="s">
        <v>227</v>
      </c>
      <c r="P743">
        <v>8.1482848779310686E-3</v>
      </c>
      <c r="Q743" t="s">
        <v>38</v>
      </c>
      <c r="S743" t="s">
        <v>63</v>
      </c>
      <c r="T743" t="s">
        <v>227</v>
      </c>
      <c r="U743">
        <v>8.5308642865578981E-3</v>
      </c>
      <c r="V743" t="s">
        <v>38</v>
      </c>
    </row>
    <row r="744" spans="9:22" x14ac:dyDescent="0.25">
      <c r="I744" t="s">
        <v>61</v>
      </c>
      <c r="J744" t="s">
        <v>228</v>
      </c>
      <c r="K744">
        <v>0</v>
      </c>
      <c r="L744" t="s">
        <v>38</v>
      </c>
      <c r="N744" t="s">
        <v>62</v>
      </c>
      <c r="O744" t="s">
        <v>228</v>
      </c>
      <c r="P744">
        <v>3.1159873740289929E-3</v>
      </c>
      <c r="Q744" t="s">
        <v>38</v>
      </c>
      <c r="S744" t="s">
        <v>63</v>
      </c>
      <c r="T744" t="s">
        <v>228</v>
      </c>
      <c r="U744">
        <v>2.8478469107392794E-3</v>
      </c>
      <c r="V744" t="s">
        <v>38</v>
      </c>
    </row>
    <row r="745" spans="9:22" x14ac:dyDescent="0.25">
      <c r="I745" t="s">
        <v>61</v>
      </c>
      <c r="J745" t="s">
        <v>229</v>
      </c>
      <c r="K745">
        <v>0</v>
      </c>
      <c r="L745" t="s">
        <v>38</v>
      </c>
      <c r="N745" t="s">
        <v>62</v>
      </c>
      <c r="O745" t="s">
        <v>229</v>
      </c>
      <c r="P745">
        <v>3.1612040841924945E-3</v>
      </c>
      <c r="Q745" t="s">
        <v>38</v>
      </c>
      <c r="S745" t="s">
        <v>63</v>
      </c>
      <c r="T745" t="s">
        <v>229</v>
      </c>
      <c r="U745">
        <v>2.8338369507900493E-3</v>
      </c>
      <c r="V745" t="s">
        <v>38</v>
      </c>
    </row>
    <row r="746" spans="9:22" x14ac:dyDescent="0.25">
      <c r="I746" t="s">
        <v>61</v>
      </c>
      <c r="J746" t="s">
        <v>230</v>
      </c>
      <c r="K746">
        <v>0</v>
      </c>
      <c r="L746" t="s">
        <v>38</v>
      </c>
      <c r="N746" t="s">
        <v>62</v>
      </c>
      <c r="O746" t="s">
        <v>230</v>
      </c>
      <c r="P746">
        <v>9.2851156573132924E-3</v>
      </c>
      <c r="Q746" t="s">
        <v>38</v>
      </c>
      <c r="S746" t="s">
        <v>63</v>
      </c>
      <c r="T746" t="s">
        <v>230</v>
      </c>
      <c r="U746">
        <v>8.2577913426925015E-3</v>
      </c>
      <c r="V746" t="s">
        <v>38</v>
      </c>
    </row>
    <row r="747" spans="9:22" x14ac:dyDescent="0.25">
      <c r="I747" t="s">
        <v>61</v>
      </c>
      <c r="J747" t="s">
        <v>231</v>
      </c>
      <c r="K747">
        <v>0</v>
      </c>
      <c r="L747" t="s">
        <v>38</v>
      </c>
      <c r="N747" t="s">
        <v>62</v>
      </c>
      <c r="O747" t="s">
        <v>231</v>
      </c>
      <c r="P747">
        <v>2.2650042931371284E-2</v>
      </c>
      <c r="Q747" t="s">
        <v>38</v>
      </c>
      <c r="S747" t="s">
        <v>63</v>
      </c>
      <c r="T747" t="s">
        <v>231</v>
      </c>
      <c r="U747">
        <v>1.9820372603592058E-2</v>
      </c>
      <c r="V747" t="s">
        <v>38</v>
      </c>
    </row>
    <row r="748" spans="9:22" x14ac:dyDescent="0.25">
      <c r="I748" t="s">
        <v>61</v>
      </c>
      <c r="J748" t="s">
        <v>232</v>
      </c>
      <c r="K748">
        <v>0</v>
      </c>
      <c r="L748" t="s">
        <v>38</v>
      </c>
      <c r="N748" t="s">
        <v>62</v>
      </c>
      <c r="O748" t="s">
        <v>232</v>
      </c>
      <c r="P748">
        <v>4.5764575370022074E-3</v>
      </c>
      <c r="Q748" t="s">
        <v>38</v>
      </c>
      <c r="S748" t="s">
        <v>63</v>
      </c>
      <c r="T748" t="s">
        <v>232</v>
      </c>
      <c r="U748">
        <v>3.9904997068519483E-3</v>
      </c>
      <c r="V748" t="s">
        <v>38</v>
      </c>
    </row>
    <row r="749" spans="9:22" x14ac:dyDescent="0.25">
      <c r="I749" t="s">
        <v>61</v>
      </c>
      <c r="J749" t="s">
        <v>233</v>
      </c>
      <c r="K749">
        <v>2.956638335849052E-2</v>
      </c>
      <c r="L749" t="s">
        <v>38</v>
      </c>
      <c r="N749" t="s">
        <v>62</v>
      </c>
      <c r="O749" t="s">
        <v>233</v>
      </c>
      <c r="P749">
        <v>3.9621563031135613E-2</v>
      </c>
      <c r="Q749" t="s">
        <v>38</v>
      </c>
      <c r="S749" t="s">
        <v>63</v>
      </c>
      <c r="T749" t="s">
        <v>233</v>
      </c>
      <c r="U749">
        <v>4.0263561516360076E-2</v>
      </c>
      <c r="V749" t="s">
        <v>38</v>
      </c>
    </row>
    <row r="750" spans="9:22" x14ac:dyDescent="0.25">
      <c r="I750" t="s">
        <v>61</v>
      </c>
      <c r="J750" t="s">
        <v>234</v>
      </c>
      <c r="K750">
        <v>3.1733316738455021E-3</v>
      </c>
      <c r="L750" t="s">
        <v>38</v>
      </c>
      <c r="N750" t="s">
        <v>62</v>
      </c>
      <c r="O750" t="s">
        <v>234</v>
      </c>
      <c r="P750">
        <v>4.3837084436086637E-3</v>
      </c>
      <c r="Q750" t="s">
        <v>38</v>
      </c>
      <c r="S750" t="s">
        <v>63</v>
      </c>
      <c r="T750" t="s">
        <v>234</v>
      </c>
      <c r="U750">
        <v>4.2876207091339857E-3</v>
      </c>
      <c r="V750" t="s">
        <v>38</v>
      </c>
    </row>
    <row r="751" spans="9:22" x14ac:dyDescent="0.25">
      <c r="I751" t="s">
        <v>61</v>
      </c>
      <c r="J751" t="s">
        <v>235</v>
      </c>
      <c r="K751">
        <v>1.9684995522750888E-3</v>
      </c>
      <c r="L751" t="s">
        <v>38</v>
      </c>
      <c r="N751" t="s">
        <v>62</v>
      </c>
      <c r="O751" t="s">
        <v>235</v>
      </c>
      <c r="P751">
        <v>1.4149571211798953E-2</v>
      </c>
      <c r="Q751" t="s">
        <v>38</v>
      </c>
      <c r="S751" t="s">
        <v>63</v>
      </c>
      <c r="T751" t="s">
        <v>235</v>
      </c>
      <c r="U751">
        <v>1.2657241568647106E-2</v>
      </c>
      <c r="V751" t="s">
        <v>38</v>
      </c>
    </row>
    <row r="752" spans="9:22" x14ac:dyDescent="0.25">
      <c r="I752" t="s">
        <v>61</v>
      </c>
      <c r="J752" t="s">
        <v>236</v>
      </c>
      <c r="K752">
        <v>0</v>
      </c>
      <c r="L752" t="s">
        <v>38</v>
      </c>
      <c r="N752" t="s">
        <v>62</v>
      </c>
      <c r="O752" t="s">
        <v>236</v>
      </c>
      <c r="P752">
        <v>4.8174421685051403E-3</v>
      </c>
      <c r="Q752" t="s">
        <v>38</v>
      </c>
      <c r="S752" t="s">
        <v>63</v>
      </c>
      <c r="T752" t="s">
        <v>236</v>
      </c>
      <c r="U752">
        <v>4.2389436185831996E-3</v>
      </c>
      <c r="V752" t="s">
        <v>38</v>
      </c>
    </row>
    <row r="753" spans="9:22" x14ac:dyDescent="0.25">
      <c r="I753" t="s">
        <v>61</v>
      </c>
      <c r="J753" t="s">
        <v>237</v>
      </c>
      <c r="K753">
        <v>0</v>
      </c>
      <c r="L753" t="s">
        <v>38</v>
      </c>
      <c r="N753" t="s">
        <v>62</v>
      </c>
      <c r="O753" t="s">
        <v>237</v>
      </c>
      <c r="P753">
        <v>4.7576182185336954E-3</v>
      </c>
      <c r="Q753" t="s">
        <v>38</v>
      </c>
      <c r="S753" t="s">
        <v>63</v>
      </c>
      <c r="T753" t="s">
        <v>237</v>
      </c>
      <c r="U753">
        <v>4.3247602832680067E-3</v>
      </c>
      <c r="V753" t="s">
        <v>38</v>
      </c>
    </row>
    <row r="754" spans="9:22" x14ac:dyDescent="0.25">
      <c r="I754" t="s">
        <v>61</v>
      </c>
      <c r="J754" t="s">
        <v>238</v>
      </c>
      <c r="K754">
        <v>0</v>
      </c>
      <c r="L754" t="s">
        <v>38</v>
      </c>
      <c r="N754" t="s">
        <v>62</v>
      </c>
      <c r="O754" t="s">
        <v>238</v>
      </c>
      <c r="P754">
        <v>1.4053250695357433E-2</v>
      </c>
      <c r="Q754" t="s">
        <v>38</v>
      </c>
      <c r="S754" t="s">
        <v>63</v>
      </c>
      <c r="T754" t="s">
        <v>238</v>
      </c>
      <c r="U754">
        <v>1.2891008174164775E-2</v>
      </c>
      <c r="V754" t="s">
        <v>38</v>
      </c>
    </row>
    <row r="755" spans="9:22" x14ac:dyDescent="0.25">
      <c r="I755" t="s">
        <v>61</v>
      </c>
      <c r="J755" t="s">
        <v>239</v>
      </c>
      <c r="K755">
        <v>0</v>
      </c>
      <c r="L755" t="s">
        <v>38</v>
      </c>
      <c r="N755" t="s">
        <v>62</v>
      </c>
      <c r="O755" t="s">
        <v>239</v>
      </c>
      <c r="P755">
        <v>2.562483606850011E-2</v>
      </c>
      <c r="Q755" t="s">
        <v>38</v>
      </c>
      <c r="S755" t="s">
        <v>63</v>
      </c>
      <c r="T755" t="s">
        <v>239</v>
      </c>
      <c r="U755">
        <v>2.2907035204235079E-2</v>
      </c>
      <c r="V755" t="s">
        <v>38</v>
      </c>
    </row>
    <row r="756" spans="9:22" x14ac:dyDescent="0.25">
      <c r="I756" t="s">
        <v>61</v>
      </c>
      <c r="J756" t="s">
        <v>240</v>
      </c>
      <c r="K756">
        <v>0</v>
      </c>
      <c r="L756" t="s">
        <v>38</v>
      </c>
      <c r="N756" t="s">
        <v>62</v>
      </c>
      <c r="O756" t="s">
        <v>240</v>
      </c>
      <c r="P756">
        <v>4.8726297335606713E-3</v>
      </c>
      <c r="Q756" t="s">
        <v>38</v>
      </c>
      <c r="S756" t="s">
        <v>63</v>
      </c>
      <c r="T756" t="s">
        <v>240</v>
      </c>
      <c r="U756">
        <v>4.3326374635519315E-3</v>
      </c>
      <c r="V756" t="s">
        <v>38</v>
      </c>
    </row>
    <row r="757" spans="9:22" x14ac:dyDescent="0.25">
      <c r="I757" t="s">
        <v>61</v>
      </c>
      <c r="J757" t="s">
        <v>241</v>
      </c>
      <c r="K757">
        <v>1.2697248460231764E-2</v>
      </c>
      <c r="L757" t="s">
        <v>38</v>
      </c>
      <c r="N757" t="s">
        <v>62</v>
      </c>
      <c r="O757" t="s">
        <v>241</v>
      </c>
      <c r="P757">
        <v>4.2058217621272861E-2</v>
      </c>
      <c r="Q757" t="s">
        <v>38</v>
      </c>
      <c r="S757" t="s">
        <v>63</v>
      </c>
      <c r="T757" t="s">
        <v>241</v>
      </c>
      <c r="U757">
        <v>4.0063008504016791E-2</v>
      </c>
      <c r="V757" t="s">
        <v>38</v>
      </c>
    </row>
    <row r="758" spans="9:22" x14ac:dyDescent="0.25">
      <c r="I758" t="s">
        <v>61</v>
      </c>
      <c r="J758" t="s">
        <v>242</v>
      </c>
      <c r="K758">
        <v>8.2716366232037976E-4</v>
      </c>
      <c r="L758" t="s">
        <v>38</v>
      </c>
      <c r="N758" t="s">
        <v>62</v>
      </c>
      <c r="O758" t="s">
        <v>242</v>
      </c>
      <c r="P758">
        <v>4.6030052796566991E-3</v>
      </c>
      <c r="Q758" t="s">
        <v>38</v>
      </c>
      <c r="S758" t="s">
        <v>63</v>
      </c>
      <c r="T758" t="s">
        <v>242</v>
      </c>
      <c r="U758">
        <v>4.750664054469441E-3</v>
      </c>
      <c r="V758" t="s">
        <v>38</v>
      </c>
    </row>
    <row r="759" spans="9:22" x14ac:dyDescent="0.25">
      <c r="I759" t="s">
        <v>61</v>
      </c>
      <c r="J759" t="s">
        <v>243</v>
      </c>
      <c r="K759">
        <v>0</v>
      </c>
      <c r="L759" t="s">
        <v>38</v>
      </c>
      <c r="N759" t="s">
        <v>62</v>
      </c>
      <c r="O759" t="s">
        <v>243</v>
      </c>
      <c r="P759">
        <v>1.460491311129224E-2</v>
      </c>
      <c r="Q759" t="s">
        <v>38</v>
      </c>
      <c r="S759" t="s">
        <v>63</v>
      </c>
      <c r="T759" t="s">
        <v>243</v>
      </c>
      <c r="U759">
        <v>1.4331752227781998E-2</v>
      </c>
      <c r="V759" t="s">
        <v>38</v>
      </c>
    </row>
    <row r="760" spans="9:22" x14ac:dyDescent="0.25">
      <c r="I760" t="s">
        <v>61</v>
      </c>
      <c r="J760" t="s">
        <v>244</v>
      </c>
      <c r="K760">
        <v>0</v>
      </c>
      <c r="L760" t="s">
        <v>38</v>
      </c>
      <c r="N760" t="s">
        <v>62</v>
      </c>
      <c r="O760" t="s">
        <v>244</v>
      </c>
      <c r="P760">
        <v>5.2110546345008404E-3</v>
      </c>
      <c r="Q760" t="s">
        <v>38</v>
      </c>
      <c r="S760" t="s">
        <v>63</v>
      </c>
      <c r="T760" t="s">
        <v>244</v>
      </c>
      <c r="U760">
        <v>4.8304038127551371E-3</v>
      </c>
      <c r="V760" t="s">
        <v>38</v>
      </c>
    </row>
    <row r="761" spans="9:22" x14ac:dyDescent="0.25">
      <c r="I761" t="s">
        <v>61</v>
      </c>
      <c r="J761" t="s">
        <v>245</v>
      </c>
      <c r="K761">
        <v>0</v>
      </c>
      <c r="L761" t="s">
        <v>38</v>
      </c>
      <c r="N761" t="s">
        <v>62</v>
      </c>
      <c r="O761" t="s">
        <v>245</v>
      </c>
      <c r="P761">
        <v>5.2739772009396616E-3</v>
      </c>
      <c r="Q761" t="s">
        <v>38</v>
      </c>
      <c r="S761" t="s">
        <v>63</v>
      </c>
      <c r="T761" t="s">
        <v>245</v>
      </c>
      <c r="U761">
        <v>4.9158124297290703E-3</v>
      </c>
      <c r="V761" t="s">
        <v>38</v>
      </c>
    </row>
    <row r="762" spans="9:22" x14ac:dyDescent="0.25">
      <c r="I762" t="s">
        <v>61</v>
      </c>
      <c r="J762" t="s">
        <v>246</v>
      </c>
      <c r="K762">
        <v>0</v>
      </c>
      <c r="L762" t="s">
        <v>38</v>
      </c>
      <c r="N762" t="s">
        <v>62</v>
      </c>
      <c r="O762" t="s">
        <v>246</v>
      </c>
      <c r="P762">
        <v>1.546848139695866E-2</v>
      </c>
      <c r="Q762" t="s">
        <v>38</v>
      </c>
      <c r="S762" t="s">
        <v>63</v>
      </c>
      <c r="T762" t="s">
        <v>246</v>
      </c>
      <c r="U762">
        <v>1.4586384023367933E-2</v>
      </c>
      <c r="V762" t="s">
        <v>38</v>
      </c>
    </row>
    <row r="763" spans="9:22" x14ac:dyDescent="0.25">
      <c r="I763" t="s">
        <v>61</v>
      </c>
      <c r="J763" t="s">
        <v>247</v>
      </c>
      <c r="K763">
        <v>0</v>
      </c>
      <c r="L763" t="s">
        <v>38</v>
      </c>
      <c r="N763" t="s">
        <v>62</v>
      </c>
      <c r="O763" t="s">
        <v>247</v>
      </c>
      <c r="P763">
        <v>2.9670230158837418E-2</v>
      </c>
      <c r="Q763" t="s">
        <v>38</v>
      </c>
      <c r="S763" t="s">
        <v>63</v>
      </c>
      <c r="T763" t="s">
        <v>247</v>
      </c>
      <c r="U763">
        <v>2.9422880374284026E-2</v>
      </c>
      <c r="V763" t="s">
        <v>38</v>
      </c>
    </row>
    <row r="764" spans="9:22" x14ac:dyDescent="0.25">
      <c r="I764" t="s">
        <v>61</v>
      </c>
      <c r="J764" t="s">
        <v>248</v>
      </c>
      <c r="K764">
        <v>0</v>
      </c>
      <c r="L764" t="s">
        <v>38</v>
      </c>
      <c r="N764" t="s">
        <v>62</v>
      </c>
      <c r="O764" t="s">
        <v>248</v>
      </c>
      <c r="P764">
        <v>6.0757613326149597E-3</v>
      </c>
      <c r="Q764" t="s">
        <v>38</v>
      </c>
      <c r="S764" t="s">
        <v>63</v>
      </c>
      <c r="T764" t="s">
        <v>248</v>
      </c>
      <c r="U764">
        <v>5.9671416174262373E-3</v>
      </c>
      <c r="V764" t="s">
        <v>38</v>
      </c>
    </row>
    <row r="765" spans="9:22" x14ac:dyDescent="0.25">
      <c r="I765" t="s">
        <v>61</v>
      </c>
      <c r="J765" t="s">
        <v>249</v>
      </c>
      <c r="K765">
        <v>6.9770734311717748E-3</v>
      </c>
      <c r="L765" t="s">
        <v>38</v>
      </c>
      <c r="N765" t="s">
        <v>62</v>
      </c>
      <c r="O765" t="s">
        <v>249</v>
      </c>
      <c r="P765">
        <v>5.4943206095203638E-2</v>
      </c>
      <c r="Q765" t="s">
        <v>38</v>
      </c>
      <c r="S765" t="s">
        <v>63</v>
      </c>
      <c r="T765" t="s">
        <v>249</v>
      </c>
      <c r="U765">
        <v>5.432801309204921E-2</v>
      </c>
      <c r="V765" t="s">
        <v>38</v>
      </c>
    </row>
    <row r="766" spans="9:22" x14ac:dyDescent="0.25">
      <c r="I766" t="s">
        <v>61</v>
      </c>
      <c r="J766" t="s">
        <v>250</v>
      </c>
      <c r="K766">
        <v>0</v>
      </c>
      <c r="L766" t="s">
        <v>38</v>
      </c>
      <c r="N766" t="s">
        <v>62</v>
      </c>
      <c r="O766" t="s">
        <v>250</v>
      </c>
      <c r="P766">
        <v>5.9009651351581713E-3</v>
      </c>
      <c r="Q766" t="s">
        <v>38</v>
      </c>
      <c r="S766" t="s">
        <v>63</v>
      </c>
      <c r="T766" t="s">
        <v>250</v>
      </c>
      <c r="U766">
        <v>5.765885831929227E-3</v>
      </c>
      <c r="V766" t="s">
        <v>38</v>
      </c>
    </row>
    <row r="767" spans="9:22" x14ac:dyDescent="0.25">
      <c r="I767" t="s">
        <v>61</v>
      </c>
      <c r="J767" t="s">
        <v>251</v>
      </c>
      <c r="K767">
        <v>0</v>
      </c>
      <c r="L767" t="s">
        <v>38</v>
      </c>
      <c r="N767" t="s">
        <v>62</v>
      </c>
      <c r="O767" t="s">
        <v>251</v>
      </c>
      <c r="P767">
        <v>1.8395194753222457E-2</v>
      </c>
      <c r="Q767" t="s">
        <v>38</v>
      </c>
      <c r="S767" t="s">
        <v>63</v>
      </c>
      <c r="T767" t="s">
        <v>251</v>
      </c>
      <c r="U767">
        <v>1.8153541686202701E-2</v>
      </c>
      <c r="V767" t="s">
        <v>38</v>
      </c>
    </row>
    <row r="768" spans="9:22" x14ac:dyDescent="0.25">
      <c r="I768" t="s">
        <v>61</v>
      </c>
      <c r="J768" t="s">
        <v>252</v>
      </c>
      <c r="K768">
        <v>0</v>
      </c>
      <c r="L768" t="s">
        <v>38</v>
      </c>
      <c r="N768" t="s">
        <v>62</v>
      </c>
      <c r="O768" t="s">
        <v>252</v>
      </c>
      <c r="P768">
        <v>6.2571136197734868E-3</v>
      </c>
      <c r="Q768" t="s">
        <v>38</v>
      </c>
      <c r="S768" t="s">
        <v>63</v>
      </c>
      <c r="T768" t="s">
        <v>252</v>
      </c>
      <c r="U768">
        <v>6.1056888796331569E-3</v>
      </c>
      <c r="V768" t="s">
        <v>38</v>
      </c>
    </row>
    <row r="769" spans="9:22" x14ac:dyDescent="0.25">
      <c r="I769" t="s">
        <v>61</v>
      </c>
      <c r="J769" t="s">
        <v>253</v>
      </c>
      <c r="K769">
        <v>0</v>
      </c>
      <c r="L769" t="s">
        <v>38</v>
      </c>
      <c r="N769" t="s">
        <v>62</v>
      </c>
      <c r="O769" t="s">
        <v>253</v>
      </c>
      <c r="P769">
        <v>6.2076791942570504E-3</v>
      </c>
      <c r="Q769" t="s">
        <v>38</v>
      </c>
      <c r="S769" t="s">
        <v>63</v>
      </c>
      <c r="T769" t="s">
        <v>253</v>
      </c>
      <c r="U769">
        <v>6.1075957451746238E-3</v>
      </c>
      <c r="V769" t="s">
        <v>38</v>
      </c>
    </row>
    <row r="770" spans="9:22" x14ac:dyDescent="0.25">
      <c r="I770" t="s">
        <v>61</v>
      </c>
      <c r="J770" t="s">
        <v>254</v>
      </c>
      <c r="K770">
        <v>0</v>
      </c>
      <c r="L770" t="s">
        <v>38</v>
      </c>
      <c r="N770" t="s">
        <v>62</v>
      </c>
      <c r="O770" t="s">
        <v>254</v>
      </c>
      <c r="P770">
        <v>1.8404326036376661E-2</v>
      </c>
      <c r="Q770" t="s">
        <v>38</v>
      </c>
      <c r="S770" t="s">
        <v>63</v>
      </c>
      <c r="T770" t="s">
        <v>254</v>
      </c>
      <c r="U770">
        <v>1.8238417673633232E-2</v>
      </c>
      <c r="V770" t="s">
        <v>38</v>
      </c>
    </row>
    <row r="771" spans="9:22" x14ac:dyDescent="0.25">
      <c r="I771" t="s">
        <v>64</v>
      </c>
      <c r="J771" t="s">
        <v>159</v>
      </c>
      <c r="K771">
        <v>0</v>
      </c>
      <c r="L771" t="s">
        <v>38</v>
      </c>
      <c r="N771" t="s">
        <v>65</v>
      </c>
      <c r="O771" t="s">
        <v>159</v>
      </c>
      <c r="P771">
        <v>2.0521866009969449E-2</v>
      </c>
      <c r="Q771" t="s">
        <v>38</v>
      </c>
      <c r="S771" t="s">
        <v>66</v>
      </c>
      <c r="T771" t="s">
        <v>159</v>
      </c>
      <c r="U771">
        <v>2.0416558877868904E-2</v>
      </c>
      <c r="V771" t="s">
        <v>38</v>
      </c>
    </row>
    <row r="772" spans="9:22" x14ac:dyDescent="0.25">
      <c r="I772" t="s">
        <v>64</v>
      </c>
      <c r="J772" t="s">
        <v>160</v>
      </c>
      <c r="K772">
        <v>0</v>
      </c>
      <c r="L772" t="s">
        <v>38</v>
      </c>
      <c r="N772" t="s">
        <v>65</v>
      </c>
      <c r="O772" t="s">
        <v>160</v>
      </c>
      <c r="P772">
        <v>4.0491810002500472E-3</v>
      </c>
      <c r="Q772" t="s">
        <v>38</v>
      </c>
      <c r="S772" t="s">
        <v>66</v>
      </c>
      <c r="T772" t="s">
        <v>160</v>
      </c>
      <c r="U772">
        <v>4.2868553539870359E-3</v>
      </c>
      <c r="V772" t="s">
        <v>38</v>
      </c>
    </row>
    <row r="773" spans="9:22" x14ac:dyDescent="0.25">
      <c r="I773" t="s">
        <v>64</v>
      </c>
      <c r="J773" t="s">
        <v>161</v>
      </c>
      <c r="K773">
        <v>8.7054443510133275E-3</v>
      </c>
      <c r="L773" t="s">
        <v>38</v>
      </c>
      <c r="N773" t="s">
        <v>65</v>
      </c>
      <c r="O773" t="s">
        <v>161</v>
      </c>
      <c r="P773">
        <v>3.7023779786639455E-2</v>
      </c>
      <c r="Q773" t="s">
        <v>38</v>
      </c>
      <c r="S773" t="s">
        <v>66</v>
      </c>
      <c r="T773" t="s">
        <v>161</v>
      </c>
      <c r="U773">
        <v>3.6911534955502597E-2</v>
      </c>
      <c r="V773" t="s">
        <v>38</v>
      </c>
    </row>
    <row r="774" spans="9:22" x14ac:dyDescent="0.25">
      <c r="I774" t="s">
        <v>64</v>
      </c>
      <c r="J774" t="s">
        <v>162</v>
      </c>
      <c r="K774">
        <v>8.0502019599820631E-4</v>
      </c>
      <c r="L774" t="s">
        <v>38</v>
      </c>
      <c r="N774" t="s">
        <v>65</v>
      </c>
      <c r="O774" t="s">
        <v>162</v>
      </c>
      <c r="P774">
        <v>4.2499580058604066E-3</v>
      </c>
      <c r="Q774" t="s">
        <v>38</v>
      </c>
      <c r="S774" t="s">
        <v>66</v>
      </c>
      <c r="T774" t="s">
        <v>162</v>
      </c>
      <c r="U774">
        <v>4.0313941016313585E-3</v>
      </c>
      <c r="V774" t="s">
        <v>38</v>
      </c>
    </row>
    <row r="775" spans="9:22" x14ac:dyDescent="0.25">
      <c r="I775" t="s">
        <v>64</v>
      </c>
      <c r="J775" t="s">
        <v>163</v>
      </c>
      <c r="K775">
        <v>0</v>
      </c>
      <c r="L775" t="s">
        <v>38</v>
      </c>
      <c r="N775" t="s">
        <v>65</v>
      </c>
      <c r="O775" t="s">
        <v>163</v>
      </c>
      <c r="P775">
        <v>1.2577585997064855E-2</v>
      </c>
      <c r="Q775" t="s">
        <v>38</v>
      </c>
      <c r="S775" t="s">
        <v>66</v>
      </c>
      <c r="T775" t="s">
        <v>163</v>
      </c>
      <c r="U775">
        <v>1.1923685300621874E-2</v>
      </c>
      <c r="V775" t="s">
        <v>38</v>
      </c>
    </row>
    <row r="776" spans="9:22" x14ac:dyDescent="0.25">
      <c r="I776" t="s">
        <v>64</v>
      </c>
      <c r="J776" t="s">
        <v>164</v>
      </c>
      <c r="K776">
        <v>0</v>
      </c>
      <c r="L776" t="s">
        <v>38</v>
      </c>
      <c r="N776" t="s">
        <v>65</v>
      </c>
      <c r="O776" t="s">
        <v>164</v>
      </c>
      <c r="P776">
        <v>4.1108920002796952E-3</v>
      </c>
      <c r="Q776" t="s">
        <v>38</v>
      </c>
      <c r="S776" t="s">
        <v>66</v>
      </c>
      <c r="T776" t="s">
        <v>164</v>
      </c>
      <c r="U776">
        <v>3.8527042546815668E-3</v>
      </c>
      <c r="V776" t="s">
        <v>38</v>
      </c>
    </row>
    <row r="777" spans="9:22" x14ac:dyDescent="0.25">
      <c r="I777" t="s">
        <v>64</v>
      </c>
      <c r="J777" t="s">
        <v>165</v>
      </c>
      <c r="K777">
        <v>0</v>
      </c>
      <c r="L777" t="s">
        <v>38</v>
      </c>
      <c r="N777" t="s">
        <v>65</v>
      </c>
      <c r="O777" t="s">
        <v>165</v>
      </c>
      <c r="P777">
        <v>4.0390409291712077E-3</v>
      </c>
      <c r="Q777" t="s">
        <v>38</v>
      </c>
      <c r="S777" t="s">
        <v>66</v>
      </c>
      <c r="T777" t="s">
        <v>165</v>
      </c>
      <c r="U777">
        <v>3.819060995155929E-3</v>
      </c>
      <c r="V777" t="s">
        <v>38</v>
      </c>
    </row>
    <row r="778" spans="9:22" x14ac:dyDescent="0.25">
      <c r="I778" t="s">
        <v>64</v>
      </c>
      <c r="J778" t="s">
        <v>166</v>
      </c>
      <c r="K778">
        <v>0</v>
      </c>
      <c r="L778" t="s">
        <v>38</v>
      </c>
      <c r="N778" t="s">
        <v>65</v>
      </c>
      <c r="O778" t="s">
        <v>166</v>
      </c>
      <c r="P778">
        <v>1.1685789122169809E-2</v>
      </c>
      <c r="Q778" t="s">
        <v>38</v>
      </c>
      <c r="S778" t="s">
        <v>66</v>
      </c>
      <c r="T778" t="s">
        <v>166</v>
      </c>
      <c r="U778">
        <v>1.1597199953025642E-2</v>
      </c>
      <c r="V778" t="s">
        <v>38</v>
      </c>
    </row>
    <row r="779" spans="9:22" x14ac:dyDescent="0.25">
      <c r="I779" t="s">
        <v>64</v>
      </c>
      <c r="J779" t="s">
        <v>167</v>
      </c>
      <c r="K779">
        <v>0</v>
      </c>
      <c r="L779" t="s">
        <v>38</v>
      </c>
      <c r="N779" t="s">
        <v>65</v>
      </c>
      <c r="O779" t="s">
        <v>167</v>
      </c>
      <c r="P779">
        <v>1.0250135079344263E-2</v>
      </c>
      <c r="Q779" t="s">
        <v>38</v>
      </c>
      <c r="S779" t="s">
        <v>66</v>
      </c>
      <c r="T779" t="s">
        <v>167</v>
      </c>
      <c r="U779">
        <v>1.2331220071522125E-2</v>
      </c>
      <c r="V779" t="s">
        <v>38</v>
      </c>
    </row>
    <row r="780" spans="9:22" x14ac:dyDescent="0.25">
      <c r="I780" t="s">
        <v>64</v>
      </c>
      <c r="J780" t="s">
        <v>168</v>
      </c>
      <c r="K780">
        <v>0</v>
      </c>
      <c r="L780" t="s">
        <v>38</v>
      </c>
      <c r="N780" t="s">
        <v>65</v>
      </c>
      <c r="O780" t="s">
        <v>168</v>
      </c>
      <c r="P780">
        <v>2.3973259227796856E-3</v>
      </c>
      <c r="Q780" t="s">
        <v>38</v>
      </c>
      <c r="S780" t="s">
        <v>66</v>
      </c>
      <c r="T780" t="s">
        <v>168</v>
      </c>
      <c r="U780">
        <v>2.6000425553607525E-3</v>
      </c>
      <c r="V780" t="s">
        <v>38</v>
      </c>
    </row>
    <row r="781" spans="9:22" x14ac:dyDescent="0.25">
      <c r="I781" t="s">
        <v>64</v>
      </c>
      <c r="J781" t="s">
        <v>169</v>
      </c>
      <c r="K781">
        <v>2.4006503846698338E-2</v>
      </c>
      <c r="L781" t="s">
        <v>38</v>
      </c>
      <c r="N781" t="s">
        <v>65</v>
      </c>
      <c r="O781" t="s">
        <v>169</v>
      </c>
      <c r="P781">
        <v>2.2002639241703013E-2</v>
      </c>
      <c r="Q781" t="s">
        <v>38</v>
      </c>
      <c r="S781" t="s">
        <v>66</v>
      </c>
      <c r="T781" t="s">
        <v>169</v>
      </c>
      <c r="U781">
        <v>2.3581973150367124E-2</v>
      </c>
      <c r="V781" t="s">
        <v>38</v>
      </c>
    </row>
    <row r="782" spans="9:22" x14ac:dyDescent="0.25">
      <c r="I782" t="s">
        <v>64</v>
      </c>
      <c r="J782" t="s">
        <v>170</v>
      </c>
      <c r="K782">
        <v>3.3004069459748385E-3</v>
      </c>
      <c r="L782" t="s">
        <v>38</v>
      </c>
      <c r="N782" t="s">
        <v>65</v>
      </c>
      <c r="O782" t="s">
        <v>170</v>
      </c>
      <c r="P782">
        <v>2.350517035225578E-3</v>
      </c>
      <c r="Q782" t="s">
        <v>38</v>
      </c>
      <c r="S782" t="s">
        <v>66</v>
      </c>
      <c r="T782" t="s">
        <v>170</v>
      </c>
      <c r="U782">
        <v>2.5888337818535871E-3</v>
      </c>
      <c r="V782" t="s">
        <v>38</v>
      </c>
    </row>
    <row r="783" spans="9:22" x14ac:dyDescent="0.25">
      <c r="I783" t="s">
        <v>64</v>
      </c>
      <c r="J783" t="s">
        <v>171</v>
      </c>
      <c r="K783">
        <v>2.0725491009727232E-3</v>
      </c>
      <c r="L783" t="s">
        <v>38</v>
      </c>
      <c r="N783" t="s">
        <v>65</v>
      </c>
      <c r="O783" t="s">
        <v>171</v>
      </c>
      <c r="P783">
        <v>7.3257523920491575E-3</v>
      </c>
      <c r="Q783" t="s">
        <v>38</v>
      </c>
      <c r="S783" t="s">
        <v>66</v>
      </c>
      <c r="T783" t="s">
        <v>171</v>
      </c>
      <c r="U783">
        <v>7.9873493818121317E-3</v>
      </c>
      <c r="V783" t="s">
        <v>38</v>
      </c>
    </row>
    <row r="784" spans="9:22" x14ac:dyDescent="0.25">
      <c r="I784" t="s">
        <v>64</v>
      </c>
      <c r="J784" t="s">
        <v>172</v>
      </c>
      <c r="K784">
        <v>0</v>
      </c>
      <c r="L784" t="s">
        <v>38</v>
      </c>
      <c r="N784" t="s">
        <v>65</v>
      </c>
      <c r="O784" t="s">
        <v>172</v>
      </c>
      <c r="P784">
        <v>2.4852514275140536E-3</v>
      </c>
      <c r="Q784" t="s">
        <v>38</v>
      </c>
      <c r="S784" t="s">
        <v>66</v>
      </c>
      <c r="T784" t="s">
        <v>172</v>
      </c>
      <c r="U784">
        <v>2.719312886527484E-3</v>
      </c>
      <c r="V784" t="s">
        <v>38</v>
      </c>
    </row>
    <row r="785" spans="9:22" x14ac:dyDescent="0.25">
      <c r="I785" t="s">
        <v>64</v>
      </c>
      <c r="J785" t="s">
        <v>173</v>
      </c>
      <c r="K785">
        <v>0</v>
      </c>
      <c r="L785" t="s">
        <v>38</v>
      </c>
      <c r="N785" t="s">
        <v>65</v>
      </c>
      <c r="O785" t="s">
        <v>173</v>
      </c>
      <c r="P785">
        <v>2.3264187249501037E-3</v>
      </c>
      <c r="Q785" t="s">
        <v>38</v>
      </c>
      <c r="S785" t="s">
        <v>66</v>
      </c>
      <c r="T785" t="s">
        <v>173</v>
      </c>
      <c r="U785">
        <v>2.650095440098991E-3</v>
      </c>
      <c r="V785" t="s">
        <v>38</v>
      </c>
    </row>
    <row r="786" spans="9:22" x14ac:dyDescent="0.25">
      <c r="I786" t="s">
        <v>64</v>
      </c>
      <c r="J786" t="s">
        <v>174</v>
      </c>
      <c r="K786">
        <v>0</v>
      </c>
      <c r="L786" t="s">
        <v>38</v>
      </c>
      <c r="N786" t="s">
        <v>65</v>
      </c>
      <c r="O786" t="s">
        <v>174</v>
      </c>
      <c r="P786">
        <v>6.4345353593700631E-3</v>
      </c>
      <c r="Q786" t="s">
        <v>38</v>
      </c>
      <c r="S786" t="s">
        <v>66</v>
      </c>
      <c r="T786" t="s">
        <v>174</v>
      </c>
      <c r="U786">
        <v>7.2418655970474151E-3</v>
      </c>
      <c r="V786" t="s">
        <v>38</v>
      </c>
    </row>
    <row r="787" spans="9:22" x14ac:dyDescent="0.25">
      <c r="I787" t="s">
        <v>64</v>
      </c>
      <c r="J787" t="s">
        <v>175</v>
      </c>
      <c r="K787">
        <v>0</v>
      </c>
      <c r="L787" t="s">
        <v>38</v>
      </c>
      <c r="N787" t="s">
        <v>65</v>
      </c>
      <c r="O787" t="s">
        <v>175</v>
      </c>
      <c r="P787">
        <v>1.7272108403206695E-2</v>
      </c>
      <c r="Q787" t="s">
        <v>38</v>
      </c>
      <c r="S787" t="s">
        <v>66</v>
      </c>
      <c r="T787" t="s">
        <v>175</v>
      </c>
      <c r="U787">
        <v>1.4195734191266927E-2</v>
      </c>
      <c r="V787" t="s">
        <v>38</v>
      </c>
    </row>
    <row r="788" spans="9:22" x14ac:dyDescent="0.25">
      <c r="I788" t="s">
        <v>64</v>
      </c>
      <c r="J788" t="s">
        <v>176</v>
      </c>
      <c r="K788">
        <v>0</v>
      </c>
      <c r="L788" t="s">
        <v>38</v>
      </c>
      <c r="N788" t="s">
        <v>65</v>
      </c>
      <c r="O788" t="s">
        <v>176</v>
      </c>
      <c r="P788">
        <v>3.3328209065421411E-3</v>
      </c>
      <c r="Q788" t="s">
        <v>38</v>
      </c>
      <c r="S788" t="s">
        <v>66</v>
      </c>
      <c r="T788" t="s">
        <v>176</v>
      </c>
      <c r="U788">
        <v>2.6177569790734323E-3</v>
      </c>
      <c r="V788" t="s">
        <v>38</v>
      </c>
    </row>
    <row r="789" spans="9:22" x14ac:dyDescent="0.25">
      <c r="I789" t="s">
        <v>64</v>
      </c>
      <c r="J789" t="s">
        <v>177</v>
      </c>
      <c r="K789">
        <v>8.3910560059815176E-2</v>
      </c>
      <c r="L789" t="s">
        <v>38</v>
      </c>
      <c r="N789" t="s">
        <v>65</v>
      </c>
      <c r="O789" t="s">
        <v>177</v>
      </c>
      <c r="P789">
        <v>2.5662448906000758E-2</v>
      </c>
      <c r="Q789" t="s">
        <v>38</v>
      </c>
      <c r="S789" t="s">
        <v>66</v>
      </c>
      <c r="T789" t="s">
        <v>177</v>
      </c>
      <c r="U789">
        <v>2.543029367274046E-2</v>
      </c>
      <c r="V789" t="s">
        <v>38</v>
      </c>
    </row>
    <row r="790" spans="9:22" x14ac:dyDescent="0.25">
      <c r="I790" t="s">
        <v>64</v>
      </c>
      <c r="J790" t="s">
        <v>178</v>
      </c>
      <c r="K790">
        <v>1.0138355868892663E-2</v>
      </c>
      <c r="L790" t="s">
        <v>38</v>
      </c>
      <c r="N790" t="s">
        <v>65</v>
      </c>
      <c r="O790" t="s">
        <v>178</v>
      </c>
      <c r="P790">
        <v>3.4012857532191875E-3</v>
      </c>
      <c r="Q790" t="s">
        <v>38</v>
      </c>
      <c r="S790" t="s">
        <v>66</v>
      </c>
      <c r="T790" t="s">
        <v>178</v>
      </c>
      <c r="U790">
        <v>3.3334675089294382E-3</v>
      </c>
      <c r="V790" t="s">
        <v>38</v>
      </c>
    </row>
    <row r="791" spans="9:22" x14ac:dyDescent="0.25">
      <c r="I791" t="s">
        <v>64</v>
      </c>
      <c r="J791" t="s">
        <v>179</v>
      </c>
      <c r="K791">
        <v>1.4754368258236774E-2</v>
      </c>
      <c r="L791" t="s">
        <v>38</v>
      </c>
      <c r="N791" t="s">
        <v>65</v>
      </c>
      <c r="O791" t="s">
        <v>179</v>
      </c>
      <c r="P791">
        <v>1.1607118080940695E-2</v>
      </c>
      <c r="Q791" t="s">
        <v>38</v>
      </c>
      <c r="S791" t="s">
        <v>66</v>
      </c>
      <c r="T791" t="s">
        <v>179</v>
      </c>
      <c r="U791">
        <v>1.0938071786781092E-2</v>
      </c>
      <c r="V791" t="s">
        <v>38</v>
      </c>
    </row>
    <row r="792" spans="9:22" x14ac:dyDescent="0.25">
      <c r="I792" t="s">
        <v>64</v>
      </c>
      <c r="J792" t="s">
        <v>180</v>
      </c>
      <c r="K792">
        <v>0</v>
      </c>
      <c r="L792" t="s">
        <v>38</v>
      </c>
      <c r="N792" t="s">
        <v>65</v>
      </c>
      <c r="O792" t="s">
        <v>180</v>
      </c>
      <c r="P792">
        <v>4.3425976013612561E-3</v>
      </c>
      <c r="Q792" t="s">
        <v>38</v>
      </c>
      <c r="S792" t="s">
        <v>66</v>
      </c>
      <c r="T792" t="s">
        <v>180</v>
      </c>
      <c r="U792">
        <v>3.6755730381583932E-3</v>
      </c>
      <c r="V792" t="s">
        <v>38</v>
      </c>
    </row>
    <row r="793" spans="9:22" x14ac:dyDescent="0.25">
      <c r="I793" t="s">
        <v>64</v>
      </c>
      <c r="J793" t="s">
        <v>181</v>
      </c>
      <c r="K793">
        <v>0</v>
      </c>
      <c r="L793" t="s">
        <v>38</v>
      </c>
      <c r="N793" t="s">
        <v>65</v>
      </c>
      <c r="O793" t="s">
        <v>181</v>
      </c>
      <c r="P793">
        <v>4.3209093179515509E-3</v>
      </c>
      <c r="Q793" t="s">
        <v>38</v>
      </c>
      <c r="S793" t="s">
        <v>66</v>
      </c>
      <c r="T793" t="s">
        <v>181</v>
      </c>
      <c r="U793">
        <v>3.5129560860691772E-3</v>
      </c>
      <c r="V793" t="s">
        <v>38</v>
      </c>
    </row>
    <row r="794" spans="9:22" x14ac:dyDescent="0.25">
      <c r="I794" t="s">
        <v>64</v>
      </c>
      <c r="J794" t="s">
        <v>182</v>
      </c>
      <c r="K794">
        <v>0</v>
      </c>
      <c r="L794" t="s">
        <v>38</v>
      </c>
      <c r="N794" t="s">
        <v>65</v>
      </c>
      <c r="O794" t="s">
        <v>182</v>
      </c>
      <c r="P794">
        <v>1.1693130095533084E-2</v>
      </c>
      <c r="Q794" t="s">
        <v>38</v>
      </c>
      <c r="S794" t="s">
        <v>66</v>
      </c>
      <c r="T794" t="s">
        <v>182</v>
      </c>
      <c r="U794">
        <v>9.4396448292296611E-3</v>
      </c>
      <c r="V794" t="s">
        <v>38</v>
      </c>
    </row>
    <row r="795" spans="9:22" x14ac:dyDescent="0.25">
      <c r="I795" t="s">
        <v>64</v>
      </c>
      <c r="J795" t="s">
        <v>183</v>
      </c>
      <c r="K795">
        <v>0</v>
      </c>
      <c r="L795" t="s">
        <v>38</v>
      </c>
      <c r="N795" t="s">
        <v>65</v>
      </c>
      <c r="O795" t="s">
        <v>183</v>
      </c>
      <c r="P795">
        <v>1.9831532578956944E-2</v>
      </c>
      <c r="Q795" t="s">
        <v>38</v>
      </c>
      <c r="S795" t="s">
        <v>66</v>
      </c>
      <c r="T795" t="s">
        <v>183</v>
      </c>
      <c r="U795">
        <v>1.9143781070460841E-2</v>
      </c>
      <c r="V795" t="s">
        <v>38</v>
      </c>
    </row>
    <row r="796" spans="9:22" x14ac:dyDescent="0.25">
      <c r="I796" t="s">
        <v>64</v>
      </c>
      <c r="J796" t="s">
        <v>184</v>
      </c>
      <c r="K796">
        <v>1.3870619644844198E-3</v>
      </c>
      <c r="L796" t="s">
        <v>38</v>
      </c>
      <c r="N796" t="s">
        <v>65</v>
      </c>
      <c r="O796" t="s">
        <v>184</v>
      </c>
      <c r="P796">
        <v>4.2131435848353823E-3</v>
      </c>
      <c r="Q796" t="s">
        <v>38</v>
      </c>
      <c r="S796" t="s">
        <v>66</v>
      </c>
      <c r="T796" t="s">
        <v>184</v>
      </c>
      <c r="U796">
        <v>4.2660128138642507E-3</v>
      </c>
      <c r="V796" t="s">
        <v>38</v>
      </c>
    </row>
    <row r="797" spans="9:22" x14ac:dyDescent="0.25">
      <c r="I797" t="s">
        <v>64</v>
      </c>
      <c r="J797" t="s">
        <v>185</v>
      </c>
      <c r="K797">
        <v>8.6088057832107545E-2</v>
      </c>
      <c r="L797" t="s">
        <v>38</v>
      </c>
      <c r="N797" t="s">
        <v>65</v>
      </c>
      <c r="O797" t="s">
        <v>185</v>
      </c>
      <c r="P797">
        <v>3.6146771246024029E-2</v>
      </c>
      <c r="Q797" t="s">
        <v>38</v>
      </c>
      <c r="S797" t="s">
        <v>66</v>
      </c>
      <c r="T797" t="s">
        <v>185</v>
      </c>
      <c r="U797">
        <v>3.7301891121793933E-2</v>
      </c>
      <c r="V797" t="s">
        <v>38</v>
      </c>
    </row>
    <row r="798" spans="9:22" x14ac:dyDescent="0.25">
      <c r="I798" t="s">
        <v>64</v>
      </c>
      <c r="J798" t="s">
        <v>186</v>
      </c>
      <c r="K798">
        <v>1.0130321127344872E-2</v>
      </c>
      <c r="L798" t="s">
        <v>38</v>
      </c>
      <c r="N798" t="s">
        <v>65</v>
      </c>
      <c r="O798" t="s">
        <v>186</v>
      </c>
      <c r="P798">
        <v>4.2788100264634678E-3</v>
      </c>
      <c r="Q798" t="s">
        <v>38</v>
      </c>
      <c r="S798" t="s">
        <v>66</v>
      </c>
      <c r="T798" t="s">
        <v>186</v>
      </c>
      <c r="U798">
        <v>4.0217407920732301E-3</v>
      </c>
      <c r="V798" t="s">
        <v>38</v>
      </c>
    </row>
    <row r="799" spans="9:22" x14ac:dyDescent="0.25">
      <c r="I799" t="s">
        <v>64</v>
      </c>
      <c r="J799" t="s">
        <v>187</v>
      </c>
      <c r="K799">
        <v>2.0155731468869387E-2</v>
      </c>
      <c r="L799" t="s">
        <v>38</v>
      </c>
      <c r="N799" t="s">
        <v>65</v>
      </c>
      <c r="O799" t="s">
        <v>187</v>
      </c>
      <c r="P799">
        <v>1.265924087987797E-2</v>
      </c>
      <c r="Q799" t="s">
        <v>38</v>
      </c>
      <c r="S799" t="s">
        <v>66</v>
      </c>
      <c r="T799" t="s">
        <v>187</v>
      </c>
      <c r="U799">
        <v>1.1454010612647392E-2</v>
      </c>
      <c r="V799" t="s">
        <v>38</v>
      </c>
    </row>
    <row r="800" spans="9:22" x14ac:dyDescent="0.25">
      <c r="I800" t="s">
        <v>64</v>
      </c>
      <c r="J800" t="s">
        <v>188</v>
      </c>
      <c r="K800">
        <v>1.3166599130282845E-3</v>
      </c>
      <c r="L800" t="s">
        <v>38</v>
      </c>
      <c r="N800" t="s">
        <v>65</v>
      </c>
      <c r="O800" t="s">
        <v>188</v>
      </c>
      <c r="P800">
        <v>4.2444497109372804E-3</v>
      </c>
      <c r="Q800" t="s">
        <v>38</v>
      </c>
      <c r="S800" t="s">
        <v>66</v>
      </c>
      <c r="T800" t="s">
        <v>188</v>
      </c>
      <c r="U800">
        <v>3.7141168685062261E-3</v>
      </c>
      <c r="V800" t="s">
        <v>38</v>
      </c>
    </row>
    <row r="801" spans="9:22" x14ac:dyDescent="0.25">
      <c r="I801" t="s">
        <v>64</v>
      </c>
      <c r="J801" t="s">
        <v>189</v>
      </c>
      <c r="K801">
        <v>0</v>
      </c>
      <c r="L801" t="s">
        <v>38</v>
      </c>
      <c r="N801" t="s">
        <v>65</v>
      </c>
      <c r="O801" t="s">
        <v>189</v>
      </c>
      <c r="P801">
        <v>4.2270201345841942E-3</v>
      </c>
      <c r="Q801" t="s">
        <v>38</v>
      </c>
      <c r="S801" t="s">
        <v>66</v>
      </c>
      <c r="T801" t="s">
        <v>189</v>
      </c>
      <c r="U801">
        <v>3.686991861330681E-3</v>
      </c>
      <c r="V801" t="s">
        <v>38</v>
      </c>
    </row>
    <row r="802" spans="9:22" x14ac:dyDescent="0.25">
      <c r="I802" t="s">
        <v>64</v>
      </c>
      <c r="J802" t="s">
        <v>190</v>
      </c>
      <c r="K802">
        <v>0</v>
      </c>
      <c r="L802" t="s">
        <v>38</v>
      </c>
      <c r="N802" t="s">
        <v>65</v>
      </c>
      <c r="O802" t="s">
        <v>190</v>
      </c>
      <c r="P802">
        <v>1.2615402221578389E-2</v>
      </c>
      <c r="Q802" t="s">
        <v>38</v>
      </c>
      <c r="S802" t="s">
        <v>66</v>
      </c>
      <c r="T802" t="s">
        <v>190</v>
      </c>
      <c r="U802">
        <v>1.1492428656940813E-2</v>
      </c>
      <c r="V802" t="s">
        <v>38</v>
      </c>
    </row>
    <row r="803" spans="9:22" x14ac:dyDescent="0.25">
      <c r="I803" t="s">
        <v>64</v>
      </c>
      <c r="J803" t="s">
        <v>191</v>
      </c>
      <c r="K803">
        <v>1.4196205006622106E-3</v>
      </c>
      <c r="L803" t="s">
        <v>38</v>
      </c>
      <c r="N803" t="s">
        <v>65</v>
      </c>
      <c r="O803" t="s">
        <v>191</v>
      </c>
      <c r="P803">
        <v>1.4746089933246897E-2</v>
      </c>
      <c r="Q803" t="s">
        <v>38</v>
      </c>
      <c r="S803" t="s">
        <v>66</v>
      </c>
      <c r="T803" t="s">
        <v>191</v>
      </c>
      <c r="U803">
        <v>1.6501636802768289E-2</v>
      </c>
      <c r="V803" t="s">
        <v>38</v>
      </c>
    </row>
    <row r="804" spans="9:22" x14ac:dyDescent="0.25">
      <c r="I804" t="s">
        <v>64</v>
      </c>
      <c r="J804" t="s">
        <v>192</v>
      </c>
      <c r="K804">
        <v>4.1940837625443622E-3</v>
      </c>
      <c r="L804" t="s">
        <v>38</v>
      </c>
      <c r="N804" t="s">
        <v>65</v>
      </c>
      <c r="O804" t="s">
        <v>192</v>
      </c>
      <c r="P804">
        <v>2.4902859029705109E-3</v>
      </c>
      <c r="Q804" t="s">
        <v>38</v>
      </c>
      <c r="S804" t="s">
        <v>66</v>
      </c>
      <c r="T804" t="s">
        <v>192</v>
      </c>
      <c r="U804">
        <v>3.2427800510087751E-3</v>
      </c>
      <c r="V804" t="s">
        <v>38</v>
      </c>
    </row>
    <row r="805" spans="9:22" x14ac:dyDescent="0.25">
      <c r="I805" t="s">
        <v>64</v>
      </c>
      <c r="J805" t="s">
        <v>193</v>
      </c>
      <c r="K805">
        <v>0.10014777582609982</v>
      </c>
      <c r="L805" t="s">
        <v>38</v>
      </c>
      <c r="N805" t="s">
        <v>65</v>
      </c>
      <c r="O805" t="s">
        <v>193</v>
      </c>
      <c r="P805">
        <v>2.1368200321901246E-2</v>
      </c>
      <c r="Q805" t="s">
        <v>38</v>
      </c>
      <c r="S805" t="s">
        <v>66</v>
      </c>
      <c r="T805" t="s">
        <v>193</v>
      </c>
      <c r="U805">
        <v>2.825343010351369E-2</v>
      </c>
      <c r="V805" t="s">
        <v>38</v>
      </c>
    </row>
    <row r="806" spans="9:22" x14ac:dyDescent="0.25">
      <c r="I806" t="s">
        <v>64</v>
      </c>
      <c r="J806" t="s">
        <v>194</v>
      </c>
      <c r="K806">
        <v>1.2315605937793078E-2</v>
      </c>
      <c r="L806" t="s">
        <v>38</v>
      </c>
      <c r="N806" t="s">
        <v>65</v>
      </c>
      <c r="O806" t="s">
        <v>194</v>
      </c>
      <c r="P806">
        <v>2.3774477155745505E-3</v>
      </c>
      <c r="Q806" t="s">
        <v>38</v>
      </c>
      <c r="S806" t="s">
        <v>66</v>
      </c>
      <c r="T806" t="s">
        <v>194</v>
      </c>
      <c r="U806">
        <v>2.8622953711615424E-3</v>
      </c>
      <c r="V806" t="s">
        <v>38</v>
      </c>
    </row>
    <row r="807" spans="9:22" x14ac:dyDescent="0.25">
      <c r="I807" t="s">
        <v>64</v>
      </c>
      <c r="J807" t="s">
        <v>195</v>
      </c>
      <c r="K807">
        <v>2.73200993571634E-2</v>
      </c>
      <c r="L807" t="s">
        <v>38</v>
      </c>
      <c r="N807" t="s">
        <v>65</v>
      </c>
      <c r="O807" t="s">
        <v>195</v>
      </c>
      <c r="P807">
        <v>6.9566709270686084E-3</v>
      </c>
      <c r="Q807" t="s">
        <v>38</v>
      </c>
      <c r="S807" t="s">
        <v>66</v>
      </c>
      <c r="T807" t="s">
        <v>195</v>
      </c>
      <c r="U807">
        <v>8.2760671588930929E-3</v>
      </c>
      <c r="V807" t="s">
        <v>38</v>
      </c>
    </row>
    <row r="808" spans="9:22" x14ac:dyDescent="0.25">
      <c r="I808" t="s">
        <v>64</v>
      </c>
      <c r="J808" t="s">
        <v>196</v>
      </c>
      <c r="K808">
        <v>3.7753715238710906E-3</v>
      </c>
      <c r="L808" t="s">
        <v>38</v>
      </c>
      <c r="N808" t="s">
        <v>65</v>
      </c>
      <c r="O808" t="s">
        <v>196</v>
      </c>
      <c r="P808">
        <v>2.6908794902437668E-3</v>
      </c>
      <c r="Q808" t="s">
        <v>38</v>
      </c>
      <c r="S808" t="s">
        <v>66</v>
      </c>
      <c r="T808" t="s">
        <v>196</v>
      </c>
      <c r="U808">
        <v>2.8511359868356335E-3</v>
      </c>
      <c r="V808" t="s">
        <v>38</v>
      </c>
    </row>
    <row r="809" spans="9:22" x14ac:dyDescent="0.25">
      <c r="I809" t="s">
        <v>64</v>
      </c>
      <c r="J809" t="s">
        <v>197</v>
      </c>
      <c r="K809">
        <v>8.6601899021049083E-4</v>
      </c>
      <c r="L809" t="s">
        <v>38</v>
      </c>
      <c r="N809" t="s">
        <v>65</v>
      </c>
      <c r="O809" t="s">
        <v>197</v>
      </c>
      <c r="P809">
        <v>2.9121096239184525E-3</v>
      </c>
      <c r="Q809" t="s">
        <v>38</v>
      </c>
      <c r="S809" t="s">
        <v>66</v>
      </c>
      <c r="T809" t="s">
        <v>197</v>
      </c>
      <c r="U809">
        <v>2.9848340535290727E-3</v>
      </c>
      <c r="V809" t="s">
        <v>38</v>
      </c>
    </row>
    <row r="810" spans="9:22" x14ac:dyDescent="0.25">
      <c r="I810" t="s">
        <v>64</v>
      </c>
      <c r="J810" t="s">
        <v>198</v>
      </c>
      <c r="K810">
        <v>0</v>
      </c>
      <c r="L810" t="s">
        <v>38</v>
      </c>
      <c r="N810" t="s">
        <v>65</v>
      </c>
      <c r="O810" t="s">
        <v>198</v>
      </c>
      <c r="P810">
        <v>8.8428291236863771E-3</v>
      </c>
      <c r="Q810" t="s">
        <v>38</v>
      </c>
      <c r="S810" t="s">
        <v>66</v>
      </c>
      <c r="T810" t="s">
        <v>198</v>
      </c>
      <c r="U810">
        <v>9.3001502166168669E-3</v>
      </c>
      <c r="V810" t="s">
        <v>38</v>
      </c>
    </row>
    <row r="811" spans="9:22" x14ac:dyDescent="0.25">
      <c r="I811" t="s">
        <v>64</v>
      </c>
      <c r="J811" t="s">
        <v>199</v>
      </c>
      <c r="K811">
        <v>3.0863129659917071E-3</v>
      </c>
      <c r="L811" t="s">
        <v>38</v>
      </c>
      <c r="N811" t="s">
        <v>65</v>
      </c>
      <c r="O811" t="s">
        <v>199</v>
      </c>
      <c r="P811">
        <v>1.1694112673437292E-2</v>
      </c>
      <c r="Q811" t="s">
        <v>38</v>
      </c>
      <c r="S811" t="s">
        <v>66</v>
      </c>
      <c r="T811" t="s">
        <v>199</v>
      </c>
      <c r="U811">
        <v>1.3319968831033747E-2</v>
      </c>
      <c r="V811" t="s">
        <v>38</v>
      </c>
    </row>
    <row r="812" spans="9:22" x14ac:dyDescent="0.25">
      <c r="I812" t="s">
        <v>64</v>
      </c>
      <c r="J812" t="s">
        <v>200</v>
      </c>
      <c r="K812">
        <v>5.2119371627563256E-3</v>
      </c>
      <c r="L812" t="s">
        <v>38</v>
      </c>
      <c r="N812" t="s">
        <v>65</v>
      </c>
      <c r="O812" t="s">
        <v>200</v>
      </c>
      <c r="P812">
        <v>1.8754039374906134E-3</v>
      </c>
      <c r="Q812" t="s">
        <v>38</v>
      </c>
      <c r="S812" t="s">
        <v>66</v>
      </c>
      <c r="T812" t="s">
        <v>200</v>
      </c>
      <c r="U812">
        <v>2.5227251724823092E-3</v>
      </c>
      <c r="V812" t="s">
        <v>38</v>
      </c>
    </row>
    <row r="813" spans="9:22" x14ac:dyDescent="0.25">
      <c r="I813" t="s">
        <v>64</v>
      </c>
      <c r="J813" t="s">
        <v>201</v>
      </c>
      <c r="K813">
        <v>9.7781551944544007E-2</v>
      </c>
      <c r="L813" t="s">
        <v>38</v>
      </c>
      <c r="N813" t="s">
        <v>65</v>
      </c>
      <c r="O813" t="s">
        <v>201</v>
      </c>
      <c r="P813">
        <v>1.6483182866144013E-2</v>
      </c>
      <c r="Q813" t="s">
        <v>38</v>
      </c>
      <c r="S813" t="s">
        <v>66</v>
      </c>
      <c r="T813" t="s">
        <v>201</v>
      </c>
      <c r="U813">
        <v>2.3435825375784782E-2</v>
      </c>
      <c r="V813" t="s">
        <v>38</v>
      </c>
    </row>
    <row r="814" spans="9:22" x14ac:dyDescent="0.25">
      <c r="I814" t="s">
        <v>64</v>
      </c>
      <c r="J814" t="s">
        <v>202</v>
      </c>
      <c r="K814">
        <v>1.1537191000447457E-2</v>
      </c>
      <c r="L814" t="s">
        <v>38</v>
      </c>
      <c r="N814" t="s">
        <v>65</v>
      </c>
      <c r="O814" t="s">
        <v>202</v>
      </c>
      <c r="P814">
        <v>2.4083640177765264E-3</v>
      </c>
      <c r="Q814" t="s">
        <v>38</v>
      </c>
      <c r="S814" t="s">
        <v>66</v>
      </c>
      <c r="T814" t="s">
        <v>202</v>
      </c>
      <c r="U814">
        <v>2.7180787217215706E-3</v>
      </c>
      <c r="V814" t="s">
        <v>38</v>
      </c>
    </row>
    <row r="815" spans="9:22" x14ac:dyDescent="0.25">
      <c r="I815" t="s">
        <v>64</v>
      </c>
      <c r="J815" t="s">
        <v>203</v>
      </c>
      <c r="K815">
        <v>2.7017611393724505E-2</v>
      </c>
      <c r="L815" t="s">
        <v>38</v>
      </c>
      <c r="N815" t="s">
        <v>65</v>
      </c>
      <c r="O815" t="s">
        <v>203</v>
      </c>
      <c r="P815">
        <v>6.4903151740504884E-3</v>
      </c>
      <c r="Q815" t="s">
        <v>38</v>
      </c>
      <c r="S815" t="s">
        <v>66</v>
      </c>
      <c r="T815" t="s">
        <v>203</v>
      </c>
      <c r="U815">
        <v>8.126083480809624E-3</v>
      </c>
      <c r="V815" t="s">
        <v>38</v>
      </c>
    </row>
    <row r="816" spans="9:22" x14ac:dyDescent="0.25">
      <c r="I816" t="s">
        <v>64</v>
      </c>
      <c r="J816" t="s">
        <v>204</v>
      </c>
      <c r="K816">
        <v>4.8342408182682961E-3</v>
      </c>
      <c r="L816" t="s">
        <v>38</v>
      </c>
      <c r="N816" t="s">
        <v>65</v>
      </c>
      <c r="O816" t="s">
        <v>204</v>
      </c>
      <c r="P816">
        <v>2.0464465951185941E-3</v>
      </c>
      <c r="Q816" t="s">
        <v>38</v>
      </c>
      <c r="S816" t="s">
        <v>66</v>
      </c>
      <c r="T816" t="s">
        <v>204</v>
      </c>
      <c r="U816">
        <v>2.6312424878502708E-3</v>
      </c>
      <c r="V816" t="s">
        <v>38</v>
      </c>
    </row>
    <row r="817" spans="9:22" x14ac:dyDescent="0.25">
      <c r="I817" t="s">
        <v>64</v>
      </c>
      <c r="J817" t="s">
        <v>205</v>
      </c>
      <c r="K817">
        <v>2.4421784110309043E-3</v>
      </c>
      <c r="L817" t="s">
        <v>38</v>
      </c>
      <c r="N817" t="s">
        <v>65</v>
      </c>
      <c r="O817" t="s">
        <v>205</v>
      </c>
      <c r="P817">
        <v>2.1399416833097771E-3</v>
      </c>
      <c r="Q817" t="s">
        <v>38</v>
      </c>
      <c r="S817" t="s">
        <v>66</v>
      </c>
      <c r="T817" t="s">
        <v>205</v>
      </c>
      <c r="U817">
        <v>2.4607293345269084E-3</v>
      </c>
      <c r="V817" t="s">
        <v>38</v>
      </c>
    </row>
    <row r="818" spans="9:22" x14ac:dyDescent="0.25">
      <c r="I818" t="s">
        <v>64</v>
      </c>
      <c r="J818" t="s">
        <v>206</v>
      </c>
      <c r="K818">
        <v>0</v>
      </c>
      <c r="L818" t="s">
        <v>38</v>
      </c>
      <c r="N818" t="s">
        <v>65</v>
      </c>
      <c r="O818" t="s">
        <v>206</v>
      </c>
      <c r="P818">
        <v>6.8293856189269543E-3</v>
      </c>
      <c r="Q818" t="s">
        <v>38</v>
      </c>
      <c r="S818" t="s">
        <v>66</v>
      </c>
      <c r="T818" t="s">
        <v>206</v>
      </c>
      <c r="U818">
        <v>7.2446093445110871E-3</v>
      </c>
      <c r="V818" t="s">
        <v>38</v>
      </c>
    </row>
    <row r="819" spans="9:22" x14ac:dyDescent="0.25">
      <c r="I819" t="s">
        <v>64</v>
      </c>
      <c r="J819" t="s">
        <v>207</v>
      </c>
      <c r="K819">
        <v>2.4583978521775895E-3</v>
      </c>
      <c r="L819" t="s">
        <v>38</v>
      </c>
      <c r="N819" t="s">
        <v>65</v>
      </c>
      <c r="O819" t="s">
        <v>207</v>
      </c>
      <c r="P819">
        <v>1.2352277663183265E-2</v>
      </c>
      <c r="Q819" t="s">
        <v>38</v>
      </c>
      <c r="S819" t="s">
        <v>66</v>
      </c>
      <c r="T819" t="s">
        <v>207</v>
      </c>
      <c r="U819">
        <v>1.3481933571311E-2</v>
      </c>
      <c r="V819" t="s">
        <v>38</v>
      </c>
    </row>
    <row r="820" spans="9:22" x14ac:dyDescent="0.25">
      <c r="I820" t="s">
        <v>64</v>
      </c>
      <c r="J820" t="s">
        <v>208</v>
      </c>
      <c r="K820">
        <v>5.2287305914063397E-3</v>
      </c>
      <c r="L820" t="s">
        <v>38</v>
      </c>
      <c r="N820" t="s">
        <v>65</v>
      </c>
      <c r="O820" t="s">
        <v>208</v>
      </c>
      <c r="P820">
        <v>1.9731557641832756E-3</v>
      </c>
      <c r="Q820" t="s">
        <v>38</v>
      </c>
      <c r="S820" t="s">
        <v>66</v>
      </c>
      <c r="T820" t="s">
        <v>208</v>
      </c>
      <c r="U820">
        <v>2.4624894568085914E-3</v>
      </c>
      <c r="V820" t="s">
        <v>38</v>
      </c>
    </row>
    <row r="821" spans="9:22" x14ac:dyDescent="0.25">
      <c r="I821" t="s">
        <v>64</v>
      </c>
      <c r="J821" t="s">
        <v>209</v>
      </c>
      <c r="K821">
        <v>9.9796599342181588E-2</v>
      </c>
      <c r="L821" t="s">
        <v>38</v>
      </c>
      <c r="N821" t="s">
        <v>65</v>
      </c>
      <c r="O821" t="s">
        <v>209</v>
      </c>
      <c r="P821">
        <v>2.0414712950060396E-2</v>
      </c>
      <c r="Q821" t="s">
        <v>38</v>
      </c>
      <c r="S821" t="s">
        <v>66</v>
      </c>
      <c r="T821" t="s">
        <v>209</v>
      </c>
      <c r="U821">
        <v>2.3255221095327974E-2</v>
      </c>
      <c r="V821" t="s">
        <v>38</v>
      </c>
    </row>
    <row r="822" spans="9:22" x14ac:dyDescent="0.25">
      <c r="I822" t="s">
        <v>64</v>
      </c>
      <c r="J822" t="s">
        <v>210</v>
      </c>
      <c r="K822">
        <v>1.1259404601535062E-2</v>
      </c>
      <c r="L822" t="s">
        <v>38</v>
      </c>
      <c r="N822" t="s">
        <v>65</v>
      </c>
      <c r="O822" t="s">
        <v>210</v>
      </c>
      <c r="P822">
        <v>3.0307019564668391E-3</v>
      </c>
      <c r="Q822" t="s">
        <v>38</v>
      </c>
      <c r="S822" t="s">
        <v>66</v>
      </c>
      <c r="T822" t="s">
        <v>210</v>
      </c>
      <c r="U822">
        <v>3.0553450645069489E-3</v>
      </c>
      <c r="V822" t="s">
        <v>38</v>
      </c>
    </row>
    <row r="823" spans="9:22" x14ac:dyDescent="0.25">
      <c r="I823" t="s">
        <v>64</v>
      </c>
      <c r="J823" t="s">
        <v>211</v>
      </c>
      <c r="K823">
        <v>2.5385737273535759E-2</v>
      </c>
      <c r="L823" t="s">
        <v>38</v>
      </c>
      <c r="N823" t="s">
        <v>65</v>
      </c>
      <c r="O823" t="s">
        <v>211</v>
      </c>
      <c r="P823">
        <v>9.2496849675579567E-3</v>
      </c>
      <c r="Q823" t="s">
        <v>38</v>
      </c>
      <c r="S823" t="s">
        <v>66</v>
      </c>
      <c r="T823" t="s">
        <v>211</v>
      </c>
      <c r="U823">
        <v>8.8978166109298304E-3</v>
      </c>
      <c r="V823" t="s">
        <v>38</v>
      </c>
    </row>
    <row r="824" spans="9:22" x14ac:dyDescent="0.25">
      <c r="I824" t="s">
        <v>64</v>
      </c>
      <c r="J824" t="s">
        <v>212</v>
      </c>
      <c r="K824">
        <v>4.3402164713440853E-3</v>
      </c>
      <c r="L824" t="s">
        <v>38</v>
      </c>
      <c r="N824" t="s">
        <v>65</v>
      </c>
      <c r="O824" t="s">
        <v>212</v>
      </c>
      <c r="P824">
        <v>2.9088195869091064E-3</v>
      </c>
      <c r="Q824" t="s">
        <v>38</v>
      </c>
      <c r="S824" t="s">
        <v>66</v>
      </c>
      <c r="T824" t="s">
        <v>212</v>
      </c>
      <c r="U824">
        <v>2.80161485970872E-3</v>
      </c>
      <c r="V824" t="s">
        <v>38</v>
      </c>
    </row>
    <row r="825" spans="9:22" x14ac:dyDescent="0.25">
      <c r="I825" t="s">
        <v>64</v>
      </c>
      <c r="J825" t="s">
        <v>213</v>
      </c>
      <c r="K825">
        <v>2.0836259961085481E-3</v>
      </c>
      <c r="L825" t="s">
        <v>38</v>
      </c>
      <c r="N825" t="s">
        <v>65</v>
      </c>
      <c r="O825" t="s">
        <v>213</v>
      </c>
      <c r="P825">
        <v>2.8979012461541882E-3</v>
      </c>
      <c r="Q825" t="s">
        <v>38</v>
      </c>
      <c r="S825" t="s">
        <v>66</v>
      </c>
      <c r="T825" t="s">
        <v>213</v>
      </c>
      <c r="U825">
        <v>2.8407132611922921E-3</v>
      </c>
      <c r="V825" t="s">
        <v>38</v>
      </c>
    </row>
    <row r="826" spans="9:22" x14ac:dyDescent="0.25">
      <c r="I826" t="s">
        <v>64</v>
      </c>
      <c r="J826" t="s">
        <v>214</v>
      </c>
      <c r="K826">
        <v>0</v>
      </c>
      <c r="L826" t="s">
        <v>38</v>
      </c>
      <c r="N826" t="s">
        <v>65</v>
      </c>
      <c r="O826" t="s">
        <v>214</v>
      </c>
      <c r="P826">
        <v>8.5665292342948524E-3</v>
      </c>
      <c r="Q826" t="s">
        <v>38</v>
      </c>
      <c r="S826" t="s">
        <v>66</v>
      </c>
      <c r="T826" t="s">
        <v>214</v>
      </c>
      <c r="U826">
        <v>8.7411415495242568E-3</v>
      </c>
      <c r="V826" t="s">
        <v>38</v>
      </c>
    </row>
    <row r="827" spans="9:22" x14ac:dyDescent="0.25">
      <c r="I827" t="s">
        <v>64</v>
      </c>
      <c r="J827" t="s">
        <v>215</v>
      </c>
      <c r="K827">
        <v>7.6229823256434505E-5</v>
      </c>
      <c r="L827" t="s">
        <v>38</v>
      </c>
      <c r="N827" t="s">
        <v>65</v>
      </c>
      <c r="O827" t="s">
        <v>215</v>
      </c>
      <c r="P827">
        <v>1.0187227016884626E-2</v>
      </c>
      <c r="Q827" t="s">
        <v>38</v>
      </c>
      <c r="S827" t="s">
        <v>66</v>
      </c>
      <c r="T827" t="s">
        <v>215</v>
      </c>
      <c r="U827">
        <v>1.0248889790411178E-2</v>
      </c>
      <c r="V827" t="s">
        <v>38</v>
      </c>
    </row>
    <row r="828" spans="9:22" x14ac:dyDescent="0.25">
      <c r="I828" t="s">
        <v>64</v>
      </c>
      <c r="J828" t="s">
        <v>216</v>
      </c>
      <c r="K828">
        <v>2.441382492504608E-3</v>
      </c>
      <c r="L828" t="s">
        <v>38</v>
      </c>
      <c r="N828" t="s">
        <v>65</v>
      </c>
      <c r="O828" t="s">
        <v>216</v>
      </c>
      <c r="P828">
        <v>2.1512035474741662E-3</v>
      </c>
      <c r="Q828" t="s">
        <v>38</v>
      </c>
      <c r="S828" t="s">
        <v>66</v>
      </c>
      <c r="T828" t="s">
        <v>216</v>
      </c>
      <c r="U828">
        <v>2.0862419466694325E-3</v>
      </c>
      <c r="V828" t="s">
        <v>38</v>
      </c>
    </row>
    <row r="829" spans="9:22" x14ac:dyDescent="0.25">
      <c r="I829" t="s">
        <v>64</v>
      </c>
      <c r="J829" t="s">
        <v>217</v>
      </c>
      <c r="K829">
        <v>8.8949636368969159E-2</v>
      </c>
      <c r="L829" t="s">
        <v>38</v>
      </c>
      <c r="N829" t="s">
        <v>65</v>
      </c>
      <c r="O829" t="s">
        <v>217</v>
      </c>
      <c r="P829">
        <v>1.8005239789613804E-2</v>
      </c>
      <c r="Q829" t="s">
        <v>38</v>
      </c>
      <c r="S829" t="s">
        <v>66</v>
      </c>
      <c r="T829" t="s">
        <v>217</v>
      </c>
      <c r="U829">
        <v>1.7455215961737006E-2</v>
      </c>
      <c r="V829" t="s">
        <v>38</v>
      </c>
    </row>
    <row r="830" spans="9:22" x14ac:dyDescent="0.25">
      <c r="I830" t="s">
        <v>64</v>
      </c>
      <c r="J830" t="s">
        <v>218</v>
      </c>
      <c r="K830">
        <v>1.0236582736879739E-2</v>
      </c>
      <c r="L830" t="s">
        <v>38</v>
      </c>
      <c r="N830" t="s">
        <v>65</v>
      </c>
      <c r="O830" t="s">
        <v>218</v>
      </c>
      <c r="P830">
        <v>2.02339132296484E-3</v>
      </c>
      <c r="Q830" t="s">
        <v>38</v>
      </c>
      <c r="S830" t="s">
        <v>66</v>
      </c>
      <c r="T830" t="s">
        <v>218</v>
      </c>
      <c r="U830">
        <v>1.8504910055093114E-3</v>
      </c>
      <c r="V830" t="s">
        <v>38</v>
      </c>
    </row>
    <row r="831" spans="9:22" x14ac:dyDescent="0.25">
      <c r="I831" t="s">
        <v>64</v>
      </c>
      <c r="J831" t="s">
        <v>219</v>
      </c>
      <c r="K831">
        <v>2.3291143775546502E-2</v>
      </c>
      <c r="L831" t="s">
        <v>38</v>
      </c>
      <c r="N831" t="s">
        <v>65</v>
      </c>
      <c r="O831" t="s">
        <v>219</v>
      </c>
      <c r="P831">
        <v>5.5787543646619621E-3</v>
      </c>
      <c r="Q831" t="s">
        <v>38</v>
      </c>
      <c r="S831" t="s">
        <v>66</v>
      </c>
      <c r="T831" t="s">
        <v>219</v>
      </c>
      <c r="U831">
        <v>5.6787211703517061E-3</v>
      </c>
      <c r="V831" t="s">
        <v>38</v>
      </c>
    </row>
    <row r="832" spans="9:22" x14ac:dyDescent="0.25">
      <c r="I832" t="s">
        <v>64</v>
      </c>
      <c r="J832" t="s">
        <v>220</v>
      </c>
      <c r="K832">
        <v>2.6929003623744462E-3</v>
      </c>
      <c r="L832" t="s">
        <v>38</v>
      </c>
      <c r="N832" t="s">
        <v>65</v>
      </c>
      <c r="O832" t="s">
        <v>220</v>
      </c>
      <c r="P832">
        <v>1.9034617903704429E-3</v>
      </c>
      <c r="Q832" t="s">
        <v>38</v>
      </c>
      <c r="S832" t="s">
        <v>66</v>
      </c>
      <c r="T832" t="s">
        <v>220</v>
      </c>
      <c r="U832">
        <v>1.937491883809648E-3</v>
      </c>
      <c r="V832" t="s">
        <v>38</v>
      </c>
    </row>
    <row r="833" spans="9:22" x14ac:dyDescent="0.25">
      <c r="I833" t="s">
        <v>64</v>
      </c>
      <c r="J833" t="s">
        <v>221</v>
      </c>
      <c r="K833">
        <v>1.0957780770561543E-4</v>
      </c>
      <c r="L833" t="s">
        <v>38</v>
      </c>
      <c r="N833" t="s">
        <v>65</v>
      </c>
      <c r="O833" t="s">
        <v>221</v>
      </c>
      <c r="P833">
        <v>1.9644081322387503E-3</v>
      </c>
      <c r="Q833" t="s">
        <v>38</v>
      </c>
      <c r="S833" t="s">
        <v>66</v>
      </c>
      <c r="T833" t="s">
        <v>221</v>
      </c>
      <c r="U833">
        <v>2.0007992375862399E-3</v>
      </c>
      <c r="V833" t="s">
        <v>38</v>
      </c>
    </row>
    <row r="834" spans="9:22" x14ac:dyDescent="0.25">
      <c r="I834" t="s">
        <v>64</v>
      </c>
      <c r="J834" t="s">
        <v>222</v>
      </c>
      <c r="K834">
        <v>0</v>
      </c>
      <c r="L834" t="s">
        <v>38</v>
      </c>
      <c r="N834" t="s">
        <v>65</v>
      </c>
      <c r="O834" t="s">
        <v>222</v>
      </c>
      <c r="P834">
        <v>6.1867816923886583E-3</v>
      </c>
      <c r="Q834" t="s">
        <v>38</v>
      </c>
      <c r="S834" t="s">
        <v>66</v>
      </c>
      <c r="T834" t="s">
        <v>222</v>
      </c>
      <c r="U834">
        <v>6.2599431908167977E-3</v>
      </c>
      <c r="V834" t="s">
        <v>38</v>
      </c>
    </row>
    <row r="835" spans="9:22" x14ac:dyDescent="0.25">
      <c r="I835" t="s">
        <v>64</v>
      </c>
      <c r="J835" t="s">
        <v>223</v>
      </c>
      <c r="K835">
        <v>0</v>
      </c>
      <c r="L835" t="s">
        <v>38</v>
      </c>
      <c r="N835" t="s">
        <v>65</v>
      </c>
      <c r="O835" t="s">
        <v>223</v>
      </c>
      <c r="P835">
        <v>1.2759508846316445E-2</v>
      </c>
      <c r="Q835" t="s">
        <v>38</v>
      </c>
      <c r="S835" t="s">
        <v>66</v>
      </c>
      <c r="T835" t="s">
        <v>223</v>
      </c>
      <c r="U835">
        <v>1.1164073417751863E-2</v>
      </c>
      <c r="V835" t="s">
        <v>38</v>
      </c>
    </row>
    <row r="836" spans="9:22" x14ac:dyDescent="0.25">
      <c r="I836" t="s">
        <v>64</v>
      </c>
      <c r="J836" t="s">
        <v>224</v>
      </c>
      <c r="K836">
        <v>0</v>
      </c>
      <c r="L836" t="s">
        <v>38</v>
      </c>
      <c r="N836" t="s">
        <v>65</v>
      </c>
      <c r="O836" t="s">
        <v>224</v>
      </c>
      <c r="P836">
        <v>2.6456009522409381E-3</v>
      </c>
      <c r="Q836" t="s">
        <v>38</v>
      </c>
      <c r="S836" t="s">
        <v>66</v>
      </c>
      <c r="T836" t="s">
        <v>224</v>
      </c>
      <c r="U836">
        <v>2.30924521711968E-3</v>
      </c>
      <c r="V836" t="s">
        <v>38</v>
      </c>
    </row>
    <row r="837" spans="9:22" x14ac:dyDescent="0.25">
      <c r="I837" t="s">
        <v>64</v>
      </c>
      <c r="J837" t="s">
        <v>225</v>
      </c>
      <c r="K837">
        <v>6.5388336686794085E-2</v>
      </c>
      <c r="L837" t="s">
        <v>38</v>
      </c>
      <c r="N837" t="s">
        <v>65</v>
      </c>
      <c r="O837" t="s">
        <v>225</v>
      </c>
      <c r="P837">
        <v>2.0916010779741201E-2</v>
      </c>
      <c r="Q837" t="s">
        <v>38</v>
      </c>
      <c r="S837" t="s">
        <v>66</v>
      </c>
      <c r="T837" t="s">
        <v>225</v>
      </c>
      <c r="U837">
        <v>2.1106039006914563E-2</v>
      </c>
      <c r="V837" t="s">
        <v>38</v>
      </c>
    </row>
    <row r="838" spans="9:22" x14ac:dyDescent="0.25">
      <c r="I838" t="s">
        <v>64</v>
      </c>
      <c r="J838" t="s">
        <v>226</v>
      </c>
      <c r="K838">
        <v>8.0092629245590626E-3</v>
      </c>
      <c r="L838" t="s">
        <v>38</v>
      </c>
      <c r="N838" t="s">
        <v>65</v>
      </c>
      <c r="O838" t="s">
        <v>226</v>
      </c>
      <c r="P838">
        <v>2.2062137052051862E-3</v>
      </c>
      <c r="Q838" t="s">
        <v>38</v>
      </c>
      <c r="S838" t="s">
        <v>66</v>
      </c>
      <c r="T838" t="s">
        <v>226</v>
      </c>
      <c r="U838">
        <v>2.6313044153640315E-3</v>
      </c>
      <c r="V838" t="s">
        <v>38</v>
      </c>
    </row>
    <row r="839" spans="9:22" x14ac:dyDescent="0.25">
      <c r="I839" t="s">
        <v>64</v>
      </c>
      <c r="J839" t="s">
        <v>227</v>
      </c>
      <c r="K839">
        <v>1.2207749526514157E-2</v>
      </c>
      <c r="L839" t="s">
        <v>38</v>
      </c>
      <c r="N839" t="s">
        <v>65</v>
      </c>
      <c r="O839" t="s">
        <v>227</v>
      </c>
      <c r="P839">
        <v>7.5919561235950617E-3</v>
      </c>
      <c r="Q839" t="s">
        <v>38</v>
      </c>
      <c r="S839" t="s">
        <v>66</v>
      </c>
      <c r="T839" t="s">
        <v>227</v>
      </c>
      <c r="U839">
        <v>8.1468242792148843E-3</v>
      </c>
      <c r="V839" t="s">
        <v>38</v>
      </c>
    </row>
    <row r="840" spans="9:22" x14ac:dyDescent="0.25">
      <c r="I840" t="s">
        <v>64</v>
      </c>
      <c r="J840" t="s">
        <v>228</v>
      </c>
      <c r="K840">
        <v>0</v>
      </c>
      <c r="L840" t="s">
        <v>38</v>
      </c>
      <c r="N840" t="s">
        <v>65</v>
      </c>
      <c r="O840" t="s">
        <v>228</v>
      </c>
      <c r="P840">
        <v>2.9202451410775625E-3</v>
      </c>
      <c r="Q840" t="s">
        <v>38</v>
      </c>
      <c r="S840" t="s">
        <v>66</v>
      </c>
      <c r="T840" t="s">
        <v>228</v>
      </c>
      <c r="U840">
        <v>2.7405050049502944E-3</v>
      </c>
      <c r="V840" t="s">
        <v>38</v>
      </c>
    </row>
    <row r="841" spans="9:22" x14ac:dyDescent="0.25">
      <c r="I841" t="s">
        <v>64</v>
      </c>
      <c r="J841" t="s">
        <v>229</v>
      </c>
      <c r="K841">
        <v>0</v>
      </c>
      <c r="L841" t="s">
        <v>38</v>
      </c>
      <c r="N841" t="s">
        <v>65</v>
      </c>
      <c r="O841" t="s">
        <v>229</v>
      </c>
      <c r="P841">
        <v>3.0047680257800752E-3</v>
      </c>
      <c r="Q841" t="s">
        <v>38</v>
      </c>
      <c r="S841" t="s">
        <v>66</v>
      </c>
      <c r="T841" t="s">
        <v>229</v>
      </c>
      <c r="U841">
        <v>2.6784868663103649E-3</v>
      </c>
      <c r="V841" t="s">
        <v>38</v>
      </c>
    </row>
    <row r="842" spans="9:22" x14ac:dyDescent="0.25">
      <c r="I842" t="s">
        <v>64</v>
      </c>
      <c r="J842" t="s">
        <v>230</v>
      </c>
      <c r="K842">
        <v>0</v>
      </c>
      <c r="L842" t="s">
        <v>38</v>
      </c>
      <c r="N842" t="s">
        <v>65</v>
      </c>
      <c r="O842" t="s">
        <v>230</v>
      </c>
      <c r="P842">
        <v>8.8433637396752498E-3</v>
      </c>
      <c r="Q842" t="s">
        <v>38</v>
      </c>
      <c r="S842" t="s">
        <v>66</v>
      </c>
      <c r="T842" t="s">
        <v>230</v>
      </c>
      <c r="U842">
        <v>7.6359142564958755E-3</v>
      </c>
      <c r="V842" t="s">
        <v>38</v>
      </c>
    </row>
    <row r="843" spans="9:22" x14ac:dyDescent="0.25">
      <c r="I843" t="s">
        <v>64</v>
      </c>
      <c r="J843" t="s">
        <v>231</v>
      </c>
      <c r="K843">
        <v>0</v>
      </c>
      <c r="L843" t="s">
        <v>38</v>
      </c>
      <c r="N843" t="s">
        <v>65</v>
      </c>
      <c r="O843" t="s">
        <v>231</v>
      </c>
      <c r="P843">
        <v>2.277198525548579E-2</v>
      </c>
      <c r="Q843" t="s">
        <v>38</v>
      </c>
      <c r="S843" t="s">
        <v>66</v>
      </c>
      <c r="T843" t="s">
        <v>231</v>
      </c>
      <c r="U843">
        <v>2.0739607992171546E-2</v>
      </c>
      <c r="V843" t="s">
        <v>38</v>
      </c>
    </row>
    <row r="844" spans="9:22" x14ac:dyDescent="0.25">
      <c r="I844" t="s">
        <v>64</v>
      </c>
      <c r="J844" t="s">
        <v>232</v>
      </c>
      <c r="K844">
        <v>0</v>
      </c>
      <c r="L844" t="s">
        <v>38</v>
      </c>
      <c r="N844" t="s">
        <v>65</v>
      </c>
      <c r="O844" t="s">
        <v>232</v>
      </c>
      <c r="P844">
        <v>4.5493661439814075E-3</v>
      </c>
      <c r="Q844" t="s">
        <v>38</v>
      </c>
      <c r="S844" t="s">
        <v>66</v>
      </c>
      <c r="T844" t="s">
        <v>232</v>
      </c>
      <c r="U844">
        <v>4.0194950885593149E-3</v>
      </c>
      <c r="V844" t="s">
        <v>38</v>
      </c>
    </row>
    <row r="845" spans="9:22" x14ac:dyDescent="0.25">
      <c r="I845" t="s">
        <v>64</v>
      </c>
      <c r="J845" t="s">
        <v>233</v>
      </c>
      <c r="K845">
        <v>3.5994230251991999E-2</v>
      </c>
      <c r="L845" t="s">
        <v>38</v>
      </c>
      <c r="N845" t="s">
        <v>65</v>
      </c>
      <c r="O845" t="s">
        <v>233</v>
      </c>
      <c r="P845">
        <v>4.0594474925520138E-2</v>
      </c>
      <c r="Q845" t="s">
        <v>38</v>
      </c>
      <c r="S845" t="s">
        <v>66</v>
      </c>
      <c r="T845" t="s">
        <v>233</v>
      </c>
      <c r="U845">
        <v>4.0588451866892784E-2</v>
      </c>
      <c r="V845" t="s">
        <v>38</v>
      </c>
    </row>
    <row r="846" spans="9:22" x14ac:dyDescent="0.25">
      <c r="I846" t="s">
        <v>64</v>
      </c>
      <c r="J846" t="s">
        <v>234</v>
      </c>
      <c r="K846">
        <v>4.4078291596596816E-3</v>
      </c>
      <c r="L846" t="s">
        <v>38</v>
      </c>
      <c r="N846" t="s">
        <v>65</v>
      </c>
      <c r="O846" t="s">
        <v>234</v>
      </c>
      <c r="P846">
        <v>4.3806752571452024E-3</v>
      </c>
      <c r="Q846" t="s">
        <v>38</v>
      </c>
      <c r="S846" t="s">
        <v>66</v>
      </c>
      <c r="T846" t="s">
        <v>234</v>
      </c>
      <c r="U846">
        <v>4.4370932275454925E-3</v>
      </c>
      <c r="V846" t="s">
        <v>38</v>
      </c>
    </row>
    <row r="847" spans="9:22" x14ac:dyDescent="0.25">
      <c r="I847" t="s">
        <v>64</v>
      </c>
      <c r="J847" t="s">
        <v>235</v>
      </c>
      <c r="K847">
        <v>2.9604684288500552E-3</v>
      </c>
      <c r="L847" t="s">
        <v>38</v>
      </c>
      <c r="N847" t="s">
        <v>65</v>
      </c>
      <c r="O847" t="s">
        <v>235</v>
      </c>
      <c r="P847">
        <v>1.3898932340756976E-2</v>
      </c>
      <c r="Q847" t="s">
        <v>38</v>
      </c>
      <c r="S847" t="s">
        <v>66</v>
      </c>
      <c r="T847" t="s">
        <v>235</v>
      </c>
      <c r="U847">
        <v>1.3049973852769944E-2</v>
      </c>
      <c r="V847" t="s">
        <v>38</v>
      </c>
    </row>
    <row r="848" spans="9:22" x14ac:dyDescent="0.25">
      <c r="I848" t="s">
        <v>64</v>
      </c>
      <c r="J848" t="s">
        <v>236</v>
      </c>
      <c r="K848">
        <v>0</v>
      </c>
      <c r="L848" t="s">
        <v>38</v>
      </c>
      <c r="N848" t="s">
        <v>65</v>
      </c>
      <c r="O848" t="s">
        <v>236</v>
      </c>
      <c r="P848">
        <v>4.6838613073228296E-3</v>
      </c>
      <c r="Q848" t="s">
        <v>38</v>
      </c>
      <c r="S848" t="s">
        <v>66</v>
      </c>
      <c r="T848" t="s">
        <v>236</v>
      </c>
      <c r="U848">
        <v>4.3692538197790268E-3</v>
      </c>
      <c r="V848" t="s">
        <v>38</v>
      </c>
    </row>
    <row r="849" spans="9:22" x14ac:dyDescent="0.25">
      <c r="I849" t="s">
        <v>64</v>
      </c>
      <c r="J849" t="s">
        <v>237</v>
      </c>
      <c r="K849">
        <v>0</v>
      </c>
      <c r="L849" t="s">
        <v>38</v>
      </c>
      <c r="N849" t="s">
        <v>65</v>
      </c>
      <c r="O849" t="s">
        <v>237</v>
      </c>
      <c r="P849">
        <v>4.6497132977016331E-3</v>
      </c>
      <c r="Q849" t="s">
        <v>38</v>
      </c>
      <c r="S849" t="s">
        <v>66</v>
      </c>
      <c r="T849" t="s">
        <v>237</v>
      </c>
      <c r="U849">
        <v>4.4451029986410538E-3</v>
      </c>
      <c r="V849" t="s">
        <v>38</v>
      </c>
    </row>
    <row r="850" spans="9:22" x14ac:dyDescent="0.25">
      <c r="I850" t="s">
        <v>64</v>
      </c>
      <c r="J850" t="s">
        <v>238</v>
      </c>
      <c r="K850">
        <v>0</v>
      </c>
      <c r="L850" t="s">
        <v>38</v>
      </c>
      <c r="N850" t="s">
        <v>65</v>
      </c>
      <c r="O850" t="s">
        <v>238</v>
      </c>
      <c r="P850">
        <v>1.4155572126475877E-2</v>
      </c>
      <c r="Q850" t="s">
        <v>38</v>
      </c>
      <c r="S850" t="s">
        <v>66</v>
      </c>
      <c r="T850" t="s">
        <v>238</v>
      </c>
      <c r="U850">
        <v>1.3563739535454174E-2</v>
      </c>
      <c r="V850" t="s">
        <v>38</v>
      </c>
    </row>
    <row r="851" spans="9:22" x14ac:dyDescent="0.25">
      <c r="I851" t="s">
        <v>64</v>
      </c>
      <c r="J851" t="s">
        <v>239</v>
      </c>
      <c r="K851">
        <v>0</v>
      </c>
      <c r="L851" t="s">
        <v>38</v>
      </c>
      <c r="N851" t="s">
        <v>65</v>
      </c>
      <c r="O851" t="s">
        <v>239</v>
      </c>
      <c r="P851">
        <v>2.6245434413513628E-2</v>
      </c>
      <c r="Q851" t="s">
        <v>38</v>
      </c>
      <c r="S851" t="s">
        <v>66</v>
      </c>
      <c r="T851" t="s">
        <v>239</v>
      </c>
      <c r="U851">
        <v>2.3439517369831492E-2</v>
      </c>
      <c r="V851" t="s">
        <v>38</v>
      </c>
    </row>
    <row r="852" spans="9:22" x14ac:dyDescent="0.25">
      <c r="I852" t="s">
        <v>64</v>
      </c>
      <c r="J852" t="s">
        <v>240</v>
      </c>
      <c r="K852">
        <v>0</v>
      </c>
      <c r="L852" t="s">
        <v>38</v>
      </c>
      <c r="N852" t="s">
        <v>65</v>
      </c>
      <c r="O852" t="s">
        <v>240</v>
      </c>
      <c r="P852">
        <v>4.8674010718360149E-3</v>
      </c>
      <c r="Q852" t="s">
        <v>38</v>
      </c>
      <c r="S852" t="s">
        <v>66</v>
      </c>
      <c r="T852" t="s">
        <v>240</v>
      </c>
      <c r="U852">
        <v>4.4093356974867466E-3</v>
      </c>
      <c r="V852" t="s">
        <v>38</v>
      </c>
    </row>
    <row r="853" spans="9:22" x14ac:dyDescent="0.25">
      <c r="I853" t="s">
        <v>64</v>
      </c>
      <c r="J853" t="s">
        <v>241</v>
      </c>
      <c r="K853">
        <v>1.6983125528244644E-2</v>
      </c>
      <c r="L853" t="s">
        <v>38</v>
      </c>
      <c r="N853" t="s">
        <v>65</v>
      </c>
      <c r="O853" t="s">
        <v>241</v>
      </c>
      <c r="P853">
        <v>4.2193734673875084E-2</v>
      </c>
      <c r="Q853" t="s">
        <v>38</v>
      </c>
      <c r="S853" t="s">
        <v>66</v>
      </c>
      <c r="T853" t="s">
        <v>241</v>
      </c>
      <c r="U853">
        <v>4.008828037763465E-2</v>
      </c>
      <c r="V853" t="s">
        <v>38</v>
      </c>
    </row>
    <row r="854" spans="9:22" x14ac:dyDescent="0.25">
      <c r="I854" t="s">
        <v>64</v>
      </c>
      <c r="J854" t="s">
        <v>242</v>
      </c>
      <c r="K854">
        <v>8.9029856227614956E-4</v>
      </c>
      <c r="L854" t="s">
        <v>38</v>
      </c>
      <c r="N854" t="s">
        <v>65</v>
      </c>
      <c r="O854" t="s">
        <v>242</v>
      </c>
      <c r="P854">
        <v>4.7772813581744896E-3</v>
      </c>
      <c r="Q854" t="s">
        <v>38</v>
      </c>
      <c r="S854" t="s">
        <v>66</v>
      </c>
      <c r="T854" t="s">
        <v>242</v>
      </c>
      <c r="U854">
        <v>4.8334791065993447E-3</v>
      </c>
      <c r="V854" t="s">
        <v>38</v>
      </c>
    </row>
    <row r="855" spans="9:22" x14ac:dyDescent="0.25">
      <c r="I855" t="s">
        <v>64</v>
      </c>
      <c r="J855" t="s">
        <v>243</v>
      </c>
      <c r="K855">
        <v>0</v>
      </c>
      <c r="L855" t="s">
        <v>38</v>
      </c>
      <c r="N855" t="s">
        <v>65</v>
      </c>
      <c r="O855" t="s">
        <v>243</v>
      </c>
      <c r="P855">
        <v>1.5270869916355977E-2</v>
      </c>
      <c r="Q855" t="s">
        <v>38</v>
      </c>
      <c r="S855" t="s">
        <v>66</v>
      </c>
      <c r="T855" t="s">
        <v>243</v>
      </c>
      <c r="U855">
        <v>1.476018551568738E-2</v>
      </c>
      <c r="V855" t="s">
        <v>38</v>
      </c>
    </row>
    <row r="856" spans="9:22" x14ac:dyDescent="0.25">
      <c r="I856" t="s">
        <v>64</v>
      </c>
      <c r="J856" t="s">
        <v>244</v>
      </c>
      <c r="K856">
        <v>0</v>
      </c>
      <c r="L856" t="s">
        <v>38</v>
      </c>
      <c r="N856" t="s">
        <v>65</v>
      </c>
      <c r="O856" t="s">
        <v>244</v>
      </c>
      <c r="P856">
        <v>5.4331734514946042E-3</v>
      </c>
      <c r="Q856" t="s">
        <v>38</v>
      </c>
      <c r="S856" t="s">
        <v>66</v>
      </c>
      <c r="T856" t="s">
        <v>244</v>
      </c>
      <c r="U856">
        <v>4.9938424507188165E-3</v>
      </c>
      <c r="V856" t="s">
        <v>38</v>
      </c>
    </row>
    <row r="857" spans="9:22" x14ac:dyDescent="0.25">
      <c r="I857" t="s">
        <v>64</v>
      </c>
      <c r="J857" t="s">
        <v>245</v>
      </c>
      <c r="K857">
        <v>0</v>
      </c>
      <c r="L857" t="s">
        <v>38</v>
      </c>
      <c r="N857" t="s">
        <v>65</v>
      </c>
      <c r="O857" t="s">
        <v>245</v>
      </c>
      <c r="P857">
        <v>5.4046599214989293E-3</v>
      </c>
      <c r="Q857" t="s">
        <v>38</v>
      </c>
      <c r="S857" t="s">
        <v>66</v>
      </c>
      <c r="T857" t="s">
        <v>245</v>
      </c>
      <c r="U857">
        <v>5.0640080195469847E-3</v>
      </c>
      <c r="V857" t="s">
        <v>38</v>
      </c>
    </row>
    <row r="858" spans="9:22" x14ac:dyDescent="0.25">
      <c r="I858" t="s">
        <v>64</v>
      </c>
      <c r="J858" t="s">
        <v>246</v>
      </c>
      <c r="K858">
        <v>0</v>
      </c>
      <c r="L858" t="s">
        <v>38</v>
      </c>
      <c r="N858" t="s">
        <v>65</v>
      </c>
      <c r="O858" t="s">
        <v>246</v>
      </c>
      <c r="P858">
        <v>1.5833076175409154E-2</v>
      </c>
      <c r="Q858" t="s">
        <v>38</v>
      </c>
      <c r="S858" t="s">
        <v>66</v>
      </c>
      <c r="T858" t="s">
        <v>246</v>
      </c>
      <c r="U858">
        <v>1.5001884015541464E-2</v>
      </c>
      <c r="V858" t="s">
        <v>38</v>
      </c>
    </row>
    <row r="859" spans="9:22" x14ac:dyDescent="0.25">
      <c r="I859" t="s">
        <v>64</v>
      </c>
      <c r="J859" t="s">
        <v>247</v>
      </c>
      <c r="K859">
        <v>0</v>
      </c>
      <c r="L859" t="s">
        <v>38</v>
      </c>
      <c r="N859" t="s">
        <v>65</v>
      </c>
      <c r="O859" t="s">
        <v>247</v>
      </c>
      <c r="P859">
        <v>3.1382694768496935E-2</v>
      </c>
      <c r="Q859" t="s">
        <v>38</v>
      </c>
      <c r="S859" t="s">
        <v>66</v>
      </c>
      <c r="T859" t="s">
        <v>247</v>
      </c>
      <c r="U859">
        <v>3.0038154204095363E-2</v>
      </c>
      <c r="V859" t="s">
        <v>38</v>
      </c>
    </row>
    <row r="860" spans="9:22" x14ac:dyDescent="0.25">
      <c r="I860" t="s">
        <v>64</v>
      </c>
      <c r="J860" t="s">
        <v>248</v>
      </c>
      <c r="K860">
        <v>0</v>
      </c>
      <c r="L860" t="s">
        <v>38</v>
      </c>
      <c r="N860" t="s">
        <v>65</v>
      </c>
      <c r="O860" t="s">
        <v>248</v>
      </c>
      <c r="P860">
        <v>6.3763198568146202E-3</v>
      </c>
      <c r="Q860" t="s">
        <v>38</v>
      </c>
      <c r="S860" t="s">
        <v>66</v>
      </c>
      <c r="T860" t="s">
        <v>248</v>
      </c>
      <c r="U860">
        <v>6.0840545365807939E-3</v>
      </c>
      <c r="V860" t="s">
        <v>38</v>
      </c>
    </row>
    <row r="861" spans="9:22" x14ac:dyDescent="0.25">
      <c r="I861" t="s">
        <v>64</v>
      </c>
      <c r="J861" t="s">
        <v>249</v>
      </c>
      <c r="K861">
        <v>6.0878929070383213E-3</v>
      </c>
      <c r="L861" t="s">
        <v>38</v>
      </c>
      <c r="N861" t="s">
        <v>65</v>
      </c>
      <c r="O861" t="s">
        <v>249</v>
      </c>
      <c r="P861">
        <v>5.7554538157670976E-2</v>
      </c>
      <c r="Q861" t="s">
        <v>38</v>
      </c>
      <c r="S861" t="s">
        <v>66</v>
      </c>
      <c r="T861" t="s">
        <v>249</v>
      </c>
      <c r="U861">
        <v>5.5571052508534426E-2</v>
      </c>
      <c r="V861" t="s">
        <v>38</v>
      </c>
    </row>
    <row r="862" spans="9:22" x14ac:dyDescent="0.25">
      <c r="I862" t="s">
        <v>64</v>
      </c>
      <c r="J862" t="s">
        <v>250</v>
      </c>
      <c r="K862">
        <v>0</v>
      </c>
      <c r="L862" t="s">
        <v>38</v>
      </c>
      <c r="N862" t="s">
        <v>65</v>
      </c>
      <c r="O862" t="s">
        <v>250</v>
      </c>
      <c r="P862">
        <v>6.261756918517894E-3</v>
      </c>
      <c r="Q862" t="s">
        <v>38</v>
      </c>
      <c r="S862" t="s">
        <v>66</v>
      </c>
      <c r="T862" t="s">
        <v>250</v>
      </c>
      <c r="U862">
        <v>5.8045058701513066E-3</v>
      </c>
      <c r="V862" t="s">
        <v>38</v>
      </c>
    </row>
    <row r="863" spans="9:22" x14ac:dyDescent="0.25">
      <c r="I863" t="s">
        <v>64</v>
      </c>
      <c r="J863" t="s">
        <v>251</v>
      </c>
      <c r="K863">
        <v>0</v>
      </c>
      <c r="L863" t="s">
        <v>38</v>
      </c>
      <c r="N863" t="s">
        <v>65</v>
      </c>
      <c r="O863" t="s">
        <v>251</v>
      </c>
      <c r="P863">
        <v>1.9285348384920117E-2</v>
      </c>
      <c r="Q863" t="s">
        <v>38</v>
      </c>
      <c r="S863" t="s">
        <v>66</v>
      </c>
      <c r="T863" t="s">
        <v>251</v>
      </c>
      <c r="U863">
        <v>1.8386633973419227E-2</v>
      </c>
      <c r="V863" t="s">
        <v>38</v>
      </c>
    </row>
    <row r="864" spans="9:22" x14ac:dyDescent="0.25">
      <c r="I864" t="s">
        <v>64</v>
      </c>
      <c r="J864" t="s">
        <v>252</v>
      </c>
      <c r="K864">
        <v>0</v>
      </c>
      <c r="L864" t="s">
        <v>38</v>
      </c>
      <c r="N864" t="s">
        <v>65</v>
      </c>
      <c r="O864" t="s">
        <v>252</v>
      </c>
      <c r="P864">
        <v>6.6180278623760467E-3</v>
      </c>
      <c r="Q864" t="s">
        <v>38</v>
      </c>
      <c r="S864" t="s">
        <v>66</v>
      </c>
      <c r="T864" t="s">
        <v>252</v>
      </c>
      <c r="U864">
        <v>6.2750486592125284E-3</v>
      </c>
      <c r="V864" t="s">
        <v>38</v>
      </c>
    </row>
    <row r="865" spans="9:22" x14ac:dyDescent="0.25">
      <c r="I865" t="s">
        <v>64</v>
      </c>
      <c r="J865" t="s">
        <v>253</v>
      </c>
      <c r="K865">
        <v>0</v>
      </c>
      <c r="L865" t="s">
        <v>38</v>
      </c>
      <c r="N865" t="s">
        <v>65</v>
      </c>
      <c r="O865" t="s">
        <v>253</v>
      </c>
      <c r="P865">
        <v>6.634094127462237E-3</v>
      </c>
      <c r="Q865" t="s">
        <v>38</v>
      </c>
      <c r="S865" t="s">
        <v>66</v>
      </c>
      <c r="T865" t="s">
        <v>253</v>
      </c>
      <c r="U865">
        <v>6.2891852447072667E-3</v>
      </c>
      <c r="V865" t="s">
        <v>38</v>
      </c>
    </row>
    <row r="866" spans="9:22" x14ac:dyDescent="0.25">
      <c r="I866" t="s">
        <v>64</v>
      </c>
      <c r="J866" t="s">
        <v>254</v>
      </c>
      <c r="K866">
        <v>0</v>
      </c>
      <c r="L866" t="s">
        <v>38</v>
      </c>
      <c r="N866" t="s">
        <v>65</v>
      </c>
      <c r="O866" t="s">
        <v>254</v>
      </c>
      <c r="P866">
        <v>1.9863966860933901E-2</v>
      </c>
      <c r="Q866" t="s">
        <v>38</v>
      </c>
      <c r="S866" t="s">
        <v>66</v>
      </c>
      <c r="T866" t="s">
        <v>254</v>
      </c>
      <c r="U866">
        <v>1.8785900908138298E-2</v>
      </c>
      <c r="V866" t="s">
        <v>38</v>
      </c>
    </row>
    <row r="867" spans="9:22" x14ac:dyDescent="0.25">
      <c r="I867" t="s">
        <v>67</v>
      </c>
      <c r="J867" t="s">
        <v>159</v>
      </c>
      <c r="K867">
        <v>0</v>
      </c>
      <c r="L867" t="s">
        <v>38</v>
      </c>
      <c r="N867" t="s">
        <v>68</v>
      </c>
      <c r="O867" t="s">
        <v>159</v>
      </c>
      <c r="P867">
        <v>2.0457067931460265E-2</v>
      </c>
      <c r="Q867" t="s">
        <v>38</v>
      </c>
      <c r="S867" t="s">
        <v>69</v>
      </c>
      <c r="T867" t="s">
        <v>159</v>
      </c>
      <c r="U867">
        <v>1.9747434860087679E-2</v>
      </c>
      <c r="V867" t="s">
        <v>38</v>
      </c>
    </row>
    <row r="868" spans="9:22" x14ac:dyDescent="0.25">
      <c r="I868" t="s">
        <v>67</v>
      </c>
      <c r="J868" t="s">
        <v>160</v>
      </c>
      <c r="K868">
        <v>0</v>
      </c>
      <c r="L868" t="s">
        <v>38</v>
      </c>
      <c r="N868" t="s">
        <v>68</v>
      </c>
      <c r="O868" t="s">
        <v>160</v>
      </c>
      <c r="P868">
        <v>4.257252631746972E-3</v>
      </c>
      <c r="Q868" t="s">
        <v>38</v>
      </c>
      <c r="S868" t="s">
        <v>69</v>
      </c>
      <c r="T868" t="s">
        <v>160</v>
      </c>
      <c r="U868">
        <v>4.1992225303902446E-3</v>
      </c>
      <c r="V868" t="s">
        <v>38</v>
      </c>
    </row>
    <row r="869" spans="9:22" x14ac:dyDescent="0.25">
      <c r="I869" t="s">
        <v>67</v>
      </c>
      <c r="J869" t="s">
        <v>161</v>
      </c>
      <c r="K869">
        <v>9.4377326127503911E-3</v>
      </c>
      <c r="L869" t="s">
        <v>38</v>
      </c>
      <c r="N869" t="s">
        <v>68</v>
      </c>
      <c r="O869" t="s">
        <v>161</v>
      </c>
      <c r="P869">
        <v>3.7167725832034329E-2</v>
      </c>
      <c r="Q869" t="s">
        <v>38</v>
      </c>
      <c r="S869" t="s">
        <v>69</v>
      </c>
      <c r="T869" t="s">
        <v>161</v>
      </c>
      <c r="U869">
        <v>3.6981289980243075E-2</v>
      </c>
      <c r="V869" t="s">
        <v>38</v>
      </c>
    </row>
    <row r="870" spans="9:22" x14ac:dyDescent="0.25">
      <c r="I870" t="s">
        <v>67</v>
      </c>
      <c r="J870" t="s">
        <v>162</v>
      </c>
      <c r="K870">
        <v>7.4179682019784722E-4</v>
      </c>
      <c r="L870" t="s">
        <v>38</v>
      </c>
      <c r="N870" t="s">
        <v>68</v>
      </c>
      <c r="O870" t="s">
        <v>162</v>
      </c>
      <c r="P870">
        <v>4.2095552658922095E-3</v>
      </c>
      <c r="Q870" t="s">
        <v>38</v>
      </c>
      <c r="S870" t="s">
        <v>69</v>
      </c>
      <c r="T870" t="s">
        <v>162</v>
      </c>
      <c r="U870">
        <v>4.1210336900693919E-3</v>
      </c>
      <c r="V870" t="s">
        <v>38</v>
      </c>
    </row>
    <row r="871" spans="9:22" x14ac:dyDescent="0.25">
      <c r="I871" t="s">
        <v>67</v>
      </c>
      <c r="J871" t="s">
        <v>163</v>
      </c>
      <c r="K871">
        <v>0</v>
      </c>
      <c r="L871" t="s">
        <v>38</v>
      </c>
      <c r="N871" t="s">
        <v>68</v>
      </c>
      <c r="O871" t="s">
        <v>163</v>
      </c>
      <c r="P871">
        <v>1.2724021577478189E-2</v>
      </c>
      <c r="Q871" t="s">
        <v>38</v>
      </c>
      <c r="S871" t="s">
        <v>69</v>
      </c>
      <c r="T871" t="s">
        <v>163</v>
      </c>
      <c r="U871">
        <v>1.256924338587951E-2</v>
      </c>
      <c r="V871" t="s">
        <v>38</v>
      </c>
    </row>
    <row r="872" spans="9:22" x14ac:dyDescent="0.25">
      <c r="I872" t="s">
        <v>67</v>
      </c>
      <c r="J872" t="s">
        <v>164</v>
      </c>
      <c r="K872">
        <v>0</v>
      </c>
      <c r="L872" t="s">
        <v>38</v>
      </c>
      <c r="N872" t="s">
        <v>68</v>
      </c>
      <c r="O872" t="s">
        <v>164</v>
      </c>
      <c r="P872">
        <v>4.0927431578525048E-3</v>
      </c>
      <c r="Q872" t="s">
        <v>38</v>
      </c>
      <c r="S872" t="s">
        <v>69</v>
      </c>
      <c r="T872" t="s">
        <v>164</v>
      </c>
      <c r="U872">
        <v>4.1741413281903396E-3</v>
      </c>
      <c r="V872" t="s">
        <v>38</v>
      </c>
    </row>
    <row r="873" spans="9:22" x14ac:dyDescent="0.25">
      <c r="I873" t="s">
        <v>67</v>
      </c>
      <c r="J873" t="s">
        <v>165</v>
      </c>
      <c r="K873">
        <v>0</v>
      </c>
      <c r="L873" t="s">
        <v>38</v>
      </c>
      <c r="N873" t="s">
        <v>68</v>
      </c>
      <c r="O873" t="s">
        <v>165</v>
      </c>
      <c r="P873">
        <v>3.9849577045138239E-3</v>
      </c>
      <c r="Q873" t="s">
        <v>38</v>
      </c>
      <c r="S873" t="s">
        <v>69</v>
      </c>
      <c r="T873" t="s">
        <v>165</v>
      </c>
      <c r="U873">
        <v>4.0754945389883173E-3</v>
      </c>
      <c r="V873" t="s">
        <v>38</v>
      </c>
    </row>
    <row r="874" spans="9:22" x14ac:dyDescent="0.25">
      <c r="I874" t="s">
        <v>67</v>
      </c>
      <c r="J874" t="s">
        <v>166</v>
      </c>
      <c r="K874">
        <v>0</v>
      </c>
      <c r="L874" t="s">
        <v>38</v>
      </c>
      <c r="N874" t="s">
        <v>68</v>
      </c>
      <c r="O874" t="s">
        <v>166</v>
      </c>
      <c r="P874">
        <v>1.1309516169211812E-2</v>
      </c>
      <c r="Q874" t="s">
        <v>38</v>
      </c>
      <c r="S874" t="s">
        <v>69</v>
      </c>
      <c r="T874" t="s">
        <v>166</v>
      </c>
      <c r="U874">
        <v>1.1552082791802835E-2</v>
      </c>
      <c r="V874" t="s">
        <v>38</v>
      </c>
    </row>
    <row r="875" spans="9:22" x14ac:dyDescent="0.25">
      <c r="I875" t="s">
        <v>67</v>
      </c>
      <c r="J875" t="s">
        <v>167</v>
      </c>
      <c r="K875">
        <v>0</v>
      </c>
      <c r="L875" t="s">
        <v>38</v>
      </c>
      <c r="N875" t="s">
        <v>68</v>
      </c>
      <c r="O875" t="s">
        <v>167</v>
      </c>
      <c r="P875">
        <v>9.1833148119872723E-3</v>
      </c>
      <c r="Q875" t="s">
        <v>38</v>
      </c>
      <c r="S875" t="s">
        <v>69</v>
      </c>
      <c r="T875" t="s">
        <v>167</v>
      </c>
      <c r="U875">
        <v>1.2621079711736599E-2</v>
      </c>
      <c r="V875" t="s">
        <v>38</v>
      </c>
    </row>
    <row r="876" spans="9:22" x14ac:dyDescent="0.25">
      <c r="I876" t="s">
        <v>67</v>
      </c>
      <c r="J876" t="s">
        <v>168</v>
      </c>
      <c r="K876">
        <v>0</v>
      </c>
      <c r="L876" t="s">
        <v>38</v>
      </c>
      <c r="N876" t="s">
        <v>68</v>
      </c>
      <c r="O876" t="s">
        <v>168</v>
      </c>
      <c r="P876">
        <v>2.1892962677925168E-3</v>
      </c>
      <c r="Q876" t="s">
        <v>38</v>
      </c>
      <c r="S876" t="s">
        <v>69</v>
      </c>
      <c r="T876" t="s">
        <v>168</v>
      </c>
      <c r="U876">
        <v>2.7591635380081166E-3</v>
      </c>
      <c r="V876" t="s">
        <v>38</v>
      </c>
    </row>
    <row r="877" spans="9:22" x14ac:dyDescent="0.25">
      <c r="I877" t="s">
        <v>67</v>
      </c>
      <c r="J877" t="s">
        <v>169</v>
      </c>
      <c r="K877">
        <v>2.4743301986918383E-2</v>
      </c>
      <c r="L877" t="s">
        <v>38</v>
      </c>
      <c r="N877" t="s">
        <v>68</v>
      </c>
      <c r="O877" t="s">
        <v>169</v>
      </c>
      <c r="P877">
        <v>2.0934775995658513E-2</v>
      </c>
      <c r="Q877" t="s">
        <v>38</v>
      </c>
      <c r="S877" t="s">
        <v>69</v>
      </c>
      <c r="T877" t="s">
        <v>169</v>
      </c>
      <c r="U877">
        <v>2.3935766860400658E-2</v>
      </c>
      <c r="V877" t="s">
        <v>38</v>
      </c>
    </row>
    <row r="878" spans="9:22" x14ac:dyDescent="0.25">
      <c r="I878" t="s">
        <v>67</v>
      </c>
      <c r="J878" t="s">
        <v>170</v>
      </c>
      <c r="K878">
        <v>2.9961422849287193E-3</v>
      </c>
      <c r="L878" t="s">
        <v>38</v>
      </c>
      <c r="N878" t="s">
        <v>68</v>
      </c>
      <c r="O878" t="s">
        <v>170</v>
      </c>
      <c r="P878">
        <v>2.2151117910193287E-3</v>
      </c>
      <c r="Q878" t="s">
        <v>38</v>
      </c>
      <c r="S878" t="s">
        <v>69</v>
      </c>
      <c r="T878" t="s">
        <v>170</v>
      </c>
      <c r="U878">
        <v>2.4624433609552188E-3</v>
      </c>
      <c r="V878" t="s">
        <v>38</v>
      </c>
    </row>
    <row r="879" spans="9:22" x14ac:dyDescent="0.25">
      <c r="I879" t="s">
        <v>67</v>
      </c>
      <c r="J879" t="s">
        <v>171</v>
      </c>
      <c r="K879">
        <v>1.5563094814651192E-3</v>
      </c>
      <c r="L879" t="s">
        <v>38</v>
      </c>
      <c r="N879" t="s">
        <v>68</v>
      </c>
      <c r="O879" t="s">
        <v>171</v>
      </c>
      <c r="P879">
        <v>7.0969912137946491E-3</v>
      </c>
      <c r="Q879" t="s">
        <v>38</v>
      </c>
      <c r="S879" t="s">
        <v>69</v>
      </c>
      <c r="T879" t="s">
        <v>171</v>
      </c>
      <c r="U879">
        <v>7.6321715929031373E-3</v>
      </c>
      <c r="V879" t="s">
        <v>38</v>
      </c>
    </row>
    <row r="880" spans="9:22" x14ac:dyDescent="0.25">
      <c r="I880" t="s">
        <v>67</v>
      </c>
      <c r="J880" t="s">
        <v>172</v>
      </c>
      <c r="K880">
        <v>0</v>
      </c>
      <c r="L880" t="s">
        <v>38</v>
      </c>
      <c r="N880" t="s">
        <v>68</v>
      </c>
      <c r="O880" t="s">
        <v>172</v>
      </c>
      <c r="P880">
        <v>2.3762838085571976E-3</v>
      </c>
      <c r="Q880" t="s">
        <v>38</v>
      </c>
      <c r="S880" t="s">
        <v>69</v>
      </c>
      <c r="T880" t="s">
        <v>172</v>
      </c>
      <c r="U880">
        <v>2.6216332855083582E-3</v>
      </c>
      <c r="V880" t="s">
        <v>38</v>
      </c>
    </row>
    <row r="881" spans="9:22" x14ac:dyDescent="0.25">
      <c r="I881" t="s">
        <v>67</v>
      </c>
      <c r="J881" t="s">
        <v>173</v>
      </c>
      <c r="K881">
        <v>0</v>
      </c>
      <c r="L881" t="s">
        <v>38</v>
      </c>
      <c r="N881" t="s">
        <v>68</v>
      </c>
      <c r="O881" t="s">
        <v>173</v>
      </c>
      <c r="P881">
        <v>2.2015699634606758E-3</v>
      </c>
      <c r="Q881" t="s">
        <v>38</v>
      </c>
      <c r="S881" t="s">
        <v>69</v>
      </c>
      <c r="T881" t="s">
        <v>173</v>
      </c>
      <c r="U881">
        <v>2.527178007916252E-3</v>
      </c>
      <c r="V881" t="s">
        <v>38</v>
      </c>
    </row>
    <row r="882" spans="9:22" x14ac:dyDescent="0.25">
      <c r="I882" t="s">
        <v>67</v>
      </c>
      <c r="J882" t="s">
        <v>174</v>
      </c>
      <c r="K882">
        <v>0</v>
      </c>
      <c r="L882" t="s">
        <v>38</v>
      </c>
      <c r="N882" t="s">
        <v>68</v>
      </c>
      <c r="O882" t="s">
        <v>174</v>
      </c>
      <c r="P882">
        <v>6.1480501696814325E-3</v>
      </c>
      <c r="Q882" t="s">
        <v>38</v>
      </c>
      <c r="S882" t="s">
        <v>69</v>
      </c>
      <c r="T882" t="s">
        <v>174</v>
      </c>
      <c r="U882">
        <v>6.9529371306640908E-3</v>
      </c>
      <c r="V882" t="s">
        <v>38</v>
      </c>
    </row>
    <row r="883" spans="9:22" x14ac:dyDescent="0.25">
      <c r="I883" t="s">
        <v>67</v>
      </c>
      <c r="J883" t="s">
        <v>175</v>
      </c>
      <c r="K883">
        <v>0</v>
      </c>
      <c r="L883" t="s">
        <v>38</v>
      </c>
      <c r="N883" t="s">
        <v>68</v>
      </c>
      <c r="O883" t="s">
        <v>175</v>
      </c>
      <c r="P883">
        <v>1.8634830565052281E-2</v>
      </c>
      <c r="Q883" t="s">
        <v>38</v>
      </c>
      <c r="S883" t="s">
        <v>69</v>
      </c>
      <c r="T883" t="s">
        <v>175</v>
      </c>
      <c r="U883">
        <v>1.4392527360298529E-2</v>
      </c>
      <c r="V883" t="s">
        <v>38</v>
      </c>
    </row>
    <row r="884" spans="9:22" x14ac:dyDescent="0.25">
      <c r="I884" t="s">
        <v>67</v>
      </c>
      <c r="J884" t="s">
        <v>176</v>
      </c>
      <c r="K884">
        <v>0</v>
      </c>
      <c r="L884" t="s">
        <v>38</v>
      </c>
      <c r="N884" t="s">
        <v>68</v>
      </c>
      <c r="O884" t="s">
        <v>176</v>
      </c>
      <c r="P884">
        <v>3.5632389924163954E-3</v>
      </c>
      <c r="Q884" t="s">
        <v>38</v>
      </c>
      <c r="S884" t="s">
        <v>69</v>
      </c>
      <c r="T884" t="s">
        <v>176</v>
      </c>
      <c r="U884">
        <v>2.6635607888601106E-3</v>
      </c>
      <c r="V884" t="s">
        <v>38</v>
      </c>
    </row>
    <row r="885" spans="9:22" x14ac:dyDescent="0.25">
      <c r="I885" t="s">
        <v>67</v>
      </c>
      <c r="J885" t="s">
        <v>177</v>
      </c>
      <c r="K885">
        <v>9.0740942010495623E-2</v>
      </c>
      <c r="L885" t="s">
        <v>38</v>
      </c>
      <c r="N885" t="s">
        <v>68</v>
      </c>
      <c r="O885" t="s">
        <v>177</v>
      </c>
      <c r="P885">
        <v>2.6157024171768479E-2</v>
      </c>
      <c r="Q885" t="s">
        <v>38</v>
      </c>
      <c r="S885" t="s">
        <v>69</v>
      </c>
      <c r="T885" t="s">
        <v>177</v>
      </c>
      <c r="U885">
        <v>2.3118024711340949E-2</v>
      </c>
      <c r="V885" t="s">
        <v>38</v>
      </c>
    </row>
    <row r="886" spans="9:22" x14ac:dyDescent="0.25">
      <c r="I886" t="s">
        <v>67</v>
      </c>
      <c r="J886" t="s">
        <v>178</v>
      </c>
      <c r="K886">
        <v>1.0548641579415824E-2</v>
      </c>
      <c r="L886" t="s">
        <v>38</v>
      </c>
      <c r="N886" t="s">
        <v>68</v>
      </c>
      <c r="O886" t="s">
        <v>178</v>
      </c>
      <c r="P886">
        <v>3.3426954968303634E-3</v>
      </c>
      <c r="Q886" t="s">
        <v>38</v>
      </c>
      <c r="S886" t="s">
        <v>69</v>
      </c>
      <c r="T886" t="s">
        <v>178</v>
      </c>
      <c r="U886">
        <v>3.1171642010316396E-3</v>
      </c>
      <c r="V886" t="s">
        <v>38</v>
      </c>
    </row>
    <row r="887" spans="9:22" x14ac:dyDescent="0.25">
      <c r="I887" t="s">
        <v>67</v>
      </c>
      <c r="J887" t="s">
        <v>179</v>
      </c>
      <c r="K887">
        <v>1.4950854500327515E-2</v>
      </c>
      <c r="L887" t="s">
        <v>38</v>
      </c>
      <c r="N887" t="s">
        <v>68</v>
      </c>
      <c r="O887" t="s">
        <v>179</v>
      </c>
      <c r="P887">
        <v>1.177843895859465E-2</v>
      </c>
      <c r="Q887" t="s">
        <v>38</v>
      </c>
      <c r="S887" t="s">
        <v>69</v>
      </c>
      <c r="T887" t="s">
        <v>179</v>
      </c>
      <c r="U887">
        <v>1.0437454065597639E-2</v>
      </c>
      <c r="V887" t="s">
        <v>38</v>
      </c>
    </row>
    <row r="888" spans="9:22" x14ac:dyDescent="0.25">
      <c r="I888" t="s">
        <v>67</v>
      </c>
      <c r="J888" t="s">
        <v>180</v>
      </c>
      <c r="K888">
        <v>0</v>
      </c>
      <c r="L888" t="s">
        <v>38</v>
      </c>
      <c r="N888" t="s">
        <v>68</v>
      </c>
      <c r="O888" t="s">
        <v>180</v>
      </c>
      <c r="P888">
        <v>4.5290117045214042E-3</v>
      </c>
      <c r="Q888" t="s">
        <v>38</v>
      </c>
      <c r="S888" t="s">
        <v>69</v>
      </c>
      <c r="T888" t="s">
        <v>180</v>
      </c>
      <c r="U888">
        <v>3.7915207209087954E-3</v>
      </c>
      <c r="V888" t="s">
        <v>38</v>
      </c>
    </row>
    <row r="889" spans="9:22" x14ac:dyDescent="0.25">
      <c r="I889" t="s">
        <v>67</v>
      </c>
      <c r="J889" t="s">
        <v>181</v>
      </c>
      <c r="K889">
        <v>0</v>
      </c>
      <c r="L889" t="s">
        <v>38</v>
      </c>
      <c r="N889" t="s">
        <v>68</v>
      </c>
      <c r="O889" t="s">
        <v>181</v>
      </c>
      <c r="P889">
        <v>4.5278955061098195E-3</v>
      </c>
      <c r="Q889" t="s">
        <v>38</v>
      </c>
      <c r="S889" t="s">
        <v>69</v>
      </c>
      <c r="T889" t="s">
        <v>181</v>
      </c>
      <c r="U889">
        <v>3.7729273935163564E-3</v>
      </c>
      <c r="V889" t="s">
        <v>38</v>
      </c>
    </row>
    <row r="890" spans="9:22" x14ac:dyDescent="0.25">
      <c r="I890" t="s">
        <v>67</v>
      </c>
      <c r="J890" t="s">
        <v>182</v>
      </c>
      <c r="K890">
        <v>0</v>
      </c>
      <c r="L890" t="s">
        <v>38</v>
      </c>
      <c r="N890" t="s">
        <v>68</v>
      </c>
      <c r="O890" t="s">
        <v>182</v>
      </c>
      <c r="P890">
        <v>1.2388215717782603E-2</v>
      </c>
      <c r="Q890" t="s">
        <v>38</v>
      </c>
      <c r="S890" t="s">
        <v>69</v>
      </c>
      <c r="T890" t="s">
        <v>182</v>
      </c>
      <c r="U890">
        <v>9.9982394243785123E-3</v>
      </c>
      <c r="V890" t="s">
        <v>38</v>
      </c>
    </row>
    <row r="891" spans="9:22" x14ac:dyDescent="0.25">
      <c r="I891" t="s">
        <v>67</v>
      </c>
      <c r="J891" t="s">
        <v>183</v>
      </c>
      <c r="K891">
        <v>0</v>
      </c>
      <c r="L891" t="s">
        <v>38</v>
      </c>
      <c r="N891" t="s">
        <v>68</v>
      </c>
      <c r="O891" t="s">
        <v>183</v>
      </c>
      <c r="P891">
        <v>1.9492568843475621E-2</v>
      </c>
      <c r="Q891" t="s">
        <v>38</v>
      </c>
      <c r="S891" t="s">
        <v>69</v>
      </c>
      <c r="T891" t="s">
        <v>183</v>
      </c>
      <c r="U891">
        <v>1.9106778170104179E-2</v>
      </c>
      <c r="V891" t="s">
        <v>38</v>
      </c>
    </row>
    <row r="892" spans="9:22" x14ac:dyDescent="0.25">
      <c r="I892" t="s">
        <v>67</v>
      </c>
      <c r="J892" t="s">
        <v>184</v>
      </c>
      <c r="K892">
        <v>1.4954129851172514E-3</v>
      </c>
      <c r="L892" t="s">
        <v>38</v>
      </c>
      <c r="N892" t="s">
        <v>68</v>
      </c>
      <c r="O892" t="s">
        <v>184</v>
      </c>
      <c r="P892">
        <v>4.1071821703893016E-3</v>
      </c>
      <c r="Q892" t="s">
        <v>38</v>
      </c>
      <c r="S892" t="s">
        <v>69</v>
      </c>
      <c r="T892" t="s">
        <v>184</v>
      </c>
      <c r="U892">
        <v>4.0125338644424972E-3</v>
      </c>
      <c r="V892" t="s">
        <v>38</v>
      </c>
    </row>
    <row r="893" spans="9:22" x14ac:dyDescent="0.25">
      <c r="I893" t="s">
        <v>67</v>
      </c>
      <c r="J893" t="s">
        <v>185</v>
      </c>
      <c r="K893">
        <v>9.0955029472977802E-2</v>
      </c>
      <c r="L893" t="s">
        <v>38</v>
      </c>
      <c r="N893" t="s">
        <v>68</v>
      </c>
      <c r="O893" t="s">
        <v>185</v>
      </c>
      <c r="P893">
        <v>3.5327846112849524E-2</v>
      </c>
      <c r="Q893" t="s">
        <v>38</v>
      </c>
      <c r="S893" t="s">
        <v>69</v>
      </c>
      <c r="T893" t="s">
        <v>185</v>
      </c>
      <c r="U893">
        <v>3.7016943872972066E-2</v>
      </c>
      <c r="V893" t="s">
        <v>38</v>
      </c>
    </row>
    <row r="894" spans="9:22" x14ac:dyDescent="0.25">
      <c r="I894" t="s">
        <v>67</v>
      </c>
      <c r="J894" t="s">
        <v>186</v>
      </c>
      <c r="K894">
        <v>1.0088975205993037E-2</v>
      </c>
      <c r="L894" t="s">
        <v>38</v>
      </c>
      <c r="N894" t="s">
        <v>68</v>
      </c>
      <c r="O894" t="s">
        <v>186</v>
      </c>
      <c r="P894">
        <v>4.4588688045261076E-3</v>
      </c>
      <c r="Q894" t="s">
        <v>38</v>
      </c>
      <c r="S894" t="s">
        <v>69</v>
      </c>
      <c r="T894" t="s">
        <v>186</v>
      </c>
      <c r="U894">
        <v>4.3112518191109617E-3</v>
      </c>
      <c r="V894" t="s">
        <v>38</v>
      </c>
    </row>
    <row r="895" spans="9:22" x14ac:dyDescent="0.25">
      <c r="I895" t="s">
        <v>67</v>
      </c>
      <c r="J895" t="s">
        <v>187</v>
      </c>
      <c r="K895">
        <v>1.9277436495774368E-2</v>
      </c>
      <c r="L895" t="s">
        <v>38</v>
      </c>
      <c r="N895" t="s">
        <v>68</v>
      </c>
      <c r="O895" t="s">
        <v>187</v>
      </c>
      <c r="P895">
        <v>1.2887526562596466E-2</v>
      </c>
      <c r="Q895" t="s">
        <v>38</v>
      </c>
      <c r="S895" t="s">
        <v>69</v>
      </c>
      <c r="T895" t="s">
        <v>187</v>
      </c>
      <c r="U895">
        <v>1.2591220691612637E-2</v>
      </c>
      <c r="V895" t="s">
        <v>38</v>
      </c>
    </row>
    <row r="896" spans="9:22" x14ac:dyDescent="0.25">
      <c r="I896" t="s">
        <v>67</v>
      </c>
      <c r="J896" t="s">
        <v>188</v>
      </c>
      <c r="K896">
        <v>9.9052503045747586E-4</v>
      </c>
      <c r="L896" t="s">
        <v>38</v>
      </c>
      <c r="N896" t="s">
        <v>68</v>
      </c>
      <c r="O896" t="s">
        <v>188</v>
      </c>
      <c r="P896">
        <v>4.3077081981452003E-3</v>
      </c>
      <c r="Q896" t="s">
        <v>38</v>
      </c>
      <c r="S896" t="s">
        <v>69</v>
      </c>
      <c r="T896" t="s">
        <v>188</v>
      </c>
      <c r="U896">
        <v>4.0134646322247235E-3</v>
      </c>
      <c r="V896" t="s">
        <v>38</v>
      </c>
    </row>
    <row r="897" spans="9:22" x14ac:dyDescent="0.25">
      <c r="I897" t="s">
        <v>67</v>
      </c>
      <c r="J897" t="s">
        <v>189</v>
      </c>
      <c r="K897">
        <v>0</v>
      </c>
      <c r="L897" t="s">
        <v>38</v>
      </c>
      <c r="N897" t="s">
        <v>68</v>
      </c>
      <c r="O897" t="s">
        <v>189</v>
      </c>
      <c r="P897">
        <v>4.3038568238613325E-3</v>
      </c>
      <c r="Q897" t="s">
        <v>38</v>
      </c>
      <c r="S897" t="s">
        <v>69</v>
      </c>
      <c r="T897" t="s">
        <v>189</v>
      </c>
      <c r="U897">
        <v>3.9120803943016955E-3</v>
      </c>
      <c r="V897" t="s">
        <v>38</v>
      </c>
    </row>
    <row r="898" spans="9:22" x14ac:dyDescent="0.25">
      <c r="I898" t="s">
        <v>67</v>
      </c>
      <c r="J898" t="s">
        <v>190</v>
      </c>
      <c r="K898">
        <v>0</v>
      </c>
      <c r="L898" t="s">
        <v>38</v>
      </c>
      <c r="N898" t="s">
        <v>68</v>
      </c>
      <c r="O898" t="s">
        <v>190</v>
      </c>
      <c r="P898">
        <v>1.2939720794997014E-2</v>
      </c>
      <c r="Q898" t="s">
        <v>38</v>
      </c>
      <c r="S898" t="s">
        <v>69</v>
      </c>
      <c r="T898" t="s">
        <v>190</v>
      </c>
      <c r="U898">
        <v>1.1413893637333198E-2</v>
      </c>
      <c r="V898" t="s">
        <v>38</v>
      </c>
    </row>
    <row r="899" spans="9:22" x14ac:dyDescent="0.25">
      <c r="I899" t="s">
        <v>67</v>
      </c>
      <c r="J899" t="s">
        <v>191</v>
      </c>
      <c r="K899">
        <v>1.7425644559681968E-3</v>
      </c>
      <c r="L899" t="s">
        <v>38</v>
      </c>
      <c r="N899" t="s">
        <v>68</v>
      </c>
      <c r="O899" t="s">
        <v>191</v>
      </c>
      <c r="P899">
        <v>1.4493239157706225E-2</v>
      </c>
      <c r="Q899" t="s">
        <v>38</v>
      </c>
      <c r="S899" t="s">
        <v>69</v>
      </c>
      <c r="T899" t="s">
        <v>191</v>
      </c>
      <c r="U899">
        <v>1.5166373603721108E-2</v>
      </c>
      <c r="V899" t="s">
        <v>38</v>
      </c>
    </row>
    <row r="900" spans="9:22" x14ac:dyDescent="0.25">
      <c r="I900" t="s">
        <v>67</v>
      </c>
      <c r="J900" t="s">
        <v>192</v>
      </c>
      <c r="K900">
        <v>4.6437670569658808E-3</v>
      </c>
      <c r="L900" t="s">
        <v>38</v>
      </c>
      <c r="N900" t="s">
        <v>68</v>
      </c>
      <c r="O900" t="s">
        <v>192</v>
      </c>
      <c r="P900">
        <v>2.3884263629508199E-3</v>
      </c>
      <c r="Q900" t="s">
        <v>38</v>
      </c>
      <c r="S900" t="s">
        <v>69</v>
      </c>
      <c r="T900" t="s">
        <v>192</v>
      </c>
      <c r="U900">
        <v>2.9124814351934743E-3</v>
      </c>
      <c r="V900" t="s">
        <v>38</v>
      </c>
    </row>
    <row r="901" spans="9:22" x14ac:dyDescent="0.25">
      <c r="I901" t="s">
        <v>67</v>
      </c>
      <c r="J901" t="s">
        <v>193</v>
      </c>
      <c r="K901">
        <v>0.10201891914051014</v>
      </c>
      <c r="L901" t="s">
        <v>38</v>
      </c>
      <c r="N901" t="s">
        <v>68</v>
      </c>
      <c r="O901" t="s">
        <v>193</v>
      </c>
      <c r="P901">
        <v>2.1447101893526162E-2</v>
      </c>
      <c r="Q901" t="s">
        <v>38</v>
      </c>
      <c r="S901" t="s">
        <v>69</v>
      </c>
      <c r="T901" t="s">
        <v>193</v>
      </c>
      <c r="U901">
        <v>2.2819161234029137E-2</v>
      </c>
      <c r="V901" t="s">
        <v>38</v>
      </c>
    </row>
    <row r="902" spans="9:22" x14ac:dyDescent="0.25">
      <c r="I902" t="s">
        <v>67</v>
      </c>
      <c r="J902" t="s">
        <v>194</v>
      </c>
      <c r="K902">
        <v>1.2118254124001091E-2</v>
      </c>
      <c r="L902" t="s">
        <v>38</v>
      </c>
      <c r="N902" t="s">
        <v>68</v>
      </c>
      <c r="O902" t="s">
        <v>194</v>
      </c>
      <c r="P902">
        <v>2.6597561413093272E-3</v>
      </c>
      <c r="Q902" t="s">
        <v>38</v>
      </c>
      <c r="S902" t="s">
        <v>69</v>
      </c>
      <c r="T902" t="s">
        <v>194</v>
      </c>
      <c r="U902">
        <v>2.3734841528963101E-3</v>
      </c>
      <c r="V902" t="s">
        <v>38</v>
      </c>
    </row>
    <row r="903" spans="9:22" x14ac:dyDescent="0.25">
      <c r="I903" t="s">
        <v>67</v>
      </c>
      <c r="J903" t="s">
        <v>195</v>
      </c>
      <c r="K903">
        <v>2.5534205271558308E-2</v>
      </c>
      <c r="L903" t="s">
        <v>38</v>
      </c>
      <c r="N903" t="s">
        <v>68</v>
      </c>
      <c r="O903" t="s">
        <v>195</v>
      </c>
      <c r="P903">
        <v>7.4348981939866901E-3</v>
      </c>
      <c r="Q903" t="s">
        <v>38</v>
      </c>
      <c r="S903" t="s">
        <v>69</v>
      </c>
      <c r="T903" t="s">
        <v>195</v>
      </c>
      <c r="U903">
        <v>7.6176133388531977E-3</v>
      </c>
      <c r="V903" t="s">
        <v>38</v>
      </c>
    </row>
    <row r="904" spans="9:22" x14ac:dyDescent="0.25">
      <c r="I904" t="s">
        <v>67</v>
      </c>
      <c r="J904" t="s">
        <v>196</v>
      </c>
      <c r="K904">
        <v>3.3537697911009872E-3</v>
      </c>
      <c r="L904" t="s">
        <v>38</v>
      </c>
      <c r="N904" t="s">
        <v>68</v>
      </c>
      <c r="O904" t="s">
        <v>196</v>
      </c>
      <c r="P904">
        <v>2.7168656535936351E-3</v>
      </c>
      <c r="Q904" t="s">
        <v>38</v>
      </c>
      <c r="S904" t="s">
        <v>69</v>
      </c>
      <c r="T904" t="s">
        <v>196</v>
      </c>
      <c r="U904">
        <v>2.813608929300044E-3</v>
      </c>
      <c r="V904" t="s">
        <v>38</v>
      </c>
    </row>
    <row r="905" spans="9:22" x14ac:dyDescent="0.25">
      <c r="I905" t="s">
        <v>67</v>
      </c>
      <c r="J905" t="s">
        <v>197</v>
      </c>
      <c r="K905">
        <v>5.3213502419192482E-4</v>
      </c>
      <c r="L905" t="s">
        <v>38</v>
      </c>
      <c r="N905" t="s">
        <v>68</v>
      </c>
      <c r="O905" t="s">
        <v>197</v>
      </c>
      <c r="P905">
        <v>2.9068743842195679E-3</v>
      </c>
      <c r="Q905" t="s">
        <v>38</v>
      </c>
      <c r="S905" t="s">
        <v>69</v>
      </c>
      <c r="T905" t="s">
        <v>197</v>
      </c>
      <c r="U905">
        <v>2.7638829944501581E-3</v>
      </c>
      <c r="V905" t="s">
        <v>38</v>
      </c>
    </row>
    <row r="906" spans="9:22" x14ac:dyDescent="0.25">
      <c r="I906" t="s">
        <v>67</v>
      </c>
      <c r="J906" t="s">
        <v>198</v>
      </c>
      <c r="K906">
        <v>0</v>
      </c>
      <c r="L906" t="s">
        <v>38</v>
      </c>
      <c r="N906" t="s">
        <v>68</v>
      </c>
      <c r="O906" t="s">
        <v>198</v>
      </c>
      <c r="P906">
        <v>8.9815953529390098E-3</v>
      </c>
      <c r="Q906" t="s">
        <v>38</v>
      </c>
      <c r="S906" t="s">
        <v>69</v>
      </c>
      <c r="T906" t="s">
        <v>198</v>
      </c>
      <c r="U906">
        <v>7.5547280689480774E-3</v>
      </c>
      <c r="V906" t="s">
        <v>38</v>
      </c>
    </row>
    <row r="907" spans="9:22" x14ac:dyDescent="0.25">
      <c r="I907" t="s">
        <v>67</v>
      </c>
      <c r="J907" t="s">
        <v>199</v>
      </c>
      <c r="K907">
        <v>4.0638155587507264E-3</v>
      </c>
      <c r="L907" t="s">
        <v>38</v>
      </c>
      <c r="N907" t="s">
        <v>68</v>
      </c>
      <c r="O907" t="s">
        <v>199</v>
      </c>
      <c r="P907">
        <v>1.1404800504890632E-2</v>
      </c>
      <c r="Q907" t="s">
        <v>38</v>
      </c>
      <c r="S907" t="s">
        <v>69</v>
      </c>
      <c r="T907" t="s">
        <v>199</v>
      </c>
      <c r="U907">
        <v>1.1851147846256875E-2</v>
      </c>
      <c r="V907" t="s">
        <v>38</v>
      </c>
    </row>
    <row r="908" spans="9:22" x14ac:dyDescent="0.25">
      <c r="I908" t="s">
        <v>67</v>
      </c>
      <c r="J908" t="s">
        <v>200</v>
      </c>
      <c r="K908">
        <v>6.0521225731708008E-3</v>
      </c>
      <c r="L908" t="s">
        <v>38</v>
      </c>
      <c r="N908" t="s">
        <v>68</v>
      </c>
      <c r="O908" t="s">
        <v>200</v>
      </c>
      <c r="P908">
        <v>1.7857124861364541E-3</v>
      </c>
      <c r="Q908" t="s">
        <v>38</v>
      </c>
      <c r="S908" t="s">
        <v>69</v>
      </c>
      <c r="T908" t="s">
        <v>200</v>
      </c>
      <c r="U908">
        <v>2.3448797471412519E-3</v>
      </c>
      <c r="V908" t="s">
        <v>38</v>
      </c>
    </row>
    <row r="909" spans="9:22" x14ac:dyDescent="0.25">
      <c r="I909" t="s">
        <v>67</v>
      </c>
      <c r="J909" t="s">
        <v>201</v>
      </c>
      <c r="K909">
        <v>9.77595976447138E-2</v>
      </c>
      <c r="L909" t="s">
        <v>38</v>
      </c>
      <c r="N909" t="s">
        <v>68</v>
      </c>
      <c r="O909" t="s">
        <v>201</v>
      </c>
      <c r="P909">
        <v>1.5015826536070318E-2</v>
      </c>
      <c r="Q909" t="s">
        <v>38</v>
      </c>
      <c r="S909" t="s">
        <v>69</v>
      </c>
      <c r="T909" t="s">
        <v>201</v>
      </c>
      <c r="U909">
        <v>1.9970266188220068E-2</v>
      </c>
      <c r="V909" t="s">
        <v>38</v>
      </c>
    </row>
    <row r="910" spans="9:22" x14ac:dyDescent="0.25">
      <c r="I910" t="s">
        <v>67</v>
      </c>
      <c r="J910" t="s">
        <v>202</v>
      </c>
      <c r="K910">
        <v>1.0573328200031826E-2</v>
      </c>
      <c r="L910" t="s">
        <v>38</v>
      </c>
      <c r="N910" t="s">
        <v>68</v>
      </c>
      <c r="O910" t="s">
        <v>202</v>
      </c>
      <c r="P910">
        <v>2.1977880733498874E-3</v>
      </c>
      <c r="Q910" t="s">
        <v>38</v>
      </c>
      <c r="S910" t="s">
        <v>69</v>
      </c>
      <c r="T910" t="s">
        <v>202</v>
      </c>
      <c r="U910">
        <v>2.120730536128611E-3</v>
      </c>
      <c r="V910" t="s">
        <v>38</v>
      </c>
    </row>
    <row r="911" spans="9:22" x14ac:dyDescent="0.25">
      <c r="I911" t="s">
        <v>67</v>
      </c>
      <c r="J911" t="s">
        <v>203</v>
      </c>
      <c r="K911">
        <v>2.4042920898925291E-2</v>
      </c>
      <c r="L911" t="s">
        <v>38</v>
      </c>
      <c r="N911" t="s">
        <v>68</v>
      </c>
      <c r="O911" t="s">
        <v>203</v>
      </c>
      <c r="P911">
        <v>5.7977803921852684E-3</v>
      </c>
      <c r="Q911" t="s">
        <v>38</v>
      </c>
      <c r="S911" t="s">
        <v>69</v>
      </c>
      <c r="T911" t="s">
        <v>203</v>
      </c>
      <c r="U911">
        <v>6.9947107848298455E-3</v>
      </c>
      <c r="V911" t="s">
        <v>38</v>
      </c>
    </row>
    <row r="912" spans="9:22" x14ac:dyDescent="0.25">
      <c r="I912" t="s">
        <v>67</v>
      </c>
      <c r="J912" t="s">
        <v>204</v>
      </c>
      <c r="K912">
        <v>4.4600111000064032E-3</v>
      </c>
      <c r="L912" t="s">
        <v>38</v>
      </c>
      <c r="N912" t="s">
        <v>68</v>
      </c>
      <c r="O912" t="s">
        <v>204</v>
      </c>
      <c r="P912">
        <v>1.7918068471692555E-3</v>
      </c>
      <c r="Q912" t="s">
        <v>38</v>
      </c>
      <c r="S912" t="s">
        <v>69</v>
      </c>
      <c r="T912" t="s">
        <v>204</v>
      </c>
      <c r="U912">
        <v>2.4223922530862197E-3</v>
      </c>
      <c r="V912" t="s">
        <v>38</v>
      </c>
    </row>
    <row r="913" spans="9:22" x14ac:dyDescent="0.25">
      <c r="I913" t="s">
        <v>67</v>
      </c>
      <c r="J913" t="s">
        <v>205</v>
      </c>
      <c r="K913">
        <v>2.0498633608921585E-3</v>
      </c>
      <c r="L913" t="s">
        <v>38</v>
      </c>
      <c r="N913" t="s">
        <v>68</v>
      </c>
      <c r="O913" t="s">
        <v>205</v>
      </c>
      <c r="P913">
        <v>1.9517331657579373E-3</v>
      </c>
      <c r="Q913" t="s">
        <v>38</v>
      </c>
      <c r="S913" t="s">
        <v>69</v>
      </c>
      <c r="T913" t="s">
        <v>205</v>
      </c>
      <c r="U913">
        <v>2.3671191951821547E-3</v>
      </c>
      <c r="V913" t="s">
        <v>38</v>
      </c>
    </row>
    <row r="914" spans="9:22" x14ac:dyDescent="0.25">
      <c r="I914" t="s">
        <v>67</v>
      </c>
      <c r="J914" t="s">
        <v>206</v>
      </c>
      <c r="K914">
        <v>0</v>
      </c>
      <c r="L914" t="s">
        <v>38</v>
      </c>
      <c r="N914" t="s">
        <v>68</v>
      </c>
      <c r="O914" t="s">
        <v>206</v>
      </c>
      <c r="P914">
        <v>6.8057139286176686E-3</v>
      </c>
      <c r="Q914" t="s">
        <v>38</v>
      </c>
      <c r="S914" t="s">
        <v>69</v>
      </c>
      <c r="T914" t="s">
        <v>206</v>
      </c>
      <c r="U914">
        <v>7.0011432719337156E-3</v>
      </c>
      <c r="V914" t="s">
        <v>38</v>
      </c>
    </row>
    <row r="915" spans="9:22" x14ac:dyDescent="0.25">
      <c r="I915" t="s">
        <v>67</v>
      </c>
      <c r="J915" t="s">
        <v>207</v>
      </c>
      <c r="K915">
        <v>2.9168664340172906E-3</v>
      </c>
      <c r="L915" t="s">
        <v>38</v>
      </c>
      <c r="N915" t="s">
        <v>68</v>
      </c>
      <c r="O915" t="s">
        <v>207</v>
      </c>
      <c r="P915">
        <v>1.2792618390763722E-2</v>
      </c>
      <c r="Q915" t="s">
        <v>38</v>
      </c>
      <c r="S915" t="s">
        <v>69</v>
      </c>
      <c r="T915" t="s">
        <v>207</v>
      </c>
      <c r="U915">
        <v>1.4155926554600086E-2</v>
      </c>
      <c r="V915" t="s">
        <v>38</v>
      </c>
    </row>
    <row r="916" spans="9:22" x14ac:dyDescent="0.25">
      <c r="I916" t="s">
        <v>67</v>
      </c>
      <c r="J916" t="s">
        <v>208</v>
      </c>
      <c r="K916">
        <v>5.8559624142737101E-3</v>
      </c>
      <c r="L916" t="s">
        <v>38</v>
      </c>
      <c r="N916" t="s">
        <v>68</v>
      </c>
      <c r="O916" t="s">
        <v>208</v>
      </c>
      <c r="P916">
        <v>2.0276890631331849E-3</v>
      </c>
      <c r="Q916" t="s">
        <v>38</v>
      </c>
      <c r="S916" t="s">
        <v>69</v>
      </c>
      <c r="T916" t="s">
        <v>208</v>
      </c>
      <c r="U916">
        <v>2.5104531517564687E-3</v>
      </c>
      <c r="V916" t="s">
        <v>38</v>
      </c>
    </row>
    <row r="917" spans="9:22" x14ac:dyDescent="0.25">
      <c r="I917" t="s">
        <v>67</v>
      </c>
      <c r="J917" t="s">
        <v>209</v>
      </c>
      <c r="K917">
        <v>0.10020410991722443</v>
      </c>
      <c r="L917" t="s">
        <v>38</v>
      </c>
      <c r="N917" t="s">
        <v>68</v>
      </c>
      <c r="O917" t="s">
        <v>209</v>
      </c>
      <c r="P917">
        <v>1.7994525190637992E-2</v>
      </c>
      <c r="Q917" t="s">
        <v>38</v>
      </c>
      <c r="S917" t="s">
        <v>69</v>
      </c>
      <c r="T917" t="s">
        <v>209</v>
      </c>
      <c r="U917">
        <v>2.129269133977708E-2</v>
      </c>
      <c r="V917" t="s">
        <v>38</v>
      </c>
    </row>
    <row r="918" spans="9:22" x14ac:dyDescent="0.25">
      <c r="I918" t="s">
        <v>67</v>
      </c>
      <c r="J918" t="s">
        <v>210</v>
      </c>
      <c r="K918">
        <v>1.0871094922954743E-2</v>
      </c>
      <c r="L918" t="s">
        <v>38</v>
      </c>
      <c r="N918" t="s">
        <v>68</v>
      </c>
      <c r="O918" t="s">
        <v>210</v>
      </c>
      <c r="P918">
        <v>2.4767873203244153E-3</v>
      </c>
      <c r="Q918" t="s">
        <v>38</v>
      </c>
      <c r="S918" t="s">
        <v>69</v>
      </c>
      <c r="T918" t="s">
        <v>210</v>
      </c>
      <c r="U918">
        <v>3.1145639072507696E-3</v>
      </c>
      <c r="V918" t="s">
        <v>38</v>
      </c>
    </row>
    <row r="919" spans="9:22" x14ac:dyDescent="0.25">
      <c r="I919" t="s">
        <v>67</v>
      </c>
      <c r="J919" t="s">
        <v>211</v>
      </c>
      <c r="K919">
        <v>2.4376337267586881E-2</v>
      </c>
      <c r="L919" t="s">
        <v>38</v>
      </c>
      <c r="N919" t="s">
        <v>68</v>
      </c>
      <c r="O919" t="s">
        <v>211</v>
      </c>
      <c r="P919">
        <v>7.6751843785393932E-3</v>
      </c>
      <c r="Q919" t="s">
        <v>38</v>
      </c>
      <c r="S919" t="s">
        <v>69</v>
      </c>
      <c r="T919" t="s">
        <v>211</v>
      </c>
      <c r="U919">
        <v>1.0706113587262662E-2</v>
      </c>
      <c r="V919" t="s">
        <v>38</v>
      </c>
    </row>
    <row r="920" spans="9:22" x14ac:dyDescent="0.25">
      <c r="I920" t="s">
        <v>67</v>
      </c>
      <c r="J920" t="s">
        <v>212</v>
      </c>
      <c r="K920">
        <v>4.1132943739461162E-3</v>
      </c>
      <c r="L920" t="s">
        <v>38</v>
      </c>
      <c r="N920" t="s">
        <v>68</v>
      </c>
      <c r="O920" t="s">
        <v>212</v>
      </c>
      <c r="P920">
        <v>2.6054485080467308E-3</v>
      </c>
      <c r="Q920" t="s">
        <v>38</v>
      </c>
      <c r="S920" t="s">
        <v>69</v>
      </c>
      <c r="T920" t="s">
        <v>212</v>
      </c>
      <c r="U920">
        <v>3.5541679338992943E-3</v>
      </c>
      <c r="V920" t="s">
        <v>38</v>
      </c>
    </row>
    <row r="921" spans="9:22" x14ac:dyDescent="0.25">
      <c r="I921" t="s">
        <v>67</v>
      </c>
      <c r="J921" t="s">
        <v>213</v>
      </c>
      <c r="K921">
        <v>1.9917877309833499E-3</v>
      </c>
      <c r="L921" t="s">
        <v>38</v>
      </c>
      <c r="N921" t="s">
        <v>68</v>
      </c>
      <c r="O921" t="s">
        <v>213</v>
      </c>
      <c r="P921">
        <v>2.6748031802954404E-3</v>
      </c>
      <c r="Q921" t="s">
        <v>38</v>
      </c>
      <c r="S921" t="s">
        <v>69</v>
      </c>
      <c r="T921" t="s">
        <v>213</v>
      </c>
      <c r="U921">
        <v>3.3921429646392221E-3</v>
      </c>
      <c r="V921" t="s">
        <v>38</v>
      </c>
    </row>
    <row r="922" spans="9:22" x14ac:dyDescent="0.25">
      <c r="I922" t="s">
        <v>67</v>
      </c>
      <c r="J922" t="s">
        <v>214</v>
      </c>
      <c r="K922">
        <v>0</v>
      </c>
      <c r="L922" t="s">
        <v>38</v>
      </c>
      <c r="N922" t="s">
        <v>68</v>
      </c>
      <c r="O922" t="s">
        <v>214</v>
      </c>
      <c r="P922">
        <v>8.605023975635671E-3</v>
      </c>
      <c r="Q922" t="s">
        <v>38</v>
      </c>
      <c r="S922" t="s">
        <v>69</v>
      </c>
      <c r="T922" t="s">
        <v>214</v>
      </c>
      <c r="U922">
        <v>9.7743358351227404E-3</v>
      </c>
      <c r="V922" t="s">
        <v>38</v>
      </c>
    </row>
    <row r="923" spans="9:22" x14ac:dyDescent="0.25">
      <c r="I923" t="s">
        <v>67</v>
      </c>
      <c r="J923" t="s">
        <v>215</v>
      </c>
      <c r="K923">
        <v>3.0195044706252572E-4</v>
      </c>
      <c r="L923" t="s">
        <v>38</v>
      </c>
      <c r="N923" t="s">
        <v>68</v>
      </c>
      <c r="O923" t="s">
        <v>215</v>
      </c>
      <c r="P923">
        <v>1.0489913801440766E-2</v>
      </c>
      <c r="Q923" t="s">
        <v>38</v>
      </c>
      <c r="S923" t="s">
        <v>69</v>
      </c>
      <c r="T923" t="s">
        <v>215</v>
      </c>
      <c r="U923">
        <v>1.1854440482531543E-2</v>
      </c>
      <c r="V923" t="s">
        <v>38</v>
      </c>
    </row>
    <row r="924" spans="9:22" x14ac:dyDescent="0.25">
      <c r="I924" t="s">
        <v>67</v>
      </c>
      <c r="J924" t="s">
        <v>216</v>
      </c>
      <c r="K924">
        <v>2.6324596899615364E-3</v>
      </c>
      <c r="L924" t="s">
        <v>38</v>
      </c>
      <c r="N924" t="s">
        <v>68</v>
      </c>
      <c r="O924" t="s">
        <v>216</v>
      </c>
      <c r="P924">
        <v>2.3373774299515911E-3</v>
      </c>
      <c r="Q924" t="s">
        <v>38</v>
      </c>
      <c r="S924" t="s">
        <v>69</v>
      </c>
      <c r="T924" t="s">
        <v>216</v>
      </c>
      <c r="U924">
        <v>2.4578728888940459E-3</v>
      </c>
      <c r="V924" t="s">
        <v>38</v>
      </c>
    </row>
    <row r="925" spans="9:22" x14ac:dyDescent="0.25">
      <c r="I925" t="s">
        <v>67</v>
      </c>
      <c r="J925" t="s">
        <v>217</v>
      </c>
      <c r="K925">
        <v>8.6046418262738428E-2</v>
      </c>
      <c r="L925" t="s">
        <v>38</v>
      </c>
      <c r="N925" t="s">
        <v>68</v>
      </c>
      <c r="O925" t="s">
        <v>217</v>
      </c>
      <c r="P925">
        <v>1.7293989769726532E-2</v>
      </c>
      <c r="Q925" t="s">
        <v>38</v>
      </c>
      <c r="S925" t="s">
        <v>69</v>
      </c>
      <c r="T925" t="s">
        <v>217</v>
      </c>
      <c r="U925">
        <v>2.1054837405545281E-2</v>
      </c>
      <c r="V925" t="s">
        <v>38</v>
      </c>
    </row>
    <row r="926" spans="9:22" x14ac:dyDescent="0.25">
      <c r="I926" t="s">
        <v>67</v>
      </c>
      <c r="J926" t="s">
        <v>218</v>
      </c>
      <c r="K926">
        <v>9.5577865433478758E-3</v>
      </c>
      <c r="L926" t="s">
        <v>38</v>
      </c>
      <c r="N926" t="s">
        <v>68</v>
      </c>
      <c r="O926" t="s">
        <v>218</v>
      </c>
      <c r="P926">
        <v>2.0682062839711005E-3</v>
      </c>
      <c r="Q926" t="s">
        <v>38</v>
      </c>
      <c r="S926" t="s">
        <v>69</v>
      </c>
      <c r="T926" t="s">
        <v>218</v>
      </c>
      <c r="U926">
        <v>2.3140608788656228E-3</v>
      </c>
      <c r="V926" t="s">
        <v>38</v>
      </c>
    </row>
    <row r="927" spans="9:22" x14ac:dyDescent="0.25">
      <c r="I927" t="s">
        <v>67</v>
      </c>
      <c r="J927" t="s">
        <v>219</v>
      </c>
      <c r="K927">
        <v>2.0615902569170601E-2</v>
      </c>
      <c r="L927" t="s">
        <v>38</v>
      </c>
      <c r="N927" t="s">
        <v>68</v>
      </c>
      <c r="O927" t="s">
        <v>219</v>
      </c>
      <c r="P927">
        <v>5.3984915988524399E-3</v>
      </c>
      <c r="Q927" t="s">
        <v>38</v>
      </c>
      <c r="S927" t="s">
        <v>69</v>
      </c>
      <c r="T927" t="s">
        <v>219</v>
      </c>
      <c r="U927">
        <v>6.6064759770733152E-3</v>
      </c>
      <c r="V927" t="s">
        <v>38</v>
      </c>
    </row>
    <row r="928" spans="9:22" x14ac:dyDescent="0.25">
      <c r="I928" t="s">
        <v>67</v>
      </c>
      <c r="J928" t="s">
        <v>220</v>
      </c>
      <c r="K928">
        <v>2.340220566867795E-3</v>
      </c>
      <c r="L928" t="s">
        <v>38</v>
      </c>
      <c r="N928" t="s">
        <v>68</v>
      </c>
      <c r="O928" t="s">
        <v>220</v>
      </c>
      <c r="P928">
        <v>1.9807913626547187E-3</v>
      </c>
      <c r="Q928" t="s">
        <v>38</v>
      </c>
      <c r="S928" t="s">
        <v>69</v>
      </c>
      <c r="T928" t="s">
        <v>220</v>
      </c>
      <c r="U928">
        <v>2.2429201490113998E-3</v>
      </c>
      <c r="V928" t="s">
        <v>38</v>
      </c>
    </row>
    <row r="929" spans="9:22" x14ac:dyDescent="0.25">
      <c r="I929" t="s">
        <v>67</v>
      </c>
      <c r="J929" t="s">
        <v>221</v>
      </c>
      <c r="K929">
        <v>6.0376526788693721E-6</v>
      </c>
      <c r="L929" t="s">
        <v>38</v>
      </c>
      <c r="N929" t="s">
        <v>68</v>
      </c>
      <c r="O929" t="s">
        <v>221</v>
      </c>
      <c r="P929">
        <v>2.1641605306800785E-3</v>
      </c>
      <c r="Q929" t="s">
        <v>38</v>
      </c>
      <c r="S929" t="s">
        <v>69</v>
      </c>
      <c r="T929" t="s">
        <v>221</v>
      </c>
      <c r="U929">
        <v>2.3081582625099359E-3</v>
      </c>
      <c r="V929" t="s">
        <v>38</v>
      </c>
    </row>
    <row r="930" spans="9:22" x14ac:dyDescent="0.25">
      <c r="I930" t="s">
        <v>67</v>
      </c>
      <c r="J930" t="s">
        <v>222</v>
      </c>
      <c r="K930">
        <v>0</v>
      </c>
      <c r="L930" t="s">
        <v>38</v>
      </c>
      <c r="N930" t="s">
        <v>68</v>
      </c>
      <c r="O930" t="s">
        <v>222</v>
      </c>
      <c r="P930">
        <v>6.9651574290716589E-3</v>
      </c>
      <c r="Q930" t="s">
        <v>38</v>
      </c>
      <c r="S930" t="s">
        <v>69</v>
      </c>
      <c r="T930" t="s">
        <v>222</v>
      </c>
      <c r="U930">
        <v>7.2027370135871608E-3</v>
      </c>
      <c r="V930" t="s">
        <v>38</v>
      </c>
    </row>
    <row r="931" spans="9:22" x14ac:dyDescent="0.25">
      <c r="I931" t="s">
        <v>67</v>
      </c>
      <c r="J931" t="s">
        <v>223</v>
      </c>
      <c r="K931">
        <v>0</v>
      </c>
      <c r="L931" t="s">
        <v>38</v>
      </c>
      <c r="N931" t="s">
        <v>68</v>
      </c>
      <c r="O931" t="s">
        <v>223</v>
      </c>
      <c r="P931">
        <v>1.2574288424043288E-2</v>
      </c>
      <c r="Q931" t="s">
        <v>38</v>
      </c>
      <c r="S931" t="s">
        <v>69</v>
      </c>
      <c r="T931" t="s">
        <v>223</v>
      </c>
      <c r="U931">
        <v>1.2633123978526686E-2</v>
      </c>
      <c r="V931" t="s">
        <v>38</v>
      </c>
    </row>
    <row r="932" spans="9:22" x14ac:dyDescent="0.25">
      <c r="I932" t="s">
        <v>67</v>
      </c>
      <c r="J932" t="s">
        <v>224</v>
      </c>
      <c r="K932">
        <v>3.2459343820410072E-5</v>
      </c>
      <c r="L932" t="s">
        <v>38</v>
      </c>
      <c r="N932" t="s">
        <v>68</v>
      </c>
      <c r="O932" t="s">
        <v>224</v>
      </c>
      <c r="P932">
        <v>2.5500971763384251E-3</v>
      </c>
      <c r="Q932" t="s">
        <v>38</v>
      </c>
      <c r="S932" t="s">
        <v>69</v>
      </c>
      <c r="T932" t="s">
        <v>224</v>
      </c>
      <c r="U932">
        <v>2.5736411147685647E-3</v>
      </c>
      <c r="V932" t="s">
        <v>38</v>
      </c>
    </row>
    <row r="933" spans="9:22" x14ac:dyDescent="0.25">
      <c r="I933" t="s">
        <v>67</v>
      </c>
      <c r="J933" t="s">
        <v>225</v>
      </c>
      <c r="K933">
        <v>7.0035757151260314E-2</v>
      </c>
      <c r="L933" t="s">
        <v>38</v>
      </c>
      <c r="N933" t="s">
        <v>68</v>
      </c>
      <c r="O933" t="s">
        <v>225</v>
      </c>
      <c r="P933">
        <v>1.9688043009330462E-2</v>
      </c>
      <c r="Q933" t="s">
        <v>38</v>
      </c>
      <c r="S933" t="s">
        <v>69</v>
      </c>
      <c r="T933" t="s">
        <v>225</v>
      </c>
      <c r="U933">
        <v>2.1504935899362938E-2</v>
      </c>
      <c r="V933" t="s">
        <v>38</v>
      </c>
    </row>
    <row r="934" spans="9:22" x14ac:dyDescent="0.25">
      <c r="I934" t="s">
        <v>67</v>
      </c>
      <c r="J934" t="s">
        <v>226</v>
      </c>
      <c r="K934">
        <v>7.8389452265721828E-3</v>
      </c>
      <c r="L934" t="s">
        <v>38</v>
      </c>
      <c r="N934" t="s">
        <v>68</v>
      </c>
      <c r="O934" t="s">
        <v>226</v>
      </c>
      <c r="P934">
        <v>2.1354013428724985E-3</v>
      </c>
      <c r="Q934" t="s">
        <v>38</v>
      </c>
      <c r="S934" t="s">
        <v>69</v>
      </c>
      <c r="T934" t="s">
        <v>226</v>
      </c>
      <c r="U934">
        <v>2.3025819611291018E-3</v>
      </c>
      <c r="V934" t="s">
        <v>38</v>
      </c>
    </row>
    <row r="935" spans="9:22" x14ac:dyDescent="0.25">
      <c r="I935" t="s">
        <v>67</v>
      </c>
      <c r="J935" t="s">
        <v>227</v>
      </c>
      <c r="K935">
        <v>1.1832487763163814E-2</v>
      </c>
      <c r="L935" t="s">
        <v>38</v>
      </c>
      <c r="N935" t="s">
        <v>68</v>
      </c>
      <c r="O935" t="s">
        <v>227</v>
      </c>
      <c r="P935">
        <v>7.129424660853311E-3</v>
      </c>
      <c r="Q935" t="s">
        <v>38</v>
      </c>
      <c r="S935" t="s">
        <v>69</v>
      </c>
      <c r="T935" t="s">
        <v>227</v>
      </c>
      <c r="U935">
        <v>8.3705816467022198E-3</v>
      </c>
      <c r="V935" t="s">
        <v>38</v>
      </c>
    </row>
    <row r="936" spans="9:22" x14ac:dyDescent="0.25">
      <c r="I936" t="s">
        <v>67</v>
      </c>
      <c r="J936" t="s">
        <v>228</v>
      </c>
      <c r="K936">
        <v>0</v>
      </c>
      <c r="L936" t="s">
        <v>38</v>
      </c>
      <c r="N936" t="s">
        <v>68</v>
      </c>
      <c r="O936" t="s">
        <v>228</v>
      </c>
      <c r="P936">
        <v>2.8515763354574593E-3</v>
      </c>
      <c r="Q936" t="s">
        <v>38</v>
      </c>
      <c r="S936" t="s">
        <v>69</v>
      </c>
      <c r="T936" t="s">
        <v>228</v>
      </c>
      <c r="U936">
        <v>3.0774049128433041E-3</v>
      </c>
      <c r="V936" t="s">
        <v>38</v>
      </c>
    </row>
    <row r="937" spans="9:22" x14ac:dyDescent="0.25">
      <c r="I937" t="s">
        <v>67</v>
      </c>
      <c r="J937" t="s">
        <v>229</v>
      </c>
      <c r="K937">
        <v>0</v>
      </c>
      <c r="L937" t="s">
        <v>38</v>
      </c>
      <c r="N937" t="s">
        <v>68</v>
      </c>
      <c r="O937" t="s">
        <v>229</v>
      </c>
      <c r="P937">
        <v>3.0015304067061671E-3</v>
      </c>
      <c r="Q937" t="s">
        <v>38</v>
      </c>
      <c r="S937" t="s">
        <v>69</v>
      </c>
      <c r="T937" t="s">
        <v>229</v>
      </c>
      <c r="U937">
        <v>3.0815943617580701E-3</v>
      </c>
      <c r="V937" t="s">
        <v>38</v>
      </c>
    </row>
    <row r="938" spans="9:22" x14ac:dyDescent="0.25">
      <c r="I938" t="s">
        <v>67</v>
      </c>
      <c r="J938" t="s">
        <v>230</v>
      </c>
      <c r="K938">
        <v>0</v>
      </c>
      <c r="L938" t="s">
        <v>38</v>
      </c>
      <c r="N938" t="s">
        <v>68</v>
      </c>
      <c r="O938" t="s">
        <v>230</v>
      </c>
      <c r="P938">
        <v>8.8768738625626953E-3</v>
      </c>
      <c r="Q938" t="s">
        <v>38</v>
      </c>
      <c r="S938" t="s">
        <v>69</v>
      </c>
      <c r="T938" t="s">
        <v>230</v>
      </c>
      <c r="U938">
        <v>8.8797538052793057E-3</v>
      </c>
      <c r="V938" t="s">
        <v>38</v>
      </c>
    </row>
    <row r="939" spans="9:22" x14ac:dyDescent="0.25">
      <c r="I939" t="s">
        <v>67</v>
      </c>
      <c r="J939" t="s">
        <v>231</v>
      </c>
      <c r="K939">
        <v>0</v>
      </c>
      <c r="L939" t="s">
        <v>38</v>
      </c>
      <c r="N939" t="s">
        <v>68</v>
      </c>
      <c r="O939" t="s">
        <v>231</v>
      </c>
      <c r="P939">
        <v>2.2827853095783279E-2</v>
      </c>
      <c r="Q939" t="s">
        <v>38</v>
      </c>
      <c r="S939" t="s">
        <v>69</v>
      </c>
      <c r="T939" t="s">
        <v>231</v>
      </c>
      <c r="U939">
        <v>2.0633386396487475E-2</v>
      </c>
      <c r="V939" t="s">
        <v>38</v>
      </c>
    </row>
    <row r="940" spans="9:22" x14ac:dyDescent="0.25">
      <c r="I940" t="s">
        <v>67</v>
      </c>
      <c r="J940" t="s">
        <v>232</v>
      </c>
      <c r="K940">
        <v>0</v>
      </c>
      <c r="L940" t="s">
        <v>38</v>
      </c>
      <c r="N940" t="s">
        <v>68</v>
      </c>
      <c r="O940" t="s">
        <v>232</v>
      </c>
      <c r="P940">
        <v>4.6845249094348085E-3</v>
      </c>
      <c r="Q940" t="s">
        <v>38</v>
      </c>
      <c r="S940" t="s">
        <v>69</v>
      </c>
      <c r="T940" t="s">
        <v>232</v>
      </c>
      <c r="U940">
        <v>4.1265042502894875E-3</v>
      </c>
      <c r="V940" t="s">
        <v>38</v>
      </c>
    </row>
    <row r="941" spans="9:22" x14ac:dyDescent="0.25">
      <c r="I941" t="s">
        <v>67</v>
      </c>
      <c r="J941" t="s">
        <v>233</v>
      </c>
      <c r="K941">
        <v>3.3778555126137873E-2</v>
      </c>
      <c r="L941" t="s">
        <v>38</v>
      </c>
      <c r="N941" t="s">
        <v>68</v>
      </c>
      <c r="O941" t="s">
        <v>233</v>
      </c>
      <c r="P941">
        <v>4.1122931592482086E-2</v>
      </c>
      <c r="Q941" t="s">
        <v>38</v>
      </c>
      <c r="S941" t="s">
        <v>69</v>
      </c>
      <c r="T941" t="s">
        <v>233</v>
      </c>
      <c r="U941">
        <v>3.9491259837416345E-2</v>
      </c>
      <c r="V941" t="s">
        <v>38</v>
      </c>
    </row>
    <row r="942" spans="9:22" x14ac:dyDescent="0.25">
      <c r="I942" t="s">
        <v>67</v>
      </c>
      <c r="J942" t="s">
        <v>234</v>
      </c>
      <c r="K942">
        <v>3.5831047116239383E-3</v>
      </c>
      <c r="L942" t="s">
        <v>38</v>
      </c>
      <c r="N942" t="s">
        <v>68</v>
      </c>
      <c r="O942" t="s">
        <v>234</v>
      </c>
      <c r="P942">
        <v>4.4836657230536469E-3</v>
      </c>
      <c r="Q942" t="s">
        <v>38</v>
      </c>
      <c r="S942" t="s">
        <v>69</v>
      </c>
      <c r="T942" t="s">
        <v>234</v>
      </c>
      <c r="U942">
        <v>4.6177019930009628E-3</v>
      </c>
      <c r="V942" t="s">
        <v>38</v>
      </c>
    </row>
    <row r="943" spans="9:22" x14ac:dyDescent="0.25">
      <c r="I943" t="s">
        <v>67</v>
      </c>
      <c r="J943" t="s">
        <v>235</v>
      </c>
      <c r="K943">
        <v>2.3622230351114108E-3</v>
      </c>
      <c r="L943" t="s">
        <v>38</v>
      </c>
      <c r="N943" t="s">
        <v>68</v>
      </c>
      <c r="O943" t="s">
        <v>235</v>
      </c>
      <c r="P943">
        <v>1.4345190686877379E-2</v>
      </c>
      <c r="Q943" t="s">
        <v>38</v>
      </c>
      <c r="S943" t="s">
        <v>69</v>
      </c>
      <c r="T943" t="s">
        <v>235</v>
      </c>
      <c r="U943">
        <v>1.3880859798875067E-2</v>
      </c>
      <c r="V943" t="s">
        <v>38</v>
      </c>
    </row>
    <row r="944" spans="9:22" x14ac:dyDescent="0.25">
      <c r="I944" t="s">
        <v>67</v>
      </c>
      <c r="J944" t="s">
        <v>236</v>
      </c>
      <c r="K944">
        <v>0</v>
      </c>
      <c r="L944" t="s">
        <v>38</v>
      </c>
      <c r="N944" t="s">
        <v>68</v>
      </c>
      <c r="O944" t="s">
        <v>236</v>
      </c>
      <c r="P944">
        <v>4.9428358159573109E-3</v>
      </c>
      <c r="Q944" t="s">
        <v>38</v>
      </c>
      <c r="S944" t="s">
        <v>69</v>
      </c>
      <c r="T944" t="s">
        <v>236</v>
      </c>
      <c r="U944">
        <v>4.5699267700092996E-3</v>
      </c>
      <c r="V944" t="s">
        <v>38</v>
      </c>
    </row>
    <row r="945" spans="9:22" x14ac:dyDescent="0.25">
      <c r="I945" t="s">
        <v>67</v>
      </c>
      <c r="J945" t="s">
        <v>237</v>
      </c>
      <c r="K945">
        <v>0</v>
      </c>
      <c r="L945" t="s">
        <v>38</v>
      </c>
      <c r="N945" t="s">
        <v>68</v>
      </c>
      <c r="O945" t="s">
        <v>237</v>
      </c>
      <c r="P945">
        <v>4.9124114842020649E-3</v>
      </c>
      <c r="Q945" t="s">
        <v>38</v>
      </c>
      <c r="S945" t="s">
        <v>69</v>
      </c>
      <c r="T945" t="s">
        <v>237</v>
      </c>
      <c r="U945">
        <v>4.4870356613596349E-3</v>
      </c>
      <c r="V945" t="s">
        <v>38</v>
      </c>
    </row>
    <row r="946" spans="9:22" x14ac:dyDescent="0.25">
      <c r="I946" t="s">
        <v>67</v>
      </c>
      <c r="J946" t="s">
        <v>238</v>
      </c>
      <c r="K946">
        <v>0</v>
      </c>
      <c r="L946" t="s">
        <v>38</v>
      </c>
      <c r="N946" t="s">
        <v>68</v>
      </c>
      <c r="O946" t="s">
        <v>238</v>
      </c>
      <c r="P946">
        <v>1.4673020400799777E-2</v>
      </c>
      <c r="Q946" t="s">
        <v>38</v>
      </c>
      <c r="S946" t="s">
        <v>69</v>
      </c>
      <c r="T946" t="s">
        <v>238</v>
      </c>
      <c r="U946">
        <v>1.379970381126245E-2</v>
      </c>
      <c r="V946" t="s">
        <v>38</v>
      </c>
    </row>
    <row r="947" spans="9:22" x14ac:dyDescent="0.25">
      <c r="I947" t="s">
        <v>67</v>
      </c>
      <c r="J947" t="s">
        <v>239</v>
      </c>
      <c r="K947">
        <v>0</v>
      </c>
      <c r="L947" t="s">
        <v>38</v>
      </c>
      <c r="N947" t="s">
        <v>68</v>
      </c>
      <c r="O947" t="s">
        <v>239</v>
      </c>
      <c r="P947">
        <v>2.7277305552434759E-2</v>
      </c>
      <c r="Q947" t="s">
        <v>38</v>
      </c>
      <c r="S947" t="s">
        <v>69</v>
      </c>
      <c r="T947" t="s">
        <v>239</v>
      </c>
      <c r="U947">
        <v>2.3549830202172044E-2</v>
      </c>
      <c r="V947" t="s">
        <v>38</v>
      </c>
    </row>
    <row r="948" spans="9:22" x14ac:dyDescent="0.25">
      <c r="I948" t="s">
        <v>67</v>
      </c>
      <c r="J948" t="s">
        <v>240</v>
      </c>
      <c r="K948">
        <v>0</v>
      </c>
      <c r="L948" t="s">
        <v>38</v>
      </c>
      <c r="N948" t="s">
        <v>68</v>
      </c>
      <c r="O948" t="s">
        <v>240</v>
      </c>
      <c r="P948">
        <v>5.0576517437361228E-3</v>
      </c>
      <c r="Q948" t="s">
        <v>38</v>
      </c>
      <c r="S948" t="s">
        <v>69</v>
      </c>
      <c r="T948" t="s">
        <v>240</v>
      </c>
      <c r="U948">
        <v>4.6125809335157923E-3</v>
      </c>
      <c r="V948" t="s">
        <v>38</v>
      </c>
    </row>
    <row r="949" spans="9:22" x14ac:dyDescent="0.25">
      <c r="I949" t="s">
        <v>67</v>
      </c>
      <c r="J949" t="s">
        <v>241</v>
      </c>
      <c r="K949">
        <v>1.5170759185160651E-2</v>
      </c>
      <c r="L949" t="s">
        <v>38</v>
      </c>
      <c r="N949" t="s">
        <v>68</v>
      </c>
      <c r="O949" t="s">
        <v>241</v>
      </c>
      <c r="P949">
        <v>4.3203296938064149E-2</v>
      </c>
      <c r="Q949" t="s">
        <v>38</v>
      </c>
      <c r="S949" t="s">
        <v>69</v>
      </c>
      <c r="T949" t="s">
        <v>241</v>
      </c>
      <c r="U949">
        <v>4.1150046547174517E-2</v>
      </c>
      <c r="V949" t="s">
        <v>38</v>
      </c>
    </row>
    <row r="950" spans="9:22" x14ac:dyDescent="0.25">
      <c r="I950" t="s">
        <v>67</v>
      </c>
      <c r="J950" t="s">
        <v>242</v>
      </c>
      <c r="K950">
        <v>6.0803681701521845E-4</v>
      </c>
      <c r="L950" t="s">
        <v>38</v>
      </c>
      <c r="N950" t="s">
        <v>68</v>
      </c>
      <c r="O950" t="s">
        <v>242</v>
      </c>
      <c r="P950">
        <v>4.8896237602386308E-3</v>
      </c>
      <c r="Q950" t="s">
        <v>38</v>
      </c>
      <c r="S950" t="s">
        <v>69</v>
      </c>
      <c r="T950" t="s">
        <v>242</v>
      </c>
      <c r="U950">
        <v>4.8338449875453184E-3</v>
      </c>
      <c r="V950" t="s">
        <v>38</v>
      </c>
    </row>
    <row r="951" spans="9:22" x14ac:dyDescent="0.25">
      <c r="I951" t="s">
        <v>67</v>
      </c>
      <c r="J951" t="s">
        <v>243</v>
      </c>
      <c r="K951">
        <v>0</v>
      </c>
      <c r="L951" t="s">
        <v>38</v>
      </c>
      <c r="N951" t="s">
        <v>68</v>
      </c>
      <c r="O951" t="s">
        <v>243</v>
      </c>
      <c r="P951">
        <v>1.5579282739890588E-2</v>
      </c>
      <c r="Q951" t="s">
        <v>38</v>
      </c>
      <c r="S951" t="s">
        <v>69</v>
      </c>
      <c r="T951" t="s">
        <v>243</v>
      </c>
      <c r="U951">
        <v>1.4697210008103329E-2</v>
      </c>
      <c r="V951" t="s">
        <v>38</v>
      </c>
    </row>
    <row r="952" spans="9:22" x14ac:dyDescent="0.25">
      <c r="I952" t="s">
        <v>67</v>
      </c>
      <c r="J952" t="s">
        <v>244</v>
      </c>
      <c r="K952">
        <v>0</v>
      </c>
      <c r="L952" t="s">
        <v>38</v>
      </c>
      <c r="N952" t="s">
        <v>68</v>
      </c>
      <c r="O952" t="s">
        <v>244</v>
      </c>
      <c r="P952">
        <v>5.5670136239433969E-3</v>
      </c>
      <c r="Q952" t="s">
        <v>38</v>
      </c>
      <c r="S952" t="s">
        <v>69</v>
      </c>
      <c r="T952" t="s">
        <v>244</v>
      </c>
      <c r="U952">
        <v>4.9298763047074916E-3</v>
      </c>
      <c r="V952" t="s">
        <v>38</v>
      </c>
    </row>
    <row r="953" spans="9:22" x14ac:dyDescent="0.25">
      <c r="I953" t="s">
        <v>67</v>
      </c>
      <c r="J953" t="s">
        <v>245</v>
      </c>
      <c r="K953">
        <v>0</v>
      </c>
      <c r="L953" t="s">
        <v>38</v>
      </c>
      <c r="N953" t="s">
        <v>68</v>
      </c>
      <c r="O953" t="s">
        <v>245</v>
      </c>
      <c r="P953">
        <v>5.580808102605795E-3</v>
      </c>
      <c r="Q953" t="s">
        <v>38</v>
      </c>
      <c r="S953" t="s">
        <v>69</v>
      </c>
      <c r="T953" t="s">
        <v>245</v>
      </c>
      <c r="U953">
        <v>5.0230006405496677E-3</v>
      </c>
      <c r="V953" t="s">
        <v>38</v>
      </c>
    </row>
    <row r="954" spans="9:22" x14ac:dyDescent="0.25">
      <c r="I954" t="s">
        <v>67</v>
      </c>
      <c r="J954" t="s">
        <v>246</v>
      </c>
      <c r="K954">
        <v>0</v>
      </c>
      <c r="L954" t="s">
        <v>38</v>
      </c>
      <c r="N954" t="s">
        <v>68</v>
      </c>
      <c r="O954" t="s">
        <v>246</v>
      </c>
      <c r="P954">
        <v>1.6355293397552519E-2</v>
      </c>
      <c r="Q954" t="s">
        <v>38</v>
      </c>
      <c r="S954" t="s">
        <v>69</v>
      </c>
      <c r="T954" t="s">
        <v>246</v>
      </c>
      <c r="U954">
        <v>1.4700631736311984E-2</v>
      </c>
      <c r="V954" t="s">
        <v>38</v>
      </c>
    </row>
    <row r="955" spans="9:22" x14ac:dyDescent="0.25">
      <c r="I955" t="s">
        <v>67</v>
      </c>
      <c r="J955" t="s">
        <v>247</v>
      </c>
      <c r="K955">
        <v>0</v>
      </c>
      <c r="L955" t="s">
        <v>38</v>
      </c>
      <c r="N955" t="s">
        <v>68</v>
      </c>
      <c r="O955" t="s">
        <v>247</v>
      </c>
      <c r="P955">
        <v>3.1949157007044121E-2</v>
      </c>
      <c r="Q955" t="s">
        <v>38</v>
      </c>
      <c r="S955" t="s">
        <v>69</v>
      </c>
      <c r="T955" t="s">
        <v>247</v>
      </c>
      <c r="U955">
        <v>3.0633392309899497E-2</v>
      </c>
      <c r="V955" t="s">
        <v>38</v>
      </c>
    </row>
    <row r="956" spans="9:22" x14ac:dyDescent="0.25">
      <c r="I956" t="s">
        <v>67</v>
      </c>
      <c r="J956" t="s">
        <v>248</v>
      </c>
      <c r="K956">
        <v>0</v>
      </c>
      <c r="L956" t="s">
        <v>38</v>
      </c>
      <c r="N956" t="s">
        <v>68</v>
      </c>
      <c r="O956" t="s">
        <v>248</v>
      </c>
      <c r="P956">
        <v>6.5515762855538028E-3</v>
      </c>
      <c r="Q956" t="s">
        <v>38</v>
      </c>
      <c r="S956" t="s">
        <v>69</v>
      </c>
      <c r="T956" t="s">
        <v>248</v>
      </c>
      <c r="U956">
        <v>6.2253744864944373E-3</v>
      </c>
      <c r="V956" t="s">
        <v>38</v>
      </c>
    </row>
    <row r="957" spans="9:22" x14ac:dyDescent="0.25">
      <c r="I957" t="s">
        <v>67</v>
      </c>
      <c r="J957" t="s">
        <v>249</v>
      </c>
      <c r="K957">
        <v>5.4590681797106067E-3</v>
      </c>
      <c r="L957" t="s">
        <v>38</v>
      </c>
      <c r="N957" t="s">
        <v>68</v>
      </c>
      <c r="O957" t="s">
        <v>249</v>
      </c>
      <c r="P957">
        <v>5.872335413794573E-2</v>
      </c>
      <c r="Q957" t="s">
        <v>38</v>
      </c>
      <c r="S957" t="s">
        <v>69</v>
      </c>
      <c r="T957" t="s">
        <v>249</v>
      </c>
      <c r="U957">
        <v>5.6412952226166671E-2</v>
      </c>
      <c r="V957" t="s">
        <v>38</v>
      </c>
    </row>
    <row r="958" spans="9:22" x14ac:dyDescent="0.25">
      <c r="I958" t="s">
        <v>67</v>
      </c>
      <c r="J958" t="s">
        <v>250</v>
      </c>
      <c r="K958">
        <v>0</v>
      </c>
      <c r="L958" t="s">
        <v>38</v>
      </c>
      <c r="N958" t="s">
        <v>68</v>
      </c>
      <c r="O958" t="s">
        <v>250</v>
      </c>
      <c r="P958">
        <v>6.4046138335850187E-3</v>
      </c>
      <c r="Q958" t="s">
        <v>38</v>
      </c>
      <c r="S958" t="s">
        <v>69</v>
      </c>
      <c r="T958" t="s">
        <v>250</v>
      </c>
      <c r="U958">
        <v>5.7945049757223352E-3</v>
      </c>
      <c r="V958" t="s">
        <v>38</v>
      </c>
    </row>
    <row r="959" spans="9:22" x14ac:dyDescent="0.25">
      <c r="I959" t="s">
        <v>67</v>
      </c>
      <c r="J959" t="s">
        <v>251</v>
      </c>
      <c r="K959">
        <v>0</v>
      </c>
      <c r="L959" t="s">
        <v>38</v>
      </c>
      <c r="N959" t="s">
        <v>68</v>
      </c>
      <c r="O959" t="s">
        <v>251</v>
      </c>
      <c r="P959">
        <v>1.9564890943905226E-2</v>
      </c>
      <c r="Q959" t="s">
        <v>38</v>
      </c>
      <c r="S959" t="s">
        <v>69</v>
      </c>
      <c r="T959" t="s">
        <v>251</v>
      </c>
      <c r="U959">
        <v>1.7785921452044037E-2</v>
      </c>
      <c r="V959" t="s">
        <v>38</v>
      </c>
    </row>
    <row r="960" spans="9:22" x14ac:dyDescent="0.25">
      <c r="I960" t="s">
        <v>67</v>
      </c>
      <c r="J960" t="s">
        <v>252</v>
      </c>
      <c r="K960">
        <v>0</v>
      </c>
      <c r="L960" t="s">
        <v>38</v>
      </c>
      <c r="N960" t="s">
        <v>68</v>
      </c>
      <c r="O960" t="s">
        <v>252</v>
      </c>
      <c r="P960">
        <v>6.8088256420632456E-3</v>
      </c>
      <c r="Q960" t="s">
        <v>38</v>
      </c>
      <c r="S960" t="s">
        <v>69</v>
      </c>
      <c r="T960" t="s">
        <v>252</v>
      </c>
      <c r="U960">
        <v>6.1891400736958507E-3</v>
      </c>
      <c r="V960" t="s">
        <v>38</v>
      </c>
    </row>
    <row r="961" spans="9:22" x14ac:dyDescent="0.25">
      <c r="I961" t="s">
        <v>67</v>
      </c>
      <c r="J961" t="s">
        <v>253</v>
      </c>
      <c r="K961">
        <v>0</v>
      </c>
      <c r="L961" t="s">
        <v>38</v>
      </c>
      <c r="N961" t="s">
        <v>68</v>
      </c>
      <c r="O961" t="s">
        <v>253</v>
      </c>
      <c r="P961">
        <v>6.7825781876802394E-3</v>
      </c>
      <c r="Q961" t="s">
        <v>38</v>
      </c>
      <c r="S961" t="s">
        <v>69</v>
      </c>
      <c r="T961" t="s">
        <v>253</v>
      </c>
      <c r="U961">
        <v>6.2363845840361452E-3</v>
      </c>
      <c r="V961" t="s">
        <v>38</v>
      </c>
    </row>
    <row r="962" spans="9:22" x14ac:dyDescent="0.25">
      <c r="I962" t="s">
        <v>67</v>
      </c>
      <c r="J962" t="s">
        <v>254</v>
      </c>
      <c r="K962">
        <v>0</v>
      </c>
      <c r="L962" t="s">
        <v>38</v>
      </c>
      <c r="N962" t="s">
        <v>68</v>
      </c>
      <c r="O962" t="s">
        <v>254</v>
      </c>
      <c r="P962">
        <v>2.0280108172809813E-2</v>
      </c>
      <c r="Q962" t="s">
        <v>38</v>
      </c>
      <c r="S962" t="s">
        <v>69</v>
      </c>
      <c r="T962" t="s">
        <v>254</v>
      </c>
      <c r="U962">
        <v>1.8957788078515128E-2</v>
      </c>
      <c r="V962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8EE0-6EB3-49B4-88D9-D0F0750B940D}">
  <dimension ref="A1:H9"/>
  <sheetViews>
    <sheetView workbookViewId="0">
      <selection activeCell="G17" sqref="G17"/>
    </sheetView>
  </sheetViews>
  <sheetFormatPr defaultRowHeight="15" x14ac:dyDescent="0.25"/>
  <cols>
    <col min="1" max="1" width="8" bestFit="1" customWidth="1"/>
    <col min="2" max="2" width="24.140625" bestFit="1" customWidth="1"/>
    <col min="4" max="4" width="12.5703125" bestFit="1" customWidth="1"/>
  </cols>
  <sheetData>
    <row r="1" spans="1:8" x14ac:dyDescent="0.25">
      <c r="B1" t="s">
        <v>97</v>
      </c>
    </row>
    <row r="3" spans="1:8" x14ac:dyDescent="0.25">
      <c r="B3" t="s">
        <v>87</v>
      </c>
    </row>
    <row r="4" spans="1:8" x14ac:dyDescent="0.25">
      <c r="A4" t="s">
        <v>9</v>
      </c>
      <c r="B4" t="s">
        <v>88</v>
      </c>
      <c r="C4" t="s">
        <v>35</v>
      </c>
      <c r="D4" t="s">
        <v>89</v>
      </c>
      <c r="E4" t="s">
        <v>90</v>
      </c>
      <c r="F4">
        <v>2030</v>
      </c>
      <c r="G4">
        <v>2040</v>
      </c>
      <c r="H4">
        <v>0</v>
      </c>
    </row>
    <row r="5" spans="1:8" x14ac:dyDescent="0.25">
      <c r="A5" t="s">
        <v>91</v>
      </c>
      <c r="B5" t="s">
        <v>94</v>
      </c>
      <c r="C5" t="s">
        <v>91</v>
      </c>
      <c r="D5" t="s">
        <v>92</v>
      </c>
      <c r="E5">
        <v>0.5</v>
      </c>
      <c r="F5">
        <v>0.2</v>
      </c>
      <c r="G5">
        <v>0.1</v>
      </c>
      <c r="H5">
        <v>4</v>
      </c>
    </row>
    <row r="6" spans="1:8" x14ac:dyDescent="0.25">
      <c r="A6" t="s">
        <v>98</v>
      </c>
      <c r="B6" t="s">
        <v>100</v>
      </c>
      <c r="C6" t="s">
        <v>98</v>
      </c>
      <c r="D6" t="s">
        <v>92</v>
      </c>
      <c r="E6">
        <v>0.1</v>
      </c>
      <c r="F6">
        <v>0.05</v>
      </c>
      <c r="G6">
        <v>1E-3</v>
      </c>
      <c r="H6">
        <v>4</v>
      </c>
    </row>
    <row r="7" spans="1:8" x14ac:dyDescent="0.25">
      <c r="A7" t="s">
        <v>99</v>
      </c>
      <c r="B7" t="s">
        <v>101</v>
      </c>
      <c r="C7" t="s">
        <v>99</v>
      </c>
      <c r="D7" t="s">
        <v>92</v>
      </c>
      <c r="E7">
        <v>1</v>
      </c>
      <c r="F7">
        <v>1</v>
      </c>
      <c r="G7">
        <v>1.2</v>
      </c>
    </row>
    <row r="8" spans="1:8" x14ac:dyDescent="0.25">
      <c r="A8" t="s">
        <v>42</v>
      </c>
      <c r="B8" t="s">
        <v>95</v>
      </c>
      <c r="C8" t="s">
        <v>42</v>
      </c>
      <c r="D8" t="s">
        <v>92</v>
      </c>
      <c r="E8">
        <v>1</v>
      </c>
      <c r="F8">
        <v>0</v>
      </c>
      <c r="G8">
        <v>0</v>
      </c>
      <c r="H8">
        <v>4</v>
      </c>
    </row>
    <row r="9" spans="1:8" x14ac:dyDescent="0.25">
      <c r="A9" t="s">
        <v>93</v>
      </c>
      <c r="B9" t="s">
        <v>96</v>
      </c>
      <c r="C9" t="s">
        <v>93</v>
      </c>
      <c r="D9" t="s">
        <v>92</v>
      </c>
      <c r="E9">
        <v>1</v>
      </c>
      <c r="F9">
        <v>0</v>
      </c>
      <c r="G9">
        <v>0</v>
      </c>
      <c r="H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18F2-D986-4B43-9E10-D5047049B529}">
  <dimension ref="A3:E15"/>
  <sheetViews>
    <sheetView tabSelected="1" workbookViewId="0">
      <selection activeCell="F20" sqref="F20"/>
    </sheetView>
  </sheetViews>
  <sheetFormatPr defaultRowHeight="15" x14ac:dyDescent="0.25"/>
  <cols>
    <col min="1" max="1" width="37.140625" bestFit="1" customWidth="1"/>
    <col min="2" max="2" width="12.42578125" bestFit="1" customWidth="1"/>
    <col min="5" max="5" width="12" bestFit="1" customWidth="1"/>
  </cols>
  <sheetData>
    <row r="3" spans="1:5" x14ac:dyDescent="0.25">
      <c r="A3" t="s">
        <v>72</v>
      </c>
    </row>
    <row r="4" spans="1:5" x14ac:dyDescent="0.25">
      <c r="A4" t="s">
        <v>2</v>
      </c>
      <c r="B4" t="s">
        <v>75</v>
      </c>
      <c r="C4" t="s">
        <v>11</v>
      </c>
    </row>
    <row r="5" spans="1:5" x14ac:dyDescent="0.25">
      <c r="A5" t="s">
        <v>102</v>
      </c>
      <c r="B5">
        <v>2100</v>
      </c>
      <c r="C5" t="s">
        <v>103</v>
      </c>
    </row>
    <row r="8" spans="1:5" x14ac:dyDescent="0.25">
      <c r="A8" t="s">
        <v>97</v>
      </c>
    </row>
    <row r="10" spans="1:5" x14ac:dyDescent="0.25">
      <c r="D10" t="s">
        <v>266</v>
      </c>
    </row>
    <row r="11" spans="1:5" x14ac:dyDescent="0.25">
      <c r="A11" t="s">
        <v>124</v>
      </c>
      <c r="B11" t="s">
        <v>267</v>
      </c>
      <c r="C11" t="s">
        <v>35</v>
      </c>
      <c r="D11" t="s">
        <v>127</v>
      </c>
      <c r="E11" t="s">
        <v>129</v>
      </c>
    </row>
    <row r="12" spans="1:5" x14ac:dyDescent="0.25">
      <c r="A12" t="s">
        <v>268</v>
      </c>
      <c r="B12" t="s">
        <v>269</v>
      </c>
      <c r="D12">
        <v>1</v>
      </c>
      <c r="E12">
        <v>2</v>
      </c>
    </row>
    <row r="13" spans="1:5" x14ac:dyDescent="0.25">
      <c r="C13" t="s">
        <v>91</v>
      </c>
      <c r="D13">
        <v>-1</v>
      </c>
    </row>
    <row r="14" spans="1:5" x14ac:dyDescent="0.25">
      <c r="A14" t="s">
        <v>270</v>
      </c>
      <c r="B14" t="s">
        <v>271</v>
      </c>
      <c r="D14">
        <v>1</v>
      </c>
      <c r="E14">
        <v>2</v>
      </c>
    </row>
    <row r="15" spans="1:5" x14ac:dyDescent="0.25">
      <c r="C15" t="s">
        <v>272</v>
      </c>
      <c r="D1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73AE-84FA-4F18-8D18-B7F3EC5B3273}">
  <dimension ref="B4:U14"/>
  <sheetViews>
    <sheetView workbookViewId="0">
      <selection activeCell="N23" sqref="N23"/>
    </sheetView>
  </sheetViews>
  <sheetFormatPr defaultRowHeight="15" x14ac:dyDescent="0.25"/>
  <cols>
    <col min="2" max="2" width="20.42578125" bestFit="1" customWidth="1"/>
    <col min="17" max="17" width="43.42578125" bestFit="1" customWidth="1"/>
  </cols>
  <sheetData>
    <row r="4" spans="2:21" x14ac:dyDescent="0.25">
      <c r="B4" t="s">
        <v>0</v>
      </c>
    </row>
    <row r="5" spans="2:21" x14ac:dyDescent="0.25">
      <c r="B5" t="s">
        <v>11</v>
      </c>
      <c r="C5">
        <v>2025</v>
      </c>
      <c r="D5">
        <v>2030</v>
      </c>
      <c r="E5">
        <v>2035</v>
      </c>
      <c r="F5">
        <v>2040</v>
      </c>
      <c r="G5">
        <v>2045</v>
      </c>
      <c r="H5">
        <v>2050</v>
      </c>
      <c r="I5" t="s">
        <v>2</v>
      </c>
      <c r="J5" t="s">
        <v>12</v>
      </c>
      <c r="P5" t="s">
        <v>255</v>
      </c>
      <c r="Q5" t="s">
        <v>256</v>
      </c>
      <c r="R5" t="s">
        <v>257</v>
      </c>
      <c r="S5" t="s">
        <v>258</v>
      </c>
      <c r="T5" t="s">
        <v>259</v>
      </c>
      <c r="U5" t="s">
        <v>260</v>
      </c>
    </row>
    <row r="6" spans="2:21" x14ac:dyDescent="0.25">
      <c r="B6" t="s">
        <v>13</v>
      </c>
      <c r="C6">
        <v>7.18</v>
      </c>
      <c r="I6" t="s">
        <v>14</v>
      </c>
      <c r="J6" t="s">
        <v>15</v>
      </c>
      <c r="P6" t="s">
        <v>261</v>
      </c>
      <c r="Q6">
        <v>1147</v>
      </c>
      <c r="R6">
        <v>1259</v>
      </c>
      <c r="S6">
        <v>1016</v>
      </c>
      <c r="T6">
        <v>0</v>
      </c>
      <c r="U6">
        <v>0</v>
      </c>
    </row>
    <row r="7" spans="2:21" x14ac:dyDescent="0.25">
      <c r="B7" t="s">
        <v>16</v>
      </c>
      <c r="C7">
        <v>6.17</v>
      </c>
      <c r="I7" t="s">
        <v>14</v>
      </c>
      <c r="J7" t="s">
        <v>15</v>
      </c>
      <c r="P7" t="s">
        <v>262</v>
      </c>
      <c r="Q7">
        <v>850</v>
      </c>
      <c r="R7">
        <v>1149</v>
      </c>
      <c r="S7">
        <v>1016</v>
      </c>
      <c r="T7">
        <v>0</v>
      </c>
      <c r="U7">
        <v>0</v>
      </c>
    </row>
    <row r="8" spans="2:21" x14ac:dyDescent="0.25">
      <c r="Q8" t="s">
        <v>263</v>
      </c>
      <c r="R8">
        <f>SUM(Q6:Q7)/COUNT(Q6:Q7)</f>
        <v>998.5</v>
      </c>
      <c r="S8">
        <f t="shared" ref="S8:T8" si="0">SUM(R6:R7)/COUNT(R6:R7)</f>
        <v>1204</v>
      </c>
      <c r="T8">
        <f t="shared" si="0"/>
        <v>1016</v>
      </c>
    </row>
    <row r="9" spans="2:21" x14ac:dyDescent="0.25">
      <c r="Q9" t="s">
        <v>265</v>
      </c>
      <c r="R9">
        <f>SUM(R8:T8)</f>
        <v>3218.5</v>
      </c>
    </row>
    <row r="11" spans="2:21" x14ac:dyDescent="0.25">
      <c r="B11" t="s">
        <v>22</v>
      </c>
    </row>
    <row r="12" spans="2:21" x14ac:dyDescent="0.25">
      <c r="B12" t="s">
        <v>11</v>
      </c>
      <c r="C12" t="s">
        <v>12</v>
      </c>
      <c r="D12">
        <v>2025</v>
      </c>
      <c r="E12">
        <v>2030</v>
      </c>
      <c r="F12">
        <v>2040</v>
      </c>
      <c r="G12" t="s">
        <v>2</v>
      </c>
    </row>
    <row r="13" spans="2:21" x14ac:dyDescent="0.25">
      <c r="B13" t="s">
        <v>16</v>
      </c>
      <c r="C13" t="s">
        <v>23</v>
      </c>
      <c r="D13">
        <v>0.32185000000000002</v>
      </c>
      <c r="E13">
        <v>0.32185000000000002</v>
      </c>
      <c r="F13">
        <v>0.32185000000000002</v>
      </c>
      <c r="G13" t="s">
        <v>24</v>
      </c>
      <c r="H13" t="s">
        <v>264</v>
      </c>
    </row>
    <row r="14" spans="2:21" x14ac:dyDescent="0.25">
      <c r="B14" t="s">
        <v>13</v>
      </c>
      <c r="C14" t="s">
        <v>23</v>
      </c>
      <c r="D14">
        <v>0</v>
      </c>
      <c r="E14">
        <v>0</v>
      </c>
      <c r="F14">
        <v>0</v>
      </c>
      <c r="G1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E16D-C995-4313-9FD3-ABCD01C0EB3D}">
  <dimension ref="B5:W20"/>
  <sheetViews>
    <sheetView workbookViewId="0">
      <selection activeCell="N19" sqref="N19"/>
    </sheetView>
  </sheetViews>
  <sheetFormatPr defaultRowHeight="15" x14ac:dyDescent="0.25"/>
  <cols>
    <col min="2" max="2" width="30" bestFit="1" customWidth="1"/>
    <col min="3" max="3" width="10" bestFit="1" customWidth="1"/>
    <col min="10" max="10" width="15.42578125" bestFit="1" customWidth="1"/>
    <col min="12" max="12" width="11.85546875" bestFit="1" customWidth="1"/>
    <col min="13" max="13" width="15.85546875" bestFit="1" customWidth="1"/>
    <col min="15" max="15" width="15.140625" bestFit="1" customWidth="1"/>
    <col min="16" max="16" width="19.42578125" bestFit="1" customWidth="1"/>
    <col min="17" max="17" width="8.42578125" bestFit="1" customWidth="1"/>
    <col min="21" max="22" width="10.5703125" bestFit="1" customWidth="1"/>
    <col min="23" max="23" width="16.7109375" bestFit="1" customWidth="1"/>
  </cols>
  <sheetData>
    <row r="5" spans="2:23" x14ac:dyDescent="0.25">
      <c r="B5" t="s">
        <v>105</v>
      </c>
    </row>
    <row r="6" spans="2:23" x14ac:dyDescent="0.25">
      <c r="B6" t="s">
        <v>122</v>
      </c>
    </row>
    <row r="7" spans="2:23" x14ac:dyDescent="0.25">
      <c r="B7" t="s">
        <v>1</v>
      </c>
      <c r="C7" t="s">
        <v>17</v>
      </c>
      <c r="D7">
        <v>2025</v>
      </c>
      <c r="E7">
        <v>2030</v>
      </c>
      <c r="F7">
        <v>2035</v>
      </c>
      <c r="G7">
        <v>2040</v>
      </c>
      <c r="H7">
        <v>2045</v>
      </c>
      <c r="I7">
        <v>2050</v>
      </c>
    </row>
    <row r="8" spans="2:23" x14ac:dyDescent="0.25">
      <c r="B8" t="s">
        <v>18</v>
      </c>
      <c r="C8" t="s">
        <v>18</v>
      </c>
      <c r="D8" s="3">
        <v>35.145058821884028</v>
      </c>
      <c r="E8" s="3">
        <f>D8-(D8*0.02)</f>
        <v>34.442157645446351</v>
      </c>
      <c r="F8" s="3">
        <f>E8-(E8*0.02)</f>
        <v>33.75331449253742</v>
      </c>
      <c r="G8" s="3">
        <f>F8+(F8*0.02)</f>
        <v>34.428380782388167</v>
      </c>
      <c r="H8" s="3">
        <f t="shared" ref="H8:I8" si="0">G8+(G8*0.02)</f>
        <v>35.11694839803593</v>
      </c>
      <c r="I8" s="3">
        <f t="shared" si="0"/>
        <v>35.819287365996651</v>
      </c>
    </row>
    <row r="9" spans="2:23" x14ac:dyDescent="0.25">
      <c r="B9" t="s">
        <v>19</v>
      </c>
      <c r="C9" t="s">
        <v>19</v>
      </c>
      <c r="D9" s="3">
        <v>96.367112810707454</v>
      </c>
      <c r="E9" s="3">
        <f>D9-(D9*$E$13)</f>
        <v>94.439770554493307</v>
      </c>
      <c r="F9" s="3">
        <f t="shared" ref="F9:I9" si="1">E9-(E9*$E$13)</f>
        <v>92.550975143403434</v>
      </c>
      <c r="G9" s="3">
        <f t="shared" si="1"/>
        <v>90.699955640535364</v>
      </c>
      <c r="H9" s="3">
        <f t="shared" si="1"/>
        <v>88.885956527724659</v>
      </c>
      <c r="I9" s="3">
        <f t="shared" si="1"/>
        <v>87.108237397170171</v>
      </c>
    </row>
    <row r="10" spans="2:23" x14ac:dyDescent="0.25">
      <c r="B10" t="s">
        <v>20</v>
      </c>
      <c r="C10" t="s">
        <v>20</v>
      </c>
      <c r="D10" s="3">
        <v>46.470588235294123</v>
      </c>
      <c r="E10" s="3">
        <v>58.830000000000005</v>
      </c>
      <c r="F10" s="3">
        <v>53.53</v>
      </c>
      <c r="G10" s="3">
        <v>53.53</v>
      </c>
      <c r="H10" s="3">
        <v>55.120000000000005</v>
      </c>
      <c r="I10" s="3">
        <v>60.419999999999995</v>
      </c>
    </row>
    <row r="11" spans="2:23" x14ac:dyDescent="0.25">
      <c r="B11" t="s">
        <v>21</v>
      </c>
      <c r="C11" t="s">
        <v>21</v>
      </c>
      <c r="D11" s="3">
        <v>45.792000000000002</v>
      </c>
      <c r="E11" s="3">
        <v>24.96</v>
      </c>
      <c r="F11" s="3">
        <v>24.96</v>
      </c>
      <c r="G11" s="3">
        <v>23.52</v>
      </c>
      <c r="H11" s="3">
        <v>23.759999999999998</v>
      </c>
      <c r="I11" s="3">
        <v>24</v>
      </c>
    </row>
    <row r="13" spans="2:23" x14ac:dyDescent="0.25">
      <c r="E13">
        <v>0.02</v>
      </c>
    </row>
    <row r="16" spans="2:23" x14ac:dyDescent="0.25">
      <c r="K16" t="s">
        <v>120</v>
      </c>
      <c r="L16" t="s">
        <v>119</v>
      </c>
      <c r="M16" t="s">
        <v>114</v>
      </c>
      <c r="N16" t="s">
        <v>115</v>
      </c>
      <c r="O16" t="s">
        <v>117</v>
      </c>
      <c r="Q16" t="s">
        <v>110</v>
      </c>
      <c r="S16" t="s">
        <v>107</v>
      </c>
      <c r="T16" t="s">
        <v>108</v>
      </c>
      <c r="U16" t="s">
        <v>113</v>
      </c>
      <c r="V16" t="s">
        <v>116</v>
      </c>
      <c r="W16" t="s">
        <v>109</v>
      </c>
    </row>
    <row r="17" spans="11:23" x14ac:dyDescent="0.25">
      <c r="K17">
        <v>4.1840000000000002</v>
      </c>
      <c r="L17">
        <v>1.0550558526</v>
      </c>
      <c r="M17">
        <v>6.12</v>
      </c>
      <c r="N17">
        <v>3.6</v>
      </c>
      <c r="O17">
        <v>3600000</v>
      </c>
      <c r="P17" t="s">
        <v>106</v>
      </c>
      <c r="Q17">
        <v>3412142</v>
      </c>
      <c r="S17" t="s">
        <v>20</v>
      </c>
      <c r="T17">
        <v>79</v>
      </c>
      <c r="U17" s="2">
        <f>T17/M17</f>
        <v>12.908496732026144</v>
      </c>
      <c r="V17" s="2">
        <f>U17*N17</f>
        <v>46.470588235294123</v>
      </c>
      <c r="W17" s="2">
        <f>U17*O17</f>
        <v>46470588.235294119</v>
      </c>
    </row>
    <row r="18" spans="11:23" x14ac:dyDescent="0.25">
      <c r="P18" t="s">
        <v>111</v>
      </c>
      <c r="Q18" s="1">
        <v>588235</v>
      </c>
      <c r="S18" t="s">
        <v>118</v>
      </c>
      <c r="T18">
        <v>10.3</v>
      </c>
      <c r="U18" s="2">
        <f>T18/L17</f>
        <v>9.7625163394122296</v>
      </c>
      <c r="V18" s="2">
        <f>U18*N17</f>
        <v>35.145058821884028</v>
      </c>
      <c r="W18" s="2">
        <f>U18*O17</f>
        <v>35145058.821884029</v>
      </c>
    </row>
    <row r="19" spans="11:23" x14ac:dyDescent="0.25">
      <c r="P19" t="s">
        <v>112</v>
      </c>
      <c r="Q19">
        <v>150000</v>
      </c>
      <c r="S19" t="s">
        <v>19</v>
      </c>
      <c r="T19">
        <v>112</v>
      </c>
      <c r="U19" s="2">
        <f>T19/K17</f>
        <v>26.768642447418738</v>
      </c>
      <c r="V19" s="2">
        <f>U19*N17</f>
        <v>96.367112810707454</v>
      </c>
      <c r="W19" s="2">
        <f>U19*O17</f>
        <v>96367112.810707465</v>
      </c>
    </row>
    <row r="20" spans="11:23" x14ac:dyDescent="0.25">
      <c r="S20" t="s">
        <v>121</v>
      </c>
      <c r="U20">
        <v>12.72</v>
      </c>
      <c r="V20">
        <f>U20*N17</f>
        <v>45.792000000000002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758F-E590-4DA8-B461-246947AA96DE}">
  <dimension ref="A2:I16"/>
  <sheetViews>
    <sheetView workbookViewId="0">
      <selection activeCell="O21" sqref="O21"/>
    </sheetView>
  </sheetViews>
  <sheetFormatPr defaultRowHeight="15" x14ac:dyDescent="0.25"/>
  <cols>
    <col min="1" max="1" width="24.140625" bestFit="1" customWidth="1"/>
    <col min="2" max="2" width="28.42578125" bestFit="1" customWidth="1"/>
    <col min="4" max="4" width="11.5703125" bestFit="1" customWidth="1"/>
    <col min="7" max="8" width="11.5703125" bestFit="1" customWidth="1"/>
    <col min="11" max="11" width="11.5703125" bestFit="1" customWidth="1"/>
  </cols>
  <sheetData>
    <row r="2" spans="1:9" x14ac:dyDescent="0.25">
      <c r="A2" t="s">
        <v>97</v>
      </c>
    </row>
    <row r="5" spans="1:9" x14ac:dyDescent="0.25">
      <c r="D5" t="s">
        <v>123</v>
      </c>
    </row>
    <row r="6" spans="1:9" x14ac:dyDescent="0.25">
      <c r="A6" t="s">
        <v>124</v>
      </c>
      <c r="B6" t="s">
        <v>125</v>
      </c>
      <c r="C6" t="s">
        <v>35</v>
      </c>
      <c r="D6" s="4" t="s">
        <v>86</v>
      </c>
      <c r="E6" t="s">
        <v>126</v>
      </c>
      <c r="F6" t="s">
        <v>127</v>
      </c>
      <c r="G6" t="s">
        <v>128</v>
      </c>
      <c r="H6" t="s">
        <v>129</v>
      </c>
      <c r="I6" t="s">
        <v>130</v>
      </c>
    </row>
    <row r="7" spans="1:9" x14ac:dyDescent="0.25">
      <c r="A7" t="s">
        <v>135</v>
      </c>
      <c r="B7" t="s">
        <v>136</v>
      </c>
      <c r="D7">
        <v>2050</v>
      </c>
      <c r="E7" t="s">
        <v>137</v>
      </c>
      <c r="F7">
        <v>1</v>
      </c>
      <c r="G7">
        <v>0</v>
      </c>
    </row>
    <row r="8" spans="1:9" x14ac:dyDescent="0.25">
      <c r="B8" t="s">
        <v>136</v>
      </c>
      <c r="D8">
        <v>0</v>
      </c>
      <c r="E8" t="s">
        <v>137</v>
      </c>
      <c r="G8">
        <v>5</v>
      </c>
    </row>
    <row r="14" spans="1:9" x14ac:dyDescent="0.25">
      <c r="B14" t="s">
        <v>132</v>
      </c>
      <c r="D14">
        <v>2030</v>
      </c>
      <c r="E14" t="s">
        <v>133</v>
      </c>
      <c r="F14">
        <v>1</v>
      </c>
      <c r="G14">
        <v>2</v>
      </c>
    </row>
    <row r="15" spans="1:9" x14ac:dyDescent="0.25">
      <c r="A15" t="s">
        <v>131</v>
      </c>
      <c r="B15" t="s">
        <v>132</v>
      </c>
      <c r="D15">
        <v>2035</v>
      </c>
      <c r="E15" t="s">
        <v>133</v>
      </c>
      <c r="F15">
        <v>1</v>
      </c>
      <c r="G15">
        <v>2.1</v>
      </c>
      <c r="I15" t="s">
        <v>134</v>
      </c>
    </row>
    <row r="16" spans="1:9" x14ac:dyDescent="0.25">
      <c r="B16" t="s">
        <v>132</v>
      </c>
      <c r="D16">
        <v>0</v>
      </c>
      <c r="E16" t="s">
        <v>133</v>
      </c>
      <c r="G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</vt:lpstr>
      <vt:lpstr>timeslices</vt:lpstr>
      <vt:lpstr>build rates</vt:lpstr>
      <vt:lpstr>necessary_for_some_reason</vt:lpstr>
      <vt:lpstr>trade</vt:lpstr>
      <vt:lpstr>fuel_costs</vt:lpstr>
      <vt:lpstr>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2026-02-20T15:05:01Z</dcterms:modified>
</cp:coreProperties>
</file>