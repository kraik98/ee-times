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9E5D20C5-5C06-4CE0-A89F-1D1F6DD3E7FF}" xr6:coauthVersionLast="47" xr6:coauthVersionMax="47" xr10:uidLastSave="{00000000-0000-0000-0000-000000000000}"/>
  <bookViews>
    <workbookView xWindow="-38520" yWindow="-5220" windowWidth="38640" windowHeight="21120" activeTab="1" xr2:uid="{00000000-000D-0000-FFFF-FFFF00000000}"/>
  </bookViews>
  <sheets>
    <sheet name="Co2" sheetId="1" r:id="rId1"/>
    <sheet name="fuel_cos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6" i="2"/>
  <c r="F7" i="2"/>
  <c r="F4" i="2"/>
  <c r="AF17" i="2"/>
  <c r="AE16" i="2"/>
  <c r="AG16" i="2" s="1"/>
  <c r="AE15" i="2"/>
  <c r="AG15" i="2" s="1"/>
  <c r="AE14" i="2"/>
  <c r="AF14" i="2" s="1"/>
  <c r="AF16" i="2" l="1"/>
  <c r="AG14" i="2"/>
  <c r="AF15" i="2"/>
</calcChain>
</file>

<file path=xl/sharedStrings.xml><?xml version="1.0" encoding="utf-8"?>
<sst xmlns="http://schemas.openxmlformats.org/spreadsheetml/2006/main" count="45" uniqueCount="31">
  <si>
    <t>*</t>
  </si>
  <si>
    <t>USD25/kt</t>
  </si>
  <si>
    <t>co2net</t>
  </si>
  <si>
    <t>com_taxnet</t>
  </si>
  <si>
    <t>~TFM_INS-TS</t>
  </si>
  <si>
    <t>pset_co</t>
  </si>
  <si>
    <t>Gas</t>
  </si>
  <si>
    <t>Coal</t>
  </si>
  <si>
    <t>Oil</t>
  </si>
  <si>
    <t>Bioenergy</t>
  </si>
  <si>
    <t>1ton2GJ</t>
  </si>
  <si>
    <t>1mmbtu2GJ</t>
  </si>
  <si>
    <t>1barrelcrude2GJ</t>
  </si>
  <si>
    <t>MWh2GJ</t>
  </si>
  <si>
    <t>TWh2GJ</t>
  </si>
  <si>
    <t>conversion coeff</t>
  </si>
  <si>
    <t>Fuel prices 2024</t>
  </si>
  <si>
    <t>$/barrel or $/MMBtu</t>
  </si>
  <si>
    <t>$/GJ</t>
  </si>
  <si>
    <t>$/MWh</t>
  </si>
  <si>
    <t>$/TWh</t>
  </si>
  <si>
    <t>MMBtu2twh</t>
  </si>
  <si>
    <t>barrel2twh</t>
  </si>
  <si>
    <t>GAS</t>
  </si>
  <si>
    <t>tonne2twh</t>
  </si>
  <si>
    <t>Biogas</t>
  </si>
  <si>
    <t>TimeSlice</t>
  </si>
  <si>
    <t>LimType</t>
  </si>
  <si>
    <t>Attribute</t>
  </si>
  <si>
    <t>Commodity</t>
  </si>
  <si>
    <t>flo_cost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</si>
</sst>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  <charset val="186"/>
    </font>
    <font>
      <b/>
      <sz val="10"/>
      <color indexed="12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64" fontId="0" fillId="0" borderId="0" xfId="0" applyNumberFormat="1"/>
    <xf numFmtId="2" fontId="0" fillId="0" borderId="0" xfId="0" applyNumberFormat="1"/>
    <xf numFmtId="11" fontId="0" fillId="0" borderId="0" xfId="0" applyNumberFormat="1"/>
    <xf numFmtId="0" fontId="2" fillId="0" borderId="0" xfId="1" applyFont="1"/>
    <xf numFmtId="0" fontId="1" fillId="0" borderId="0" xfId="1"/>
    <xf numFmtId="0" fontId="3" fillId="2" borderId="1" xfId="1" applyFont="1" applyFill="1" applyBorder="1"/>
    <xf numFmtId="0" fontId="3" fillId="3" borderId="1" xfId="1" applyFont="1" applyFill="1" applyBorder="1"/>
    <xf numFmtId="0" fontId="0" fillId="4" borderId="0" xfId="0" applyFill="1"/>
  </cellXfs>
  <cellStyles count="2">
    <cellStyle name="Normal" xfId="0" builtinId="0"/>
    <cellStyle name="Normal 3" xfId="1" xr:uid="{626A6453-D0F9-4A36-ADC9-AF3AE4EFA4C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304800</xdr:colOff>
      <xdr:row>3</xdr:row>
      <xdr:rowOff>133350</xdr:rowOff>
    </xdr:from>
    <xdr:to>
      <xdr:col>27</xdr:col>
      <xdr:colOff>191505</xdr:colOff>
      <xdr:row>25</xdr:row>
      <xdr:rowOff>95831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EE6EA-EAED-F420-217F-E3BA78E2C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8800" y="704850"/>
          <a:ext cx="7201905" cy="4163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457200</xdr:colOff>
      <xdr:row>12</xdr:row>
      <xdr:rowOff>25400</xdr:rowOff>
    </xdr:from>
    <xdr:to>
      <xdr:col>15</xdr:col>
      <xdr:colOff>387642</xdr:colOff>
      <xdr:row>36</xdr:row>
      <xdr:rowOff>16101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FBA94E-5250-36E0-1C81-B09A479B7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4250" y="2235200"/>
          <a:ext cx="5683542" cy="44071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6:L9"/>
  <sheetViews>
    <sheetView topLeftCell="A3" workbookViewId="0">
      <selection activeCell="B6" sqref="B6:L7"/>
    </sheetView>
  </sheetViews>
  <sheetFormatPr defaultRowHeight="15" x14ac:dyDescent="0.25"/>
  <cols>
    <col min="2" max="2" width="13.28515625" bestFit="1" customWidth="1"/>
  </cols>
  <sheetData>
    <row r="6" spans="2:12" x14ac:dyDescent="0.25">
      <c r="B6" s="4" t="s">
        <v>4</v>
      </c>
      <c r="C6" s="5"/>
      <c r="D6" s="5"/>
      <c r="E6" s="5"/>
    </row>
    <row r="7" spans="2:12" ht="15.75" thickBot="1" x14ac:dyDescent="0.3">
      <c r="B7" s="6" t="s">
        <v>26</v>
      </c>
      <c r="C7" s="6" t="s">
        <v>27</v>
      </c>
      <c r="D7" s="6" t="s">
        <v>28</v>
      </c>
      <c r="E7" s="7">
        <v>2022</v>
      </c>
      <c r="F7" s="7">
        <v>2025</v>
      </c>
      <c r="G7" s="7">
        <v>2030</v>
      </c>
      <c r="H7" s="7">
        <v>2035</v>
      </c>
      <c r="I7" s="7">
        <v>2040</v>
      </c>
      <c r="J7" s="7">
        <v>2045</v>
      </c>
      <c r="K7" s="7">
        <v>2050</v>
      </c>
      <c r="L7" s="6" t="s">
        <v>29</v>
      </c>
    </row>
    <row r="8" spans="2:12" x14ac:dyDescent="0.25">
      <c r="B8" s="8" t="s">
        <v>0</v>
      </c>
      <c r="C8" s="8" t="s">
        <v>1</v>
      </c>
    </row>
    <row r="9" spans="2:12" x14ac:dyDescent="0.25">
      <c r="D9" t="s">
        <v>3</v>
      </c>
      <c r="E9">
        <v>0.08</v>
      </c>
      <c r="F9">
        <v>7.2599999999999998E-2</v>
      </c>
      <c r="G9">
        <v>0.08</v>
      </c>
      <c r="H9">
        <v>8.6999999999999994E-2</v>
      </c>
      <c r="I9">
        <v>8.6999999999999994E-2</v>
      </c>
      <c r="J9">
        <v>8.6999999999999994E-2</v>
      </c>
      <c r="K9">
        <v>8.6999999999999994E-2</v>
      </c>
      <c r="L9" t="s">
        <v>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8E262-BA8D-4A3F-93D6-86C72CCD406A}">
  <dimension ref="B2:AG17"/>
  <sheetViews>
    <sheetView tabSelected="1" workbookViewId="0">
      <selection activeCell="X28" sqref="X28"/>
    </sheetView>
  </sheetViews>
  <sheetFormatPr defaultRowHeight="15" x14ac:dyDescent="0.25"/>
  <cols>
    <col min="1" max="1" width="30" bestFit="1" customWidth="1"/>
    <col min="3" max="3" width="12" bestFit="1" customWidth="1"/>
    <col min="12" max="12" width="13.28515625" bestFit="1" customWidth="1"/>
    <col min="22" max="22" width="12" bestFit="1" customWidth="1"/>
    <col min="33" max="33" width="11.5703125" bestFit="1" customWidth="1"/>
  </cols>
  <sheetData>
    <row r="2" spans="2:33" x14ac:dyDescent="0.25">
      <c r="B2" s="4" t="s">
        <v>4</v>
      </c>
      <c r="C2" s="5"/>
      <c r="D2" s="5"/>
      <c r="E2" s="5"/>
    </row>
    <row r="3" spans="2:33" ht="15.75" thickBot="1" x14ac:dyDescent="0.3">
      <c r="B3" s="6" t="s">
        <v>26</v>
      </c>
      <c r="C3" s="6" t="s">
        <v>27</v>
      </c>
      <c r="D3" s="6" t="s">
        <v>5</v>
      </c>
      <c r="E3" s="6" t="s">
        <v>28</v>
      </c>
      <c r="F3" s="7">
        <v>2022</v>
      </c>
      <c r="G3" s="7">
        <v>2025</v>
      </c>
      <c r="H3" s="7">
        <v>2030</v>
      </c>
      <c r="I3" s="7">
        <v>2035</v>
      </c>
      <c r="J3" s="7">
        <v>2040</v>
      </c>
      <c r="K3" s="7">
        <v>2045</v>
      </c>
      <c r="L3" s="7">
        <v>2050</v>
      </c>
      <c r="M3" s="6" t="s">
        <v>29</v>
      </c>
    </row>
    <row r="4" spans="2:33" x14ac:dyDescent="0.25">
      <c r="D4" t="s">
        <v>6</v>
      </c>
      <c r="E4" t="s">
        <v>30</v>
      </c>
      <c r="F4" s="1">
        <f>G4*(1+0.01)</f>
        <v>35.496509410102867</v>
      </c>
      <c r="G4" s="1">
        <v>35.145058821884028</v>
      </c>
      <c r="H4" s="1">
        <v>34.442157645446351</v>
      </c>
      <c r="I4" s="1">
        <v>31.050488862052873</v>
      </c>
      <c r="J4" s="1">
        <v>34.428380782388167</v>
      </c>
      <c r="K4" s="1">
        <v>35.11694839803593</v>
      </c>
      <c r="L4" s="1">
        <v>36.168701311841808</v>
      </c>
      <c r="M4" t="s">
        <v>6</v>
      </c>
    </row>
    <row r="5" spans="2:33" x14ac:dyDescent="0.25">
      <c r="D5" t="s">
        <v>7</v>
      </c>
      <c r="E5" t="s">
        <v>30</v>
      </c>
      <c r="F5" s="1">
        <f t="shared" ref="F5:F7" si="0">G5*(1+0.01)</f>
        <v>97.330783938814534</v>
      </c>
      <c r="G5" s="1">
        <v>96.367112810707454</v>
      </c>
      <c r="H5" s="1">
        <v>85</v>
      </c>
      <c r="I5" s="1">
        <v>79.158699808795419</v>
      </c>
      <c r="J5" s="1">
        <v>75</v>
      </c>
      <c r="K5" s="1">
        <v>73</v>
      </c>
      <c r="L5" s="1">
        <v>70.554493307839394</v>
      </c>
      <c r="M5" t="s">
        <v>7</v>
      </c>
    </row>
    <row r="6" spans="2:33" x14ac:dyDescent="0.25">
      <c r="D6" t="s">
        <v>8</v>
      </c>
      <c r="E6" t="s">
        <v>30</v>
      </c>
      <c r="F6" s="1">
        <f t="shared" si="0"/>
        <v>46.935294117647068</v>
      </c>
      <c r="G6" s="1">
        <v>46.470588235294123</v>
      </c>
      <c r="H6" s="1">
        <v>49</v>
      </c>
      <c r="I6" s="1">
        <v>52.352941176470587</v>
      </c>
      <c r="J6" s="1">
        <v>55</v>
      </c>
      <c r="K6" s="1">
        <v>58</v>
      </c>
      <c r="L6" s="1">
        <v>62.35</v>
      </c>
      <c r="M6" t="s">
        <v>8</v>
      </c>
    </row>
    <row r="7" spans="2:33" x14ac:dyDescent="0.25">
      <c r="D7" t="s">
        <v>9</v>
      </c>
      <c r="E7" t="s">
        <v>30</v>
      </c>
      <c r="F7" s="1">
        <f t="shared" si="0"/>
        <v>46.249920000000003</v>
      </c>
      <c r="G7" s="1">
        <v>45.792000000000002</v>
      </c>
      <c r="H7" s="1">
        <v>48</v>
      </c>
      <c r="I7" s="1">
        <v>50</v>
      </c>
      <c r="J7" s="1">
        <v>52</v>
      </c>
      <c r="K7" s="1">
        <v>54</v>
      </c>
      <c r="L7" s="1">
        <v>55</v>
      </c>
      <c r="M7" t="s">
        <v>9</v>
      </c>
    </row>
    <row r="13" spans="2:33" x14ac:dyDescent="0.25">
      <c r="U13" t="s">
        <v>10</v>
      </c>
      <c r="V13" t="s">
        <v>11</v>
      </c>
      <c r="W13" t="s">
        <v>12</v>
      </c>
      <c r="X13" t="s">
        <v>13</v>
      </c>
      <c r="Y13" t="s">
        <v>14</v>
      </c>
      <c r="AA13" t="s">
        <v>15</v>
      </c>
      <c r="AC13" t="s">
        <v>16</v>
      </c>
      <c r="AD13" t="s">
        <v>17</v>
      </c>
      <c r="AE13" t="s">
        <v>18</v>
      </c>
      <c r="AF13" t="s">
        <v>19</v>
      </c>
      <c r="AG13" t="s">
        <v>20</v>
      </c>
    </row>
    <row r="14" spans="2:33" x14ac:dyDescent="0.25">
      <c r="U14">
        <v>4.1840000000000002</v>
      </c>
      <c r="V14">
        <v>1.0550558526</v>
      </c>
      <c r="W14">
        <v>6.12</v>
      </c>
      <c r="X14">
        <v>3.6</v>
      </c>
      <c r="Y14">
        <v>3600000</v>
      </c>
      <c r="Z14" t="s">
        <v>21</v>
      </c>
      <c r="AA14">
        <v>3412142</v>
      </c>
      <c r="AC14" t="s">
        <v>8</v>
      </c>
      <c r="AD14">
        <v>106</v>
      </c>
      <c r="AE14" s="2">
        <f>AD14/W14</f>
        <v>17.320261437908496</v>
      </c>
      <c r="AF14" s="2">
        <f>AE14*X14</f>
        <v>62.352941176470587</v>
      </c>
      <c r="AG14" s="2">
        <f>AE14*Y14</f>
        <v>62352941.176470585</v>
      </c>
    </row>
    <row r="15" spans="2:33" x14ac:dyDescent="0.25">
      <c r="Z15" t="s">
        <v>22</v>
      </c>
      <c r="AA15" s="3">
        <v>588235</v>
      </c>
      <c r="AC15" t="s">
        <v>23</v>
      </c>
      <c r="AD15">
        <v>4</v>
      </c>
      <c r="AE15" s="2">
        <f>AD15/V14</f>
        <v>3.7912684813251372</v>
      </c>
      <c r="AF15" s="2">
        <f>AE15*X14</f>
        <v>13.648566532770493</v>
      </c>
      <c r="AG15" s="2">
        <f>AE15*Y14</f>
        <v>13648566.532770494</v>
      </c>
    </row>
    <row r="16" spans="2:33" x14ac:dyDescent="0.25">
      <c r="Z16" t="s">
        <v>24</v>
      </c>
      <c r="AA16">
        <v>150000</v>
      </c>
      <c r="AC16" t="s">
        <v>7</v>
      </c>
      <c r="AD16">
        <v>39</v>
      </c>
      <c r="AE16" s="2">
        <f>AD16/U14</f>
        <v>9.3212237093690238</v>
      </c>
      <c r="AF16" s="2">
        <f>AE16*X14</f>
        <v>33.556405353728486</v>
      </c>
      <c r="AG16" s="2">
        <f>AE16*Y14</f>
        <v>33556405.353728488</v>
      </c>
    </row>
    <row r="17" spans="29:32" x14ac:dyDescent="0.25">
      <c r="AC17" t="s">
        <v>25</v>
      </c>
      <c r="AE17">
        <v>12.72</v>
      </c>
      <c r="AF17">
        <f>AE17*X14</f>
        <v>45.792000000000002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Co2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2026-05-28T12:11:13Z</dcterms:modified>
</cp:coreProperties>
</file>