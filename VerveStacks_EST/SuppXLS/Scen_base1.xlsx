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SuppXLS\"/>
    </mc:Choice>
  </mc:AlternateContent>
  <xr:revisionPtr revIDLastSave="0" documentId="13_ncr:1_{3745086D-5551-41CE-8D23-73BBA319588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o2" sheetId="1" r:id="rId1"/>
    <sheet name="fuel_co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7" i="2"/>
  <c r="C4" i="2"/>
  <c r="AF17" i="2"/>
  <c r="AE16" i="2"/>
  <c r="AG16" i="2" s="1"/>
  <c r="AE15" i="2"/>
  <c r="AG15" i="2" s="1"/>
  <c r="AE14" i="2"/>
  <c r="AF14" i="2" s="1"/>
  <c r="AF16" i="2" l="1"/>
  <c r="AG14" i="2"/>
  <c r="AF15" i="2"/>
</calcChain>
</file>

<file path=xl/sharedStrings.xml><?xml version="1.0" encoding="utf-8"?>
<sst xmlns="http://schemas.openxmlformats.org/spreadsheetml/2006/main" count="37" uniqueCount="30">
  <si>
    <t>commodity</t>
  </si>
  <si>
    <t>attribute</t>
  </si>
  <si>
    <t>*</t>
  </si>
  <si>
    <t>USD25/kt</t>
  </si>
  <si>
    <t>co2net</t>
  </si>
  <si>
    <t>com_taxnet</t>
  </si>
  <si>
    <t>~TFM_INS-TS</t>
  </si>
  <si>
    <t>~TFM_INS-TS: attribute=flo_cost</t>
  </si>
  <si>
    <t>pset_co</t>
  </si>
  <si>
    <t>Gas</t>
  </si>
  <si>
    <t>Coal</t>
  </si>
  <si>
    <t>Oil</t>
  </si>
  <si>
    <t>Bioenergy</t>
  </si>
  <si>
    <t>wtf?</t>
  </si>
  <si>
    <t>1ton2GJ</t>
  </si>
  <si>
    <t>1mmbtu2GJ</t>
  </si>
  <si>
    <t>1barrelcrude2GJ</t>
  </si>
  <si>
    <t>MWh2GJ</t>
  </si>
  <si>
    <t>TWh2GJ</t>
  </si>
  <si>
    <t>conversion coeff</t>
  </si>
  <si>
    <t>Fuel prices 2024</t>
  </si>
  <si>
    <t>$/barrel or $/MMBtu</t>
  </si>
  <si>
    <t>$/GJ</t>
  </si>
  <si>
    <t>$/MWh</t>
  </si>
  <si>
    <t>$/TWh</t>
  </si>
  <si>
    <t>MMBtu2twh</t>
  </si>
  <si>
    <t>barrel2twh</t>
  </si>
  <si>
    <t>GAS</t>
  </si>
  <si>
    <t>tonne2twh</t>
  </si>
  <si>
    <t>Biogas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</si>
</sst>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590550</xdr:colOff>
      <xdr:row>12</xdr:row>
      <xdr:rowOff>161925</xdr:rowOff>
    </xdr:from>
    <xdr:to>
      <xdr:col>21</xdr:col>
      <xdr:colOff>477255</xdr:colOff>
      <xdr:row>34</xdr:row>
      <xdr:rowOff>133931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7EE6EA-EAED-F420-217F-E3BA78E2C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6950" y="2447925"/>
          <a:ext cx="7201905" cy="41630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12</xdr:row>
      <xdr:rowOff>25400</xdr:rowOff>
    </xdr:from>
    <xdr:to>
      <xdr:col>16</xdr:col>
      <xdr:colOff>54267</xdr:colOff>
      <xdr:row>36</xdr:row>
      <xdr:rowOff>16101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FBA94E-5250-36E0-1C81-B09A479B7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4250" y="2235200"/>
          <a:ext cx="5683542" cy="4407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7"/>
  <sheetViews>
    <sheetView topLeftCell="A3" workbookViewId="0">
      <selection activeCell="B8" sqref="B8"/>
    </sheetView>
  </sheetViews>
  <sheetFormatPr defaultRowHeight="15" x14ac:dyDescent="0.25"/>
  <sheetData>
    <row r="4" spans="1:9" x14ac:dyDescent="0.25">
      <c r="A4" t="s">
        <v>6</v>
      </c>
    </row>
    <row r="5" spans="1:9" x14ac:dyDescent="0.25">
      <c r="A5" t="s">
        <v>0</v>
      </c>
      <c r="B5">
        <v>2022</v>
      </c>
      <c r="C5">
        <v>2025</v>
      </c>
      <c r="D5">
        <v>2030</v>
      </c>
      <c r="E5">
        <v>2035</v>
      </c>
      <c r="F5">
        <v>2040</v>
      </c>
      <c r="G5">
        <v>2045</v>
      </c>
      <c r="H5">
        <v>2050</v>
      </c>
      <c r="I5" t="s">
        <v>1</v>
      </c>
    </row>
    <row r="6" spans="1:9" x14ac:dyDescent="0.25">
      <c r="A6" t="s">
        <v>2</v>
      </c>
      <c r="B6" t="s">
        <v>3</v>
      </c>
    </row>
    <row r="7" spans="1:9" x14ac:dyDescent="0.25">
      <c r="A7" t="s">
        <v>4</v>
      </c>
      <c r="B7">
        <v>0.08</v>
      </c>
      <c r="C7">
        <v>7.2599999999999998E-2</v>
      </c>
      <c r="D7">
        <v>0.08</v>
      </c>
      <c r="E7">
        <v>8.6999999999999994E-2</v>
      </c>
      <c r="F7">
        <v>8.6999999999999994E-2</v>
      </c>
      <c r="G7">
        <v>8.6999999999999994E-2</v>
      </c>
      <c r="H7">
        <v>8.6999999999999994E-2</v>
      </c>
      <c r="I7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8E262-BA8D-4A3F-93D6-86C72CCD406A}">
  <dimension ref="A2:AG17"/>
  <sheetViews>
    <sheetView tabSelected="1" workbookViewId="0">
      <selection activeCell="C14" sqref="C14"/>
    </sheetView>
  </sheetViews>
  <sheetFormatPr defaultRowHeight="15" x14ac:dyDescent="0.25"/>
  <cols>
    <col min="1" max="1" width="27.85546875" bestFit="1" customWidth="1"/>
    <col min="3" max="3" width="12" bestFit="1" customWidth="1"/>
    <col min="33" max="33" width="11.5703125" bestFit="1" customWidth="1"/>
  </cols>
  <sheetData>
    <row r="2" spans="1:33" x14ac:dyDescent="0.25">
      <c r="A2" t="s">
        <v>7</v>
      </c>
    </row>
    <row r="3" spans="1:33" x14ac:dyDescent="0.25">
      <c r="A3" t="s">
        <v>0</v>
      </c>
      <c r="B3" t="s">
        <v>8</v>
      </c>
      <c r="C3">
        <v>2022</v>
      </c>
      <c r="D3">
        <v>2025</v>
      </c>
      <c r="E3">
        <v>2030</v>
      </c>
      <c r="F3">
        <v>2035</v>
      </c>
      <c r="G3">
        <v>2040</v>
      </c>
      <c r="H3">
        <v>2045</v>
      </c>
      <c r="I3">
        <v>2050</v>
      </c>
    </row>
    <row r="4" spans="1:33" x14ac:dyDescent="0.25">
      <c r="A4" t="s">
        <v>9</v>
      </c>
      <c r="B4" t="s">
        <v>9</v>
      </c>
      <c r="C4" s="1">
        <f>D4*(1+0.01)</f>
        <v>35.496509410102867</v>
      </c>
      <c r="D4" s="1">
        <v>35.145058821884028</v>
      </c>
      <c r="E4" s="1">
        <v>34.442157645446351</v>
      </c>
      <c r="F4" s="1">
        <v>31.050488862052873</v>
      </c>
      <c r="G4" s="1">
        <v>34.428380782388167</v>
      </c>
      <c r="H4" s="1">
        <v>35.11694839803593</v>
      </c>
      <c r="I4" s="1">
        <v>36.168701311841808</v>
      </c>
    </row>
    <row r="5" spans="1:33" x14ac:dyDescent="0.25">
      <c r="A5" t="s">
        <v>10</v>
      </c>
      <c r="B5" t="s">
        <v>10</v>
      </c>
      <c r="C5" s="1">
        <f t="shared" ref="C5:C7" si="0">D5*(1+0.01)</f>
        <v>97.330783938814534</v>
      </c>
      <c r="D5" s="1">
        <v>96.367112810707454</v>
      </c>
      <c r="E5" s="1">
        <v>85</v>
      </c>
      <c r="F5" s="1">
        <v>79.158699808795419</v>
      </c>
      <c r="G5" s="1">
        <v>75</v>
      </c>
      <c r="H5" s="1">
        <v>73</v>
      </c>
      <c r="I5" s="1">
        <v>70.554493307839394</v>
      </c>
    </row>
    <row r="6" spans="1:33" x14ac:dyDescent="0.25">
      <c r="A6" t="s">
        <v>11</v>
      </c>
      <c r="B6" t="s">
        <v>11</v>
      </c>
      <c r="C6" s="1">
        <f t="shared" si="0"/>
        <v>46.935294117647068</v>
      </c>
      <c r="D6" s="1">
        <v>46.470588235294123</v>
      </c>
      <c r="E6" s="1">
        <v>49</v>
      </c>
      <c r="F6" s="1">
        <v>52.352941176470587</v>
      </c>
      <c r="G6" s="1">
        <v>55</v>
      </c>
      <c r="H6" s="1">
        <v>58</v>
      </c>
      <c r="I6" s="1">
        <v>62.35</v>
      </c>
    </row>
    <row r="7" spans="1:33" x14ac:dyDescent="0.25">
      <c r="A7" t="s">
        <v>12</v>
      </c>
      <c r="B7" t="s">
        <v>12</v>
      </c>
      <c r="C7" s="1">
        <f t="shared" si="0"/>
        <v>46.249920000000003</v>
      </c>
      <c r="D7" s="1">
        <v>45.792000000000002</v>
      </c>
      <c r="E7" s="1">
        <v>48</v>
      </c>
      <c r="F7" s="1">
        <v>50</v>
      </c>
      <c r="G7" s="1">
        <v>52</v>
      </c>
      <c r="H7" s="1">
        <v>54</v>
      </c>
      <c r="I7" s="1">
        <v>55</v>
      </c>
    </row>
    <row r="12" spans="1:33" x14ac:dyDescent="0.25">
      <c r="H12" t="s">
        <v>13</v>
      </c>
    </row>
    <row r="13" spans="1:33" x14ac:dyDescent="0.25">
      <c r="U13" t="s">
        <v>14</v>
      </c>
      <c r="V13" t="s">
        <v>15</v>
      </c>
      <c r="W13" t="s">
        <v>16</v>
      </c>
      <c r="X13" t="s">
        <v>17</v>
      </c>
      <c r="Y13" t="s">
        <v>18</v>
      </c>
      <c r="AA13" t="s">
        <v>19</v>
      </c>
      <c r="AC13" t="s">
        <v>20</v>
      </c>
      <c r="AD13" t="s">
        <v>21</v>
      </c>
      <c r="AE13" t="s">
        <v>22</v>
      </c>
      <c r="AF13" t="s">
        <v>23</v>
      </c>
      <c r="AG13" t="s">
        <v>24</v>
      </c>
    </row>
    <row r="14" spans="1:33" x14ac:dyDescent="0.25">
      <c r="U14">
        <v>4.1840000000000002</v>
      </c>
      <c r="V14">
        <v>1.0550558526</v>
      </c>
      <c r="W14">
        <v>6.12</v>
      </c>
      <c r="X14">
        <v>3.6</v>
      </c>
      <c r="Y14">
        <v>3600000</v>
      </c>
      <c r="Z14" t="s">
        <v>25</v>
      </c>
      <c r="AA14">
        <v>3412142</v>
      </c>
      <c r="AC14" t="s">
        <v>11</v>
      </c>
      <c r="AD14">
        <v>106</v>
      </c>
      <c r="AE14" s="2">
        <f>AD14/W14</f>
        <v>17.320261437908496</v>
      </c>
      <c r="AF14" s="2">
        <f>AE14*X14</f>
        <v>62.352941176470587</v>
      </c>
      <c r="AG14" s="2">
        <f>AE14*Y14</f>
        <v>62352941.176470585</v>
      </c>
    </row>
    <row r="15" spans="1:33" x14ac:dyDescent="0.25">
      <c r="Z15" t="s">
        <v>26</v>
      </c>
      <c r="AA15" s="3">
        <v>588235</v>
      </c>
      <c r="AC15" t="s">
        <v>27</v>
      </c>
      <c r="AD15">
        <v>4</v>
      </c>
      <c r="AE15" s="2">
        <f>AD15/V14</f>
        <v>3.7912684813251372</v>
      </c>
      <c r="AF15" s="2">
        <f>AE15*X14</f>
        <v>13.648566532770493</v>
      </c>
      <c r="AG15" s="2">
        <f>AE15*Y14</f>
        <v>13648566.532770494</v>
      </c>
    </row>
    <row r="16" spans="1:33" x14ac:dyDescent="0.25">
      <c r="Z16" t="s">
        <v>28</v>
      </c>
      <c r="AA16">
        <v>150000</v>
      </c>
      <c r="AC16" t="s">
        <v>10</v>
      </c>
      <c r="AD16">
        <v>39</v>
      </c>
      <c r="AE16" s="2">
        <f>AD16/U14</f>
        <v>9.3212237093690238</v>
      </c>
      <c r="AF16" s="2">
        <f>AE16*X14</f>
        <v>33.556405353728486</v>
      </c>
      <c r="AG16" s="2">
        <f>AE16*Y14</f>
        <v>33556405.353728488</v>
      </c>
    </row>
    <row r="17" spans="29:32" x14ac:dyDescent="0.25">
      <c r="AC17" t="s">
        <v>29</v>
      </c>
      <c r="AE17">
        <v>12.72</v>
      </c>
      <c r="AF17">
        <f>AE17*X14</f>
        <v>45.792000000000002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Co2</vt:lpstr>
      <vt:lpstr>fuel_costs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Raik</dc:creator>
  <cp:lastModifiedBy>Kristopher Raik</cp:lastModifiedBy>
  <dcterms:created xsi:type="dcterms:W3CDTF">2015-06-05T18:17:20Z</dcterms:created>
  <dcterms:modified xsi:type="dcterms:W3CDTF">2026-03-05T09:12:01Z</dcterms:modified>
</cp:coreProperties>
</file>