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7F0F108D-EE57-4A6E-9CAA-CD98795D78F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4" i="2" l="1"/>
  <c r="AV24" i="2"/>
  <c r="AW23" i="2"/>
  <c r="AV23" i="2"/>
  <c r="AW22" i="2"/>
  <c r="AV22" i="2"/>
  <c r="AT23" i="2"/>
  <c r="AT24" i="2"/>
  <c r="AT22" i="2"/>
  <c r="AR24" i="2"/>
  <c r="AQ24" i="2"/>
  <c r="AR23" i="2"/>
  <c r="AQ23" i="2"/>
  <c r="AR22" i="2"/>
  <c r="AQ22" i="2"/>
  <c r="AO23" i="2"/>
  <c r="AO24" i="2"/>
  <c r="AO22" i="2"/>
  <c r="U14" i="2"/>
  <c r="AE16" i="2" s="1"/>
  <c r="AF17" i="2"/>
  <c r="AP8" i="1" l="1"/>
  <c r="AQ8" i="1"/>
  <c r="AR8" i="1"/>
  <c r="AP9" i="1"/>
  <c r="AQ9" i="1"/>
  <c r="AR9" i="1"/>
  <c r="AP10" i="1"/>
  <c r="AQ10" i="1"/>
  <c r="AR10" i="1"/>
  <c r="AP11" i="1"/>
  <c r="AQ11" i="1"/>
  <c r="AR11" i="1"/>
  <c r="AQ7" i="1"/>
  <c r="AR7" i="1"/>
  <c r="AP7" i="1"/>
  <c r="AL24" i="2"/>
  <c r="AM24" i="2" s="1"/>
  <c r="AJ24" i="2"/>
  <c r="AL23" i="2"/>
  <c r="AM23" i="2" s="1"/>
  <c r="AJ23" i="2"/>
  <c r="AJ22" i="2"/>
  <c r="AM22" i="2"/>
  <c r="AL22" i="2"/>
  <c r="X19" i="2" l="1"/>
  <c r="AF6" i="1" l="1"/>
  <c r="AH6" i="1" s="1"/>
  <c r="AI17" i="2"/>
  <c r="AK17" i="2" s="1"/>
  <c r="F5" i="2"/>
  <c r="F6" i="2"/>
  <c r="F7" i="2"/>
  <c r="F4" i="2"/>
  <c r="AG16" i="2"/>
  <c r="AE15" i="2"/>
  <c r="AG15" i="2" s="1"/>
  <c r="AE14" i="2"/>
  <c r="AF14" i="2" l="1"/>
  <c r="AI14" i="2" s="1"/>
  <c r="AK14" i="2" s="1"/>
  <c r="AF16" i="2"/>
  <c r="AI16" i="2" s="1"/>
  <c r="AK16" i="2" s="1"/>
  <c r="AG14" i="2"/>
  <c r="AF15" i="2"/>
  <c r="AI15" i="2" s="1"/>
  <c r="AK1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tc={F7552927-96D1-4F59-8D87-912FAEF612BC}</author>
    <author>tc={D8EEECF9-2E20-4283-BAFE-202447CED12E}</author>
    <author>tc={BDE76EE2-97EA-49AE-A02C-2406F6CA4E9D}</author>
  </authors>
  <commentList>
    <comment ref="U13" authorId="0" shapeId="0" xr:uid="{F7552927-96D1-4F59-8D87-912FAEF612BC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High-grade, premium thermal steam coal 6000 kcal/kg, conversion number from kcal and KJ is 4,184</t>
      </text>
    </comment>
    <comment ref="AI22" authorId="1" shapeId="0" xr:uid="{D8EEECF9-2E20-4283-BAFE-202447CED12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https://energy.ec.europa.eu/data-and-analysis/market-analysis_en</t>
      </text>
    </comment>
    <comment ref="AI23" authorId="2" shapeId="0" xr:uid="{BDE76EE2-97EA-49AE-A02C-2406F6CA4E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https://mining-report.de/english/blog/euracoal-market-report-2026-no-1-global-and-eu-data-for-2025/
</t>
      </text>
    </comment>
  </commentList>
</comments>
</file>

<file path=xl/sharedStrings.xml><?xml version="1.0" encoding="utf-8"?>
<sst xmlns="http://schemas.openxmlformats.org/spreadsheetml/2006/main" count="72" uniqueCount="52">
  <si>
    <t>*</t>
  </si>
  <si>
    <t>USD25/kt</t>
  </si>
  <si>
    <t>co2net</t>
  </si>
  <si>
    <t>com_taxnet</t>
  </si>
  <si>
    <t>~TFM_INS-TS</t>
  </si>
  <si>
    <t>pset_co</t>
  </si>
  <si>
    <t>Gas</t>
  </si>
  <si>
    <t>Coal</t>
  </si>
  <si>
    <t>Oil</t>
  </si>
  <si>
    <t>Bioenergy</t>
  </si>
  <si>
    <t>1ton2GJ</t>
  </si>
  <si>
    <t>1mmbtu2GJ</t>
  </si>
  <si>
    <t>1barrelcrude2GJ</t>
  </si>
  <si>
    <t>conversion coeff</t>
  </si>
  <si>
    <t>Fuel prices 2024</t>
  </si>
  <si>
    <t>$/barrel or $/MMBtu</t>
  </si>
  <si>
    <t>$/GJ</t>
  </si>
  <si>
    <t>$/MWh</t>
  </si>
  <si>
    <t>$/TWh</t>
  </si>
  <si>
    <t>MMBtu2twh</t>
  </si>
  <si>
    <t>barrel2twh</t>
  </si>
  <si>
    <t>GAS</t>
  </si>
  <si>
    <t>tonne2twh</t>
  </si>
  <si>
    <t>Biogas</t>
  </si>
  <si>
    <t>TimeSlice</t>
  </si>
  <si>
    <t>LimType</t>
  </si>
  <si>
    <t>Attribute</t>
  </si>
  <si>
    <t>Commodity</t>
  </si>
  <si>
    <t>flo_cost</t>
  </si>
  <si>
    <t>eur24/MWh</t>
  </si>
  <si>
    <t>eur25/MWh</t>
  </si>
  <si>
    <t>2024 avg usd to eur rate (eur/usd)</t>
  </si>
  <si>
    <t>avg eur25 inflation rate (EU)</t>
  </si>
  <si>
    <t>USD24/tCO2</t>
  </si>
  <si>
    <t>EUR24/tCO2</t>
  </si>
  <si>
    <t>EUR25/Tco2</t>
  </si>
  <si>
    <t>GJ2MWh</t>
  </si>
  <si>
    <t>Maagaas, €/MWh</t>
  </si>
  <si>
    <t>Kivisüsi, €/MWh</t>
  </si>
  <si>
    <t>Nafta, €/MWh</t>
  </si>
  <si>
    <t>STEPS</t>
  </si>
  <si>
    <t>Trends and projections in the EU-ETS in 2025.</t>
  </si>
  <si>
    <t>Year</t>
  </si>
  <si>
    <t>WEM-ETS</t>
  </si>
  <si>
    <t>WAM-ETS</t>
  </si>
  <si>
    <t>WOM-ETS</t>
  </si>
  <si>
    <t>EUR2023</t>
  </si>
  <si>
    <t>HICP_2023</t>
  </si>
  <si>
    <t>HICP_2025</t>
  </si>
  <si>
    <t>EUR2025</t>
  </si>
  <si>
    <t>CPS</t>
  </si>
  <si>
    <t>NZE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</si>
</sst>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9" formatCode="0.0%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  <charset val="186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/>
    <xf numFmtId="2" fontId="0" fillId="0" borderId="0" xfId="0" applyNumberFormat="1"/>
    <xf numFmtId="11" fontId="0" fillId="0" borderId="0" xfId="0" applyNumberFormat="1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0" fontId="0" fillId="4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9" fontId="0" fillId="0" borderId="0" xfId="2" applyNumberFormat="1" applyFont="1" applyAlignment="1">
      <alignment horizontal="center"/>
    </xf>
    <xf numFmtId="169" fontId="0" fillId="0" borderId="0" xfId="2" applyNumberFormat="1" applyFont="1"/>
    <xf numFmtId="1" fontId="0" fillId="0" borderId="0" xfId="0" applyNumberFormat="1"/>
    <xf numFmtId="0" fontId="5" fillId="0" borderId="0" xfId="3"/>
    <xf numFmtId="0" fontId="0" fillId="0" borderId="2" xfId="0" applyBorder="1"/>
    <xf numFmtId="164" fontId="0" fillId="0" borderId="2" xfId="0" applyNumberFormat="1" applyBorder="1"/>
  </cellXfs>
  <cellStyles count="4">
    <cellStyle name="Hyperlink" xfId="3" builtinId="8"/>
    <cellStyle name="Normal" xfId="0" builtinId="0"/>
    <cellStyle name="Normal 3" xfId="1" xr:uid="{626A6453-D0F9-4A36-ADC9-AF3AE4EFA4C4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304800</xdr:colOff>
      <xdr:row>3</xdr:row>
      <xdr:rowOff>133350</xdr:rowOff>
    </xdr:from>
    <xdr:to>
      <xdr:col>27</xdr:col>
      <xdr:colOff>191505</xdr:colOff>
      <xdr:row>25</xdr:row>
      <xdr:rowOff>95831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EE6EA-EAED-F420-217F-E3BA78E2C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8800" y="704850"/>
          <a:ext cx="7201905" cy="4163006"/>
        </a:xfrm>
        <a:prstGeom prst="rect">
          <a:avLst/>
        </a:prstGeom>
      </xdr:spPr>
    </xdr:pic>
    <xdr:clientData/>
  </xdr:twoCellAnchor>
  <xdr:twoCellAnchor editAs="oneCell">
    <xdr:from>
      <xdr:col>32</xdr:col>
      <xdr:colOff>704849</xdr:colOff>
      <xdr:row>17</xdr:row>
      <xdr:rowOff>123825</xdr:rowOff>
    </xdr:from>
    <xdr:to>
      <xdr:col>36</xdr:col>
      <xdr:colOff>541190</xdr:colOff>
      <xdr:row>24</xdr:row>
      <xdr:rowOff>57150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AFBC52-E194-246B-2528-054AE63A07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88524" y="3209925"/>
          <a:ext cx="3439966" cy="12001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95250</xdr:colOff>
      <xdr:row>18</xdr:row>
      <xdr:rowOff>133350</xdr:rowOff>
    </xdr:from>
    <xdr:to>
      <xdr:col>32</xdr:col>
      <xdr:colOff>482892</xdr:colOff>
      <xdr:row>42</xdr:row>
      <xdr:rowOff>120876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BA94E-5250-36E0-1C81-B09A479B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0" y="3400425"/>
          <a:ext cx="5731167" cy="4330926"/>
        </a:xfrm>
        <a:prstGeom prst="rect">
          <a:avLst/>
        </a:prstGeom>
      </xdr:spPr>
    </xdr:pic>
    <xdr:clientData/>
  </xdr:twoCellAnchor>
  <xdr:twoCellAnchor editAs="oneCell">
    <xdr:from>
      <xdr:col>34</xdr:col>
      <xdr:colOff>139700</xdr:colOff>
      <xdr:row>27</xdr:row>
      <xdr:rowOff>142875</xdr:rowOff>
    </xdr:from>
    <xdr:to>
      <xdr:col>37</xdr:col>
      <xdr:colOff>76340</xdr:colOff>
      <xdr:row>30</xdr:row>
      <xdr:rowOff>92101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533FB90-E9C5-9229-31DF-4C4471269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266775" y="5038725"/>
          <a:ext cx="2736990" cy="49215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BA14106C-ED57-40EA-84FF-D8CA0FAFE51B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3" dT="2026-08-31T08:44:32.28" personId="{BA14106C-ED57-40EA-84FF-D8CA0FAFE51B}" id="{F7552927-96D1-4F59-8D87-912FAEF612BC}">
    <text>High-grade, premium thermal steam coal 6000 kcal/kg, conversion number from kcal and KJ is 4,184</text>
  </threadedComment>
  <threadedComment ref="AI22" dT="2026-08-31T08:54:07.53" personId="{BA14106C-ED57-40EA-84FF-D8CA0FAFE51B}" id="{D8EEECF9-2E20-4283-BAFE-202447CED12E}">
    <text>https://energy.ec.europa.eu/data-and-analysis/market-analysis_en</text>
    <extLst>
      <x:ext xmlns:xltc2="http://schemas.microsoft.com/office/spreadsheetml/2020/threadedcomments2" uri="{F7C98A9C-CBB3-438F-8F68-D28B6AF4A901}">
        <xltc2:checksum>2708192309</xltc2:checksum>
        <xltc2:hyperlink startIndex="0" length="64" url="https://energy.ec.europa.eu/data-and-analysis/market-analysis_en"/>
      </x:ext>
    </extLst>
  </threadedComment>
  <threadedComment ref="AI23" dT="2026-08-31T08:51:40.35" personId="{BA14106C-ED57-40EA-84FF-D8CA0FAFE51B}" id="{BDE76EE2-97EA-49AE-A02C-2406F6CA4E9D}">
    <text xml:space="preserve">https://mining-report.de/english/blog/euracoal-market-report-2026-no-1-global-and-eu-data-for-2025/
</text>
    <extLst>
      <x:ext xmlns:xltc2="http://schemas.microsoft.com/office/spreadsheetml/2020/threadedcomments2" uri="{F7C98A9C-CBB3-438F-8F68-D28B6AF4A901}">
        <xltc2:checksum>1503142410</xltc2:checksum>
        <xltc2:hyperlink startIndex="0" length="99" url="https://mining-report.de/english/blog/euracoal-market-report-2026-no-1-global-and-eu-data-for-2025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eionet.europa.eu/etcs/etc-cm/products/etc-cm-report-2025-06/@@download/file/ETS-Report_2025_final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R14"/>
  <sheetViews>
    <sheetView topLeftCell="Y1" workbookViewId="0">
      <selection activeCell="AP9" sqref="AP9"/>
    </sheetView>
  </sheetViews>
  <sheetFormatPr defaultRowHeight="14.5" x14ac:dyDescent="0.35"/>
  <cols>
    <col min="2" max="2" width="13.26953125" bestFit="1" customWidth="1"/>
    <col min="29" max="30" width="11.1796875" bestFit="1" customWidth="1"/>
    <col min="31" max="31" width="29.6328125" bestFit="1" customWidth="1"/>
    <col min="32" max="32" width="11.08984375" bestFit="1" customWidth="1"/>
    <col min="33" max="33" width="24.36328125" bestFit="1" customWidth="1"/>
    <col min="35" max="35" width="9.7265625" bestFit="1" customWidth="1"/>
    <col min="39" max="39" width="8.90625" bestFit="1" customWidth="1"/>
    <col min="40" max="40" width="9.08984375" customWidth="1"/>
  </cols>
  <sheetData>
    <row r="3" spans="2:44" x14ac:dyDescent="0.35">
      <c r="AL3" s="14" t="s">
        <v>41</v>
      </c>
    </row>
    <row r="4" spans="2:44" x14ac:dyDescent="0.35">
      <c r="AM4" s="9" t="s">
        <v>46</v>
      </c>
      <c r="AN4" s="9"/>
      <c r="AO4" s="9"/>
      <c r="AP4" s="9" t="s">
        <v>49</v>
      </c>
      <c r="AQ4" s="9"/>
      <c r="AR4" s="9"/>
    </row>
    <row r="5" spans="2:44" x14ac:dyDescent="0.35">
      <c r="AD5" t="s">
        <v>33</v>
      </c>
      <c r="AE5" t="s">
        <v>31</v>
      </c>
      <c r="AF5" t="s">
        <v>34</v>
      </c>
      <c r="AG5" t="s">
        <v>32</v>
      </c>
      <c r="AH5" t="s">
        <v>35</v>
      </c>
      <c r="AL5" t="s">
        <v>42</v>
      </c>
      <c r="AM5" t="s">
        <v>43</v>
      </c>
      <c r="AN5" t="s">
        <v>44</v>
      </c>
      <c r="AO5" t="s">
        <v>45</v>
      </c>
      <c r="AP5" t="s">
        <v>43</v>
      </c>
      <c r="AQ5" t="s">
        <v>44</v>
      </c>
      <c r="AR5" t="s">
        <v>45</v>
      </c>
    </row>
    <row r="6" spans="2:44" x14ac:dyDescent="0.35">
      <c r="B6" s="4" t="s">
        <v>4</v>
      </c>
      <c r="C6" s="5"/>
      <c r="D6" s="5"/>
      <c r="E6" s="5"/>
      <c r="AC6">
        <v>2035</v>
      </c>
      <c r="AD6">
        <v>174</v>
      </c>
      <c r="AE6">
        <v>0.9244</v>
      </c>
      <c r="AF6" s="2">
        <f>AD6*AE6</f>
        <v>160.84559999999999</v>
      </c>
      <c r="AG6" s="12">
        <v>2.3E-2</v>
      </c>
      <c r="AH6" s="13">
        <f>AF6*(1+AG6)</f>
        <v>164.54504879999999</v>
      </c>
      <c r="AL6">
        <v>2025</v>
      </c>
      <c r="AP6">
        <v>73</v>
      </c>
      <c r="AQ6">
        <v>73</v>
      </c>
      <c r="AR6">
        <v>73</v>
      </c>
    </row>
    <row r="7" spans="2:44" ht="15" thickBot="1" x14ac:dyDescent="0.4">
      <c r="B7" s="6" t="s">
        <v>24</v>
      </c>
      <c r="C7" s="6" t="s">
        <v>25</v>
      </c>
      <c r="D7" s="6" t="s">
        <v>26</v>
      </c>
      <c r="E7" s="7">
        <v>2022</v>
      </c>
      <c r="F7" s="7">
        <v>2025</v>
      </c>
      <c r="G7" s="7">
        <v>2030</v>
      </c>
      <c r="H7" s="7">
        <v>2035</v>
      </c>
      <c r="I7" s="7">
        <v>2040</v>
      </c>
      <c r="J7" s="7">
        <v>2045</v>
      </c>
      <c r="K7" s="7">
        <v>2050</v>
      </c>
      <c r="L7" s="6" t="s">
        <v>27</v>
      </c>
      <c r="AL7">
        <v>2030</v>
      </c>
      <c r="AM7">
        <v>95</v>
      </c>
      <c r="AN7">
        <v>95</v>
      </c>
      <c r="AO7">
        <v>73</v>
      </c>
      <c r="AP7" s="13">
        <f>AM7*($AJ$14/$AJ$13)</f>
        <v>99.873138444567019</v>
      </c>
      <c r="AQ7" s="13">
        <f t="shared" ref="AQ7:AR7" si="0">AN7*($AJ$14/$AJ$13)</f>
        <v>99.873138444567019</v>
      </c>
      <c r="AR7" s="13">
        <f t="shared" si="0"/>
        <v>76.744622173193605</v>
      </c>
    </row>
    <row r="8" spans="2:44" x14ac:dyDescent="0.35">
      <c r="B8" s="8" t="s">
        <v>0</v>
      </c>
      <c r="C8" s="8" t="s">
        <v>1</v>
      </c>
      <c r="AL8">
        <v>2035</v>
      </c>
      <c r="AM8">
        <v>100</v>
      </c>
      <c r="AN8">
        <v>140</v>
      </c>
      <c r="AO8">
        <v>73</v>
      </c>
      <c r="AP8" s="13">
        <f t="shared" ref="AP8:AP11" si="1">AM8*($AJ$14/$AJ$13)</f>
        <v>105.12961941533369</v>
      </c>
      <c r="AQ8" s="13">
        <f t="shared" ref="AQ8:AQ11" si="2">AN8*($AJ$14/$AJ$13)</f>
        <v>147.18146718146718</v>
      </c>
      <c r="AR8" s="13">
        <f t="shared" ref="AR8:AR11" si="3">AO8*($AJ$14/$AJ$13)</f>
        <v>76.744622173193605</v>
      </c>
    </row>
    <row r="9" spans="2:44" x14ac:dyDescent="0.35">
      <c r="D9" t="s">
        <v>3</v>
      </c>
      <c r="E9">
        <v>0.08</v>
      </c>
      <c r="F9">
        <v>7.2599999999999998E-2</v>
      </c>
      <c r="G9">
        <v>0.08</v>
      </c>
      <c r="H9">
        <v>8.6999999999999994E-2</v>
      </c>
      <c r="I9">
        <v>8.6999999999999994E-2</v>
      </c>
      <c r="J9">
        <v>8.6999999999999994E-2</v>
      </c>
      <c r="K9">
        <v>8.6999999999999994E-2</v>
      </c>
      <c r="L9" t="s">
        <v>2</v>
      </c>
      <c r="AL9">
        <v>2040</v>
      </c>
      <c r="AM9">
        <v>100</v>
      </c>
      <c r="AN9">
        <v>290</v>
      </c>
      <c r="AO9">
        <v>73</v>
      </c>
      <c r="AP9" s="13">
        <f t="shared" si="1"/>
        <v>105.12961941533369</v>
      </c>
      <c r="AQ9" s="13">
        <f t="shared" si="2"/>
        <v>304.87589630446774</v>
      </c>
      <c r="AR9" s="13">
        <f t="shared" si="3"/>
        <v>76.744622173193605</v>
      </c>
    </row>
    <row r="10" spans="2:44" x14ac:dyDescent="0.35">
      <c r="AL10">
        <v>2045</v>
      </c>
      <c r="AM10">
        <v>160</v>
      </c>
      <c r="AN10">
        <v>430</v>
      </c>
      <c r="AO10">
        <v>73</v>
      </c>
      <c r="AP10" s="13">
        <f t="shared" si="1"/>
        <v>168.20739106453391</v>
      </c>
      <c r="AQ10" s="13">
        <f t="shared" si="2"/>
        <v>452.0573634859349</v>
      </c>
      <c r="AR10" s="13">
        <f t="shared" si="3"/>
        <v>76.744622173193605</v>
      </c>
    </row>
    <row r="11" spans="2:44" x14ac:dyDescent="0.35">
      <c r="AL11">
        <v>2050</v>
      </c>
      <c r="AM11">
        <v>190</v>
      </c>
      <c r="AN11">
        <v>490</v>
      </c>
      <c r="AO11">
        <v>73</v>
      </c>
      <c r="AP11" s="13">
        <f t="shared" si="1"/>
        <v>199.74627688913404</v>
      </c>
      <c r="AQ11" s="13">
        <f t="shared" si="2"/>
        <v>515.1351351351351</v>
      </c>
      <c r="AR11" s="13">
        <f t="shared" si="3"/>
        <v>76.744622173193605</v>
      </c>
    </row>
    <row r="13" spans="2:44" x14ac:dyDescent="0.35">
      <c r="AI13" t="s">
        <v>47</v>
      </c>
      <c r="AJ13">
        <v>126.91</v>
      </c>
    </row>
    <row r="14" spans="2:44" x14ac:dyDescent="0.35">
      <c r="AI14" t="s">
        <v>48</v>
      </c>
      <c r="AJ14">
        <v>133.41999999999999</v>
      </c>
    </row>
  </sheetData>
  <mergeCells count="2">
    <mergeCell ref="AM4:AO4"/>
    <mergeCell ref="AP4:AR4"/>
  </mergeCells>
  <hyperlinks>
    <hyperlink ref="AL3" r:id="rId1" display="https://www.eionet.europa.eu/etcs/etc-cm/products/etc-cm-report-2025-06/@@download/file/ETS-Report_2025_final.pdf" xr:uid="{18E8D8F0-4F05-444D-B8FE-425F0AF2A4C2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E262-BA8D-4A3F-93D6-86C72CCD406A}">
  <dimension ref="B2:AX24"/>
  <sheetViews>
    <sheetView tabSelected="1" topLeftCell="Y9" workbookViewId="0">
      <selection activeCell="AQ17" sqref="AQ17"/>
    </sheetView>
  </sheetViews>
  <sheetFormatPr defaultRowHeight="14.5" x14ac:dyDescent="0.35"/>
  <cols>
    <col min="1" max="1" width="30" bestFit="1" customWidth="1"/>
    <col min="3" max="3" width="12" bestFit="1" customWidth="1"/>
    <col min="12" max="12" width="13.26953125" bestFit="1" customWidth="1"/>
    <col min="22" max="22" width="12" bestFit="1" customWidth="1"/>
    <col min="23" max="23" width="14.54296875" bestFit="1" customWidth="1"/>
    <col min="29" max="29" width="14.1796875" bestFit="1" customWidth="1"/>
    <col min="30" max="30" width="18.6328125" bestFit="1" customWidth="1"/>
    <col min="33" max="33" width="11.54296875" bestFit="1" customWidth="1"/>
    <col min="34" max="34" width="29.6328125" bestFit="1" customWidth="1"/>
    <col min="35" max="35" width="11.08984375" bestFit="1" customWidth="1"/>
    <col min="36" max="36" width="20.26953125" bestFit="1" customWidth="1"/>
  </cols>
  <sheetData>
    <row r="2" spans="2:37" x14ac:dyDescent="0.35">
      <c r="B2" s="4" t="s">
        <v>4</v>
      </c>
      <c r="C2" s="5"/>
      <c r="D2" s="5"/>
      <c r="E2" s="5"/>
    </row>
    <row r="3" spans="2:37" ht="15" thickBot="1" x14ac:dyDescent="0.4">
      <c r="B3" s="6" t="s">
        <v>24</v>
      </c>
      <c r="C3" s="6" t="s">
        <v>25</v>
      </c>
      <c r="D3" s="6" t="s">
        <v>5</v>
      </c>
      <c r="E3" s="6" t="s">
        <v>26</v>
      </c>
      <c r="F3" s="7">
        <v>2022</v>
      </c>
      <c r="G3" s="7">
        <v>2025</v>
      </c>
      <c r="H3" s="7">
        <v>2030</v>
      </c>
      <c r="I3" s="7">
        <v>2035</v>
      </c>
      <c r="J3" s="7">
        <v>2040</v>
      </c>
      <c r="K3" s="7">
        <v>2045</v>
      </c>
      <c r="L3" s="7">
        <v>2050</v>
      </c>
      <c r="M3" s="6" t="s">
        <v>27</v>
      </c>
    </row>
    <row r="4" spans="2:37" x14ac:dyDescent="0.35">
      <c r="D4" t="s">
        <v>6</v>
      </c>
      <c r="E4" t="s">
        <v>28</v>
      </c>
      <c r="F4" s="1">
        <f>G4*(1+0.01)</f>
        <v>35.496509410102867</v>
      </c>
      <c r="G4" s="1">
        <v>35.145058821884028</v>
      </c>
      <c r="H4" s="1">
        <v>34.442157645446351</v>
      </c>
      <c r="I4" s="1">
        <v>31.050488862052873</v>
      </c>
      <c r="J4" s="1">
        <v>34.428380782388167</v>
      </c>
      <c r="K4" s="1">
        <v>35.11694839803593</v>
      </c>
      <c r="L4" s="1">
        <v>36.168701311841808</v>
      </c>
      <c r="M4" t="s">
        <v>6</v>
      </c>
    </row>
    <row r="5" spans="2:37" x14ac:dyDescent="0.35">
      <c r="D5" t="s">
        <v>7</v>
      </c>
      <c r="E5" t="s">
        <v>28</v>
      </c>
      <c r="F5" s="1">
        <f t="shared" ref="F5:F7" si="0">G5*(1+0.01)</f>
        <v>97.330783938814534</v>
      </c>
      <c r="G5" s="1">
        <v>96.367112810707454</v>
      </c>
      <c r="H5" s="1">
        <v>85</v>
      </c>
      <c r="I5" s="1">
        <v>79.158699808795419</v>
      </c>
      <c r="J5" s="1">
        <v>75</v>
      </c>
      <c r="K5" s="1">
        <v>73</v>
      </c>
      <c r="L5" s="1">
        <v>70.554493307839394</v>
      </c>
      <c r="M5" t="s">
        <v>7</v>
      </c>
    </row>
    <row r="6" spans="2:37" x14ac:dyDescent="0.35">
      <c r="D6" t="s">
        <v>8</v>
      </c>
      <c r="E6" t="s">
        <v>28</v>
      </c>
      <c r="F6" s="1">
        <f t="shared" si="0"/>
        <v>46.935294117647068</v>
      </c>
      <c r="G6" s="1">
        <v>46.470588235294123</v>
      </c>
      <c r="H6" s="1">
        <v>49</v>
      </c>
      <c r="I6" s="1">
        <v>52.352941176470587</v>
      </c>
      <c r="J6" s="1">
        <v>55</v>
      </c>
      <c r="K6" s="1">
        <v>58</v>
      </c>
      <c r="L6" s="1">
        <v>62.35</v>
      </c>
      <c r="M6" t="s">
        <v>8</v>
      </c>
    </row>
    <row r="7" spans="2:37" x14ac:dyDescent="0.35">
      <c r="D7" t="s">
        <v>9</v>
      </c>
      <c r="E7" t="s">
        <v>28</v>
      </c>
      <c r="F7" s="1">
        <f t="shared" si="0"/>
        <v>46.249920000000003</v>
      </c>
      <c r="G7" s="1">
        <v>45.792000000000002</v>
      </c>
      <c r="H7" s="1">
        <v>48</v>
      </c>
      <c r="I7" s="1">
        <v>50</v>
      </c>
      <c r="J7" s="1">
        <v>52</v>
      </c>
      <c r="K7" s="1">
        <v>54</v>
      </c>
      <c r="L7" s="1">
        <v>55</v>
      </c>
      <c r="M7" t="s">
        <v>9</v>
      </c>
    </row>
    <row r="13" spans="2:37" x14ac:dyDescent="0.35">
      <c r="U13" t="s">
        <v>10</v>
      </c>
      <c r="V13" t="s">
        <v>11</v>
      </c>
      <c r="W13" t="s">
        <v>12</v>
      </c>
      <c r="X13" t="s">
        <v>36</v>
      </c>
      <c r="Y13" t="s">
        <v>36</v>
      </c>
      <c r="AA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31</v>
      </c>
      <c r="AI13" t="s">
        <v>29</v>
      </c>
      <c r="AJ13" t="s">
        <v>32</v>
      </c>
      <c r="AK13" t="s">
        <v>30</v>
      </c>
    </row>
    <row r="14" spans="2:37" x14ac:dyDescent="0.35">
      <c r="U14">
        <f>6000*4.184/1000</f>
        <v>25.103999999999999</v>
      </c>
      <c r="V14">
        <v>1.0550558526</v>
      </c>
      <c r="W14">
        <v>6.12</v>
      </c>
      <c r="X14">
        <v>3.6</v>
      </c>
      <c r="Y14">
        <v>3600000</v>
      </c>
      <c r="Z14" t="s">
        <v>19</v>
      </c>
      <c r="AA14">
        <v>3412142</v>
      </c>
      <c r="AC14" t="s">
        <v>8</v>
      </c>
      <c r="AD14">
        <v>25</v>
      </c>
      <c r="AE14" s="2">
        <f>AD14/W14</f>
        <v>4.0849673202614376</v>
      </c>
      <c r="AF14" s="2">
        <f>AE14*X14</f>
        <v>14.705882352941176</v>
      </c>
      <c r="AG14" s="2">
        <f>AE14*Y14</f>
        <v>14705882.352941176</v>
      </c>
      <c r="AH14" s="10">
        <v>0.9244</v>
      </c>
      <c r="AI14" s="2">
        <f>AF14*$AH$14</f>
        <v>13.594117647058823</v>
      </c>
      <c r="AJ14" s="11">
        <v>2.3E-2</v>
      </c>
      <c r="AK14" s="1">
        <f>AI14*(1+AJ14)</f>
        <v>13.906782352941175</v>
      </c>
    </row>
    <row r="15" spans="2:37" x14ac:dyDescent="0.35">
      <c r="Z15" t="s">
        <v>20</v>
      </c>
      <c r="AA15" s="3">
        <v>588235</v>
      </c>
      <c r="AC15" t="s">
        <v>21</v>
      </c>
      <c r="AD15">
        <v>4</v>
      </c>
      <c r="AE15" s="2">
        <f>AD15/V14</f>
        <v>3.7912684813251372</v>
      </c>
      <c r="AF15" s="2">
        <f>AE15*X14</f>
        <v>13.648566532770493</v>
      </c>
      <c r="AG15" s="2">
        <f>AE15*Y14</f>
        <v>13648566.532770494</v>
      </c>
      <c r="AH15" s="10"/>
      <c r="AI15" s="2">
        <f t="shared" ref="AI15:AI17" si="1">AF15*$AH$14</f>
        <v>12.616734902893043</v>
      </c>
      <c r="AJ15" s="11"/>
      <c r="AK15" s="1">
        <f t="shared" ref="AK15:AK17" si="2">AI15*(1+AJ15)</f>
        <v>12.616734902893043</v>
      </c>
    </row>
    <row r="16" spans="2:37" x14ac:dyDescent="0.35">
      <c r="Z16" t="s">
        <v>22</v>
      </c>
      <c r="AA16">
        <v>150000</v>
      </c>
      <c r="AC16" t="s">
        <v>7</v>
      </c>
      <c r="AD16">
        <v>39</v>
      </c>
      <c r="AE16" s="2">
        <f>AD16/U14</f>
        <v>1.5535372848948374</v>
      </c>
      <c r="AF16" s="2">
        <f>AE16*X14</f>
        <v>5.592734225621415</v>
      </c>
      <c r="AG16" s="2">
        <f>AE16*Y14</f>
        <v>5592734.2256214144</v>
      </c>
      <c r="AH16" s="10"/>
      <c r="AI16" s="2">
        <f t="shared" si="1"/>
        <v>5.1699235181644356</v>
      </c>
      <c r="AJ16" s="11"/>
      <c r="AK16" s="1">
        <f t="shared" si="2"/>
        <v>5.1699235181644356</v>
      </c>
    </row>
    <row r="17" spans="24:50" x14ac:dyDescent="0.35">
      <c r="AC17" t="s">
        <v>23</v>
      </c>
      <c r="AE17">
        <v>12.72</v>
      </c>
      <c r="AF17">
        <f>AE17*X14</f>
        <v>45.792000000000002</v>
      </c>
      <c r="AH17" s="10"/>
      <c r="AI17" s="2">
        <f t="shared" si="1"/>
        <v>42.3301248</v>
      </c>
      <c r="AJ17" s="11"/>
      <c r="AK17" s="1">
        <f t="shared" si="2"/>
        <v>42.3301248</v>
      </c>
    </row>
    <row r="19" spans="24:50" x14ac:dyDescent="0.35">
      <c r="X19">
        <f>1/3.6</f>
        <v>0.27777777777777779</v>
      </c>
    </row>
    <row r="20" spans="24:50" x14ac:dyDescent="0.35">
      <c r="AI20" s="9" t="s">
        <v>40</v>
      </c>
      <c r="AJ20" s="9"/>
      <c r="AK20" s="9"/>
      <c r="AL20" s="9"/>
      <c r="AM20" s="9"/>
      <c r="AN20" s="9"/>
      <c r="AO20" s="9" t="s">
        <v>50</v>
      </c>
      <c r="AP20" s="9"/>
      <c r="AQ20" s="9"/>
      <c r="AR20" s="9"/>
      <c r="AS20" s="9"/>
      <c r="AT20" s="9" t="s">
        <v>51</v>
      </c>
      <c r="AU20" s="9"/>
      <c r="AV20" s="9"/>
      <c r="AW20" s="9"/>
      <c r="AX20" s="9"/>
    </row>
    <row r="21" spans="24:50" x14ac:dyDescent="0.35">
      <c r="AI21">
        <v>2025</v>
      </c>
      <c r="AJ21">
        <v>2030</v>
      </c>
      <c r="AK21">
        <v>2035</v>
      </c>
      <c r="AL21">
        <v>2040</v>
      </c>
      <c r="AM21">
        <v>2045</v>
      </c>
      <c r="AN21" s="15">
        <v>2050</v>
      </c>
      <c r="AO21">
        <v>2030</v>
      </c>
      <c r="AP21">
        <v>2035</v>
      </c>
      <c r="AQ21">
        <v>2040</v>
      </c>
      <c r="AR21">
        <v>2045</v>
      </c>
      <c r="AS21" s="15">
        <v>2050</v>
      </c>
      <c r="AT21">
        <v>2030</v>
      </c>
      <c r="AU21">
        <v>2035</v>
      </c>
      <c r="AV21">
        <v>2040</v>
      </c>
      <c r="AW21">
        <v>2045</v>
      </c>
      <c r="AX21">
        <v>2050</v>
      </c>
    </row>
    <row r="22" spans="24:50" x14ac:dyDescent="0.35">
      <c r="AH22" t="s">
        <v>37</v>
      </c>
      <c r="AI22" s="1">
        <v>36</v>
      </c>
      <c r="AJ22" s="1">
        <f>AI22+(($AJ$21-$AI$21)/($AK$21-$AI$21))*(AK22-AI22)</f>
        <v>28.25</v>
      </c>
      <c r="AK22">
        <v>20.5</v>
      </c>
      <c r="AL22">
        <f>$AK$22+((AL21-$AK$21)/($AN$21-$AK$21))*($AN$22-$AK$22)</f>
        <v>22.5</v>
      </c>
      <c r="AM22">
        <f>$AK$22+((AM21-$AK$21)/($AN$21-$AK$21))*($AN$22-$AK$22)</f>
        <v>24.5</v>
      </c>
      <c r="AN22" s="15">
        <v>26.5</v>
      </c>
      <c r="AO22" s="1">
        <f>AN22+(($AJ$21-$AI$21)/($AK$21-$AI$21))*(AP22-AN22)</f>
        <v>27.6</v>
      </c>
      <c r="AP22">
        <v>28.7</v>
      </c>
      <c r="AQ22" s="1">
        <f>$AP$22+((AQ21-$AP$21)/($AS$21-$AP$21))*($AS$22-$AP$22)</f>
        <v>30.266666666666666</v>
      </c>
      <c r="AR22" s="1">
        <f>$AP$22+((AR21-$AP$21)/($AS$21-$AP$21))*($AS$22-$AP$22)</f>
        <v>31.833333333333332</v>
      </c>
      <c r="AS22" s="15">
        <v>33.4</v>
      </c>
      <c r="AT22" s="1">
        <f>AI22+(($AJ$21-$AI$21)/($AK$21-$AI$21))*(AU22-AI22)</f>
        <v>24.6</v>
      </c>
      <c r="AU22">
        <v>13.2</v>
      </c>
      <c r="AV22" s="1">
        <f>$AU$22+((AV21-$AU$21)/($AX$21-$AU$21))*($AX$22-$AU$22)</f>
        <v>13</v>
      </c>
      <c r="AW22" s="1">
        <f>$AU$22+((AW21-$AU$21)/($AX$21-$AU$21))*($AX$22-$AU$22)</f>
        <v>12.799999999999999</v>
      </c>
      <c r="AX22">
        <v>12.6</v>
      </c>
    </row>
    <row r="23" spans="24:50" x14ac:dyDescent="0.35">
      <c r="AH23" t="s">
        <v>38</v>
      </c>
      <c r="AI23">
        <v>13.3</v>
      </c>
      <c r="AJ23" s="1">
        <f>AI23+(($AJ$21-$AI$21)/($AK$21-$AI$21))*(AK23-AI23)</f>
        <v>11.8</v>
      </c>
      <c r="AK23" s="1">
        <v>10.3</v>
      </c>
      <c r="AL23" s="1">
        <f>AK23+(($AL$21-$AK$21)/($AN$21-$AK$21))*(AN23-AK23)</f>
        <v>9.7666666666666675</v>
      </c>
      <c r="AM23" s="1">
        <f>AL23+(($AM$21-$AL$21)/($AN$21-$AL$21))*(AN23-AL23)</f>
        <v>9.2333333333333343</v>
      </c>
      <c r="AN23" s="15">
        <v>8.6999999999999993</v>
      </c>
      <c r="AO23" s="1">
        <f t="shared" ref="AO23:AO24" si="3">AN23+(($AJ$21-$AI$21)/($AK$21-$AI$21))*(AP23-AN23)</f>
        <v>10.45</v>
      </c>
      <c r="AP23">
        <v>12.2</v>
      </c>
      <c r="AQ23" s="1">
        <f>AP23+(($AQ$21-$AP$21)/($AS$21-$AP$21))*(AS23-AP23)</f>
        <v>11.766666666666666</v>
      </c>
      <c r="AR23" s="1">
        <f>AQ23+(($AQ$21-$AP$21)/($AS$21-$AP$21))*(AS23-AQ23)</f>
        <v>11.477777777777778</v>
      </c>
      <c r="AS23" s="15">
        <v>10.9</v>
      </c>
      <c r="AT23" s="1">
        <f t="shared" ref="AT23:AT24" si="4">AI23+(($AJ$21-$AI$21)/($AK$21-$AI$21))*(AU23-AI23)</f>
        <v>9.75</v>
      </c>
      <c r="AU23">
        <v>6.2</v>
      </c>
      <c r="AV23" s="1">
        <f>AU23+(($AQ$21-$AP$21)/($AS$21-$AP$21))*(AX23-AU23)</f>
        <v>5.8666666666666671</v>
      </c>
      <c r="AW23" s="1">
        <f>AV23+(($AQ$21-$AP$21)/($AS$21-$AP$21))*(AX23-AV23)</f>
        <v>5.6444444444444448</v>
      </c>
      <c r="AX23">
        <v>5.2</v>
      </c>
    </row>
    <row r="24" spans="24:50" x14ac:dyDescent="0.35">
      <c r="AH24" t="s">
        <v>39</v>
      </c>
      <c r="AI24">
        <v>43.9</v>
      </c>
      <c r="AJ24" s="1">
        <f>AI24+(($AJ$21-$AI$21)/($AK$21-$AI$21))*(AK24-AI24)</f>
        <v>44.2</v>
      </c>
      <c r="AK24">
        <v>44.5</v>
      </c>
      <c r="AL24" s="1">
        <f>AK24+(($AL$21-$AK$21)/($AN$21-$AK$21))*(AN24-AK24)</f>
        <v>43.766666666666666</v>
      </c>
      <c r="AM24" s="1">
        <f>AL24+(($AM$21-$AL$21)/($AN$21-$AL$21))*(AN24-AL24)</f>
        <v>43.033333333333331</v>
      </c>
      <c r="AN24" s="15">
        <v>42.3</v>
      </c>
      <c r="AO24" s="1">
        <f t="shared" si="3"/>
        <v>45.9</v>
      </c>
      <c r="AP24">
        <v>49.5</v>
      </c>
      <c r="AQ24" s="1">
        <f>AP24+(($AL$21-$AK$21)/($AN$21-$AK$21))*(AS24-AP24)</f>
        <v>52.666666666666664</v>
      </c>
      <c r="AR24" s="1">
        <f>AQ24+(($AL$21-$AK$21)/($AN$21-$AK$21))*(AS24-AQ24)</f>
        <v>54.777777777777779</v>
      </c>
      <c r="AS24" s="16">
        <v>59</v>
      </c>
      <c r="AT24" s="1">
        <f t="shared" si="4"/>
        <v>31.15</v>
      </c>
      <c r="AU24">
        <v>18.399999999999999</v>
      </c>
      <c r="AV24" s="1">
        <f>AU24+(($AL$21-$AK$21)/($AN$21-$AK$21))*(AX24-AU24)</f>
        <v>16.899999999999999</v>
      </c>
      <c r="AW24" s="1">
        <f>AV24+(($AL$21-$AK$21)/($AN$21-$AK$21))*(AX24-AV24)</f>
        <v>15.899999999999999</v>
      </c>
      <c r="AX24">
        <v>13.9</v>
      </c>
    </row>
  </sheetData>
  <mergeCells count="5">
    <mergeCell ref="AH14:AH17"/>
    <mergeCell ref="AJ14:AJ17"/>
    <mergeCell ref="AI20:AN20"/>
    <mergeCell ref="AO20:AS20"/>
    <mergeCell ref="AT20:AX20"/>
  </mergeCells>
  <pageMargins left="0.7" right="0.7" top="0.75" bottom="0.75" header="0.3" footer="0.3"/>
  <pageSetup paperSize="9" orientation="portrait" r:id="rId1"/>
  <ignoredErrors>
    <ignoredError sqref="AQ23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2026-09-01T12:16:42Z</dcterms:modified>
</cp:coreProperties>
</file>