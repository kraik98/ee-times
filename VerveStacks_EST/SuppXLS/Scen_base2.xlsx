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5008272B-93D8-4A79-8CED-29B9E58F6C4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2" l="1"/>
  <c r="F7" i="2"/>
  <c r="F8" i="2"/>
  <c r="F5" i="2"/>
  <c r="J6" i="2" l="1"/>
  <c r="K6" i="2" s="1"/>
  <c r="J5" i="2"/>
  <c r="K5" i="2" s="1"/>
  <c r="H8" i="2" l="1"/>
  <c r="I8" i="2" s="1"/>
  <c r="J8" i="2" s="1"/>
  <c r="K8" i="2" s="1"/>
  <c r="L8" i="2" s="1"/>
</calcChain>
</file>

<file path=xl/sharedStrings.xml><?xml version="1.0" encoding="utf-8"?>
<sst xmlns="http://schemas.openxmlformats.org/spreadsheetml/2006/main" count="27" uniqueCount="15">
  <si>
    <t>*</t>
  </si>
  <si>
    <t>USD25/kt</t>
  </si>
  <si>
    <t>co2net</t>
  </si>
  <si>
    <t>com_taxnet</t>
  </si>
  <si>
    <t>~TFM_INS-TS</t>
  </si>
  <si>
    <t>pset_co</t>
  </si>
  <si>
    <t>Gas</t>
  </si>
  <si>
    <t>Coal</t>
  </si>
  <si>
    <t>Oil</t>
  </si>
  <si>
    <t>Bioenergy</t>
  </si>
  <si>
    <t>TimeSlice</t>
  </si>
  <si>
    <t>LimType</t>
  </si>
  <si>
    <t>Attribute</t>
  </si>
  <si>
    <t>Commodity</t>
  </si>
  <si>
    <t>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</si>
</sst>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164" fontId="0" fillId="0" borderId="0" xfId="0" applyNumberFormat="1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0" fontId="0" fillId="4" borderId="0" xfId="0" applyFill="1"/>
  </cellXfs>
  <cellStyles count="2">
    <cellStyle name="Normal" xfId="0" builtinId="0"/>
    <cellStyle name="Normal 3" xfId="1" xr:uid="{E7721F1E-C9FA-44D3-ACD5-45203FA6460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L9"/>
  <sheetViews>
    <sheetView topLeftCell="A4" workbookViewId="0">
      <selection activeCell="J15" sqref="J15"/>
    </sheetView>
  </sheetViews>
  <sheetFormatPr defaultRowHeight="15" x14ac:dyDescent="0.25"/>
  <cols>
    <col min="2" max="2" width="12.42578125" bestFit="1" customWidth="1"/>
    <col min="4" max="4" width="11.42578125" bestFit="1" customWidth="1"/>
    <col min="12" max="12" width="11.28515625" bestFit="1" customWidth="1"/>
  </cols>
  <sheetData>
    <row r="6" spans="2:12" x14ac:dyDescent="0.25">
      <c r="B6" s="2" t="s">
        <v>4</v>
      </c>
      <c r="C6" s="3"/>
      <c r="D6" s="3"/>
      <c r="E6" s="3"/>
    </row>
    <row r="7" spans="2:12" ht="15.75" thickBot="1" x14ac:dyDescent="0.3">
      <c r="B7" s="4" t="s">
        <v>10</v>
      </c>
      <c r="C7" s="4" t="s">
        <v>11</v>
      </c>
      <c r="D7" s="4" t="s">
        <v>12</v>
      </c>
      <c r="E7" s="5">
        <v>2022</v>
      </c>
      <c r="F7" s="5">
        <v>2025</v>
      </c>
      <c r="G7" s="5">
        <v>2030</v>
      </c>
      <c r="H7" s="5">
        <v>2035</v>
      </c>
      <c r="I7" s="5">
        <v>2040</v>
      </c>
      <c r="J7" s="5">
        <v>2045</v>
      </c>
      <c r="K7" s="5">
        <v>2050</v>
      </c>
      <c r="L7" s="4" t="s">
        <v>13</v>
      </c>
    </row>
    <row r="8" spans="2:12" x14ac:dyDescent="0.25">
      <c r="B8" s="6" t="s">
        <v>0</v>
      </c>
      <c r="C8" s="6" t="s">
        <v>1</v>
      </c>
    </row>
    <row r="9" spans="2:12" x14ac:dyDescent="0.25">
      <c r="D9" t="s">
        <v>3</v>
      </c>
      <c r="E9">
        <v>0.08</v>
      </c>
      <c r="F9">
        <v>7.2599999999999998E-2</v>
      </c>
      <c r="G9">
        <v>0.15</v>
      </c>
      <c r="H9">
        <v>0.18</v>
      </c>
      <c r="I9">
        <v>0.20499999999999999</v>
      </c>
      <c r="J9">
        <v>0.23499999999999999</v>
      </c>
      <c r="K9">
        <v>0.25</v>
      </c>
      <c r="L9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0296-7955-4D55-8E7E-094E43148A2D}">
  <dimension ref="B3:M10"/>
  <sheetViews>
    <sheetView tabSelected="1" workbookViewId="0">
      <selection activeCell="L14" sqref="L14"/>
    </sheetView>
  </sheetViews>
  <sheetFormatPr defaultRowHeight="15" x14ac:dyDescent="0.25"/>
  <cols>
    <col min="1" max="1" width="9.85546875" customWidth="1"/>
    <col min="2" max="2" width="13.28515625" bestFit="1" customWidth="1"/>
    <col min="3" max="3" width="8.85546875" bestFit="1" customWidth="1"/>
    <col min="4" max="4" width="10" bestFit="1" customWidth="1"/>
    <col min="5" max="5" width="8.7109375" bestFit="1" customWidth="1"/>
    <col min="6" max="12" width="5" bestFit="1" customWidth="1"/>
    <col min="13" max="13" width="11.28515625" bestFit="1" customWidth="1"/>
  </cols>
  <sheetData>
    <row r="3" spans="2:13" x14ac:dyDescent="0.25">
      <c r="B3" s="2" t="s">
        <v>4</v>
      </c>
      <c r="C3" s="3"/>
      <c r="D3" s="3"/>
      <c r="E3" s="3"/>
    </row>
    <row r="4" spans="2:13" ht="15.75" thickBot="1" x14ac:dyDescent="0.3">
      <c r="B4" s="4" t="s">
        <v>10</v>
      </c>
      <c r="C4" s="4" t="s">
        <v>11</v>
      </c>
      <c r="D4" s="4" t="s">
        <v>5</v>
      </c>
      <c r="E4" s="4" t="s">
        <v>12</v>
      </c>
      <c r="F4" s="5">
        <v>2022</v>
      </c>
      <c r="G4" s="5">
        <v>2025</v>
      </c>
      <c r="H4" s="5">
        <v>2030</v>
      </c>
      <c r="I4" s="5">
        <v>2035</v>
      </c>
      <c r="J4" s="5">
        <v>2040</v>
      </c>
      <c r="K4" s="5">
        <v>2045</v>
      </c>
      <c r="L4" s="5">
        <v>2050</v>
      </c>
      <c r="M4" s="4" t="s">
        <v>13</v>
      </c>
    </row>
    <row r="5" spans="2:13" x14ac:dyDescent="0.25">
      <c r="D5" t="s">
        <v>6</v>
      </c>
      <c r="E5" t="s">
        <v>14</v>
      </c>
      <c r="F5" s="1">
        <f>G5*(1+0.01)</f>
        <v>35.496509410102867</v>
      </c>
      <c r="G5" s="1">
        <v>35.145058821884028</v>
      </c>
      <c r="H5" s="1">
        <v>34.442157645446351</v>
      </c>
      <c r="I5" s="1">
        <v>14.330994859409021</v>
      </c>
      <c r="J5" s="1">
        <f>I5-I5*0.03</f>
        <v>13.90106501362675</v>
      </c>
      <c r="K5" s="1">
        <f>J5-J5*0.03</f>
        <v>13.484033063217948</v>
      </c>
      <c r="L5" s="1">
        <v>13.648566532770493</v>
      </c>
      <c r="M5" t="s">
        <v>6</v>
      </c>
    </row>
    <row r="6" spans="2:13" x14ac:dyDescent="0.25">
      <c r="D6" t="s">
        <v>7</v>
      </c>
      <c r="E6" t="s">
        <v>14</v>
      </c>
      <c r="F6" s="1">
        <f t="shared" ref="F6:F8" si="0">G6*(1+0.01)</f>
        <v>97.330783938814534</v>
      </c>
      <c r="G6" s="1">
        <v>96.367112810707454</v>
      </c>
      <c r="H6" s="1">
        <v>64</v>
      </c>
      <c r="I6" s="1">
        <v>40.439770554493307</v>
      </c>
      <c r="J6" s="1">
        <f>I6-(I6*0.05)</f>
        <v>38.417782026768641</v>
      </c>
      <c r="K6" s="1">
        <f>J6-(J6*0.05)</f>
        <v>36.49689292543021</v>
      </c>
      <c r="L6" s="1">
        <v>33.556405353728486</v>
      </c>
      <c r="M6" t="s">
        <v>7</v>
      </c>
    </row>
    <row r="7" spans="2:13" x14ac:dyDescent="0.25">
      <c r="D7" t="s">
        <v>8</v>
      </c>
      <c r="E7" t="s">
        <v>14</v>
      </c>
      <c r="F7" s="1">
        <f t="shared" si="0"/>
        <v>46.935294117647068</v>
      </c>
      <c r="G7" s="1">
        <v>46.470588235294123</v>
      </c>
      <c r="H7" s="1">
        <v>35</v>
      </c>
      <c r="I7" s="1">
        <v>28.393881453154876</v>
      </c>
      <c r="J7" s="1">
        <v>25</v>
      </c>
      <c r="K7" s="1">
        <v>23</v>
      </c>
      <c r="L7" s="1">
        <v>21.510516252390055</v>
      </c>
      <c r="M7" t="s">
        <v>8</v>
      </c>
    </row>
    <row r="8" spans="2:13" x14ac:dyDescent="0.25">
      <c r="D8" t="s">
        <v>9</v>
      </c>
      <c r="E8" t="s">
        <v>14</v>
      </c>
      <c r="F8" s="1">
        <f t="shared" si="0"/>
        <v>46.249920000000003</v>
      </c>
      <c r="G8" s="1">
        <v>45.792000000000002</v>
      </c>
      <c r="H8" s="1">
        <f>G8-(G8*0.02)</f>
        <v>44.876159999999999</v>
      </c>
      <c r="I8" s="1">
        <f>H8-(H8*0.02)</f>
        <v>43.978636799999997</v>
      </c>
      <c r="J8" s="1">
        <f>I8-(I8*0.02)</f>
        <v>43.099064063999997</v>
      </c>
      <c r="K8" s="1">
        <f>J8-(J8*0.02)</f>
        <v>42.237082782719995</v>
      </c>
      <c r="L8" s="1">
        <f>K8+(K8*0.02)</f>
        <v>43.081824438374397</v>
      </c>
      <c r="M8" t="s">
        <v>9</v>
      </c>
    </row>
    <row r="10" spans="2:13" x14ac:dyDescent="0.25">
      <c r="C10" s="1"/>
      <c r="D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2026-05-28T12:13:49Z</dcterms:modified>
</cp:coreProperties>
</file>