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"/>
    </mc:Choice>
  </mc:AlternateContent>
  <xr:revisionPtr revIDLastSave="0" documentId="13_ncr:1_{969A6C3C-937B-4A71-9814-98F1272C2C7B}" xr6:coauthVersionLast="47" xr6:coauthVersionMax="47" xr10:uidLastSave="{00000000-0000-0000-0000-000000000000}"/>
  <bookViews>
    <workbookView xWindow="-38520" yWindow="-5220" windowWidth="38640" windowHeight="21120" activeTab="1" xr2:uid="{00000000-000D-0000-FFFF-FFFF00000000}"/>
  </bookViews>
  <sheets>
    <sheet name="Co2" sheetId="1" r:id="rId1"/>
    <sheet name="fuel_co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G5" i="2" s="1"/>
  <c r="F4" i="2"/>
  <c r="G4" i="2" s="1"/>
  <c r="D7" i="2" l="1"/>
  <c r="E7" i="2"/>
  <c r="F7" i="2" s="1"/>
  <c r="G7" i="2" s="1"/>
  <c r="H7" i="2" s="1"/>
</calcChain>
</file>

<file path=xl/sharedStrings.xml><?xml version="1.0" encoding="utf-8"?>
<sst xmlns="http://schemas.openxmlformats.org/spreadsheetml/2006/main" count="18" uniqueCount="13">
  <si>
    <t>commodity</t>
  </si>
  <si>
    <t>attribute</t>
  </si>
  <si>
    <t>*</t>
  </si>
  <si>
    <t>USD25/kt</t>
  </si>
  <si>
    <t>co2net</t>
  </si>
  <si>
    <t>com_taxnet</t>
  </si>
  <si>
    <t>~TFM_INS-TS</t>
  </si>
  <si>
    <t>~TFM_INS-TS: attribute=flo_cost</t>
  </si>
  <si>
    <t>pset_co</t>
  </si>
  <si>
    <t>Gas</t>
  </si>
  <si>
    <t>Coal</t>
  </si>
  <si>
    <t>Oil</t>
  </si>
  <si>
    <t>Bioenergy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</si>
</sst>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7"/>
  <sheetViews>
    <sheetView topLeftCell="A4" workbookViewId="0">
      <selection activeCell="O26" sqref="O26"/>
    </sheetView>
  </sheetViews>
  <sheetFormatPr defaultRowHeight="15" x14ac:dyDescent="0.25"/>
  <sheetData>
    <row r="4" spans="1:8" x14ac:dyDescent="0.25">
      <c r="A4" t="s">
        <v>6</v>
      </c>
    </row>
    <row r="5" spans="1:8" x14ac:dyDescent="0.25">
      <c r="A5" t="s">
        <v>0</v>
      </c>
      <c r="B5">
        <v>2025</v>
      </c>
      <c r="C5">
        <v>2030</v>
      </c>
      <c r="D5">
        <v>2035</v>
      </c>
      <c r="E5">
        <v>2040</v>
      </c>
      <c r="F5">
        <v>2045</v>
      </c>
      <c r="G5">
        <v>2050</v>
      </c>
      <c r="H5" t="s">
        <v>1</v>
      </c>
    </row>
    <row r="6" spans="1:8" x14ac:dyDescent="0.25">
      <c r="A6" t="s">
        <v>2</v>
      </c>
      <c r="B6" t="s">
        <v>3</v>
      </c>
    </row>
    <row r="7" spans="1:8" x14ac:dyDescent="0.25">
      <c r="A7" t="s">
        <v>4</v>
      </c>
      <c r="B7">
        <v>7.2599999999999998E-2</v>
      </c>
      <c r="C7">
        <v>0.1</v>
      </c>
      <c r="D7">
        <v>0.125</v>
      </c>
      <c r="E7">
        <v>0.16</v>
      </c>
      <c r="F7">
        <v>0.18</v>
      </c>
      <c r="G7">
        <v>0.2</v>
      </c>
      <c r="H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0296-7955-4D55-8E7E-094E43148A2D}">
  <dimension ref="A2:H10"/>
  <sheetViews>
    <sheetView tabSelected="1" workbookViewId="0">
      <selection activeCell="T11" sqref="T11"/>
    </sheetView>
  </sheetViews>
  <sheetFormatPr defaultRowHeight="15" x14ac:dyDescent="0.25"/>
  <cols>
    <col min="1" max="1" width="27.85546875" bestFit="1" customWidth="1"/>
  </cols>
  <sheetData>
    <row r="2" spans="1:8" x14ac:dyDescent="0.25">
      <c r="A2" t="s">
        <v>7</v>
      </c>
    </row>
    <row r="3" spans="1:8" x14ac:dyDescent="0.25">
      <c r="A3" t="s">
        <v>0</v>
      </c>
      <c r="B3" t="s">
        <v>8</v>
      </c>
      <c r="C3">
        <v>2025</v>
      </c>
      <c r="D3">
        <v>2030</v>
      </c>
      <c r="E3">
        <v>2035</v>
      </c>
      <c r="F3">
        <v>2040</v>
      </c>
      <c r="G3">
        <v>2045</v>
      </c>
      <c r="H3">
        <v>2050</v>
      </c>
    </row>
    <row r="4" spans="1:8" x14ac:dyDescent="0.25">
      <c r="A4" t="s">
        <v>9</v>
      </c>
      <c r="B4" t="s">
        <v>9</v>
      </c>
      <c r="C4" s="1">
        <v>35.145058821884028</v>
      </c>
      <c r="D4" s="1">
        <v>34.442157645446351</v>
      </c>
      <c r="E4" s="1">
        <v>14.330994859409021</v>
      </c>
      <c r="F4" s="1">
        <f>E4-E4*0.03</f>
        <v>13.90106501362675</v>
      </c>
      <c r="G4" s="1">
        <f>F4-F4*0.03</f>
        <v>13.484033063217948</v>
      </c>
      <c r="H4" s="1">
        <v>13.648566532770493</v>
      </c>
    </row>
    <row r="5" spans="1:8" x14ac:dyDescent="0.25">
      <c r="A5" t="s">
        <v>10</v>
      </c>
      <c r="B5" t="s">
        <v>10</v>
      </c>
      <c r="C5" s="1">
        <v>96.367112810707454</v>
      </c>
      <c r="D5" s="1">
        <v>64</v>
      </c>
      <c r="E5" s="1">
        <v>40.439770554493307</v>
      </c>
      <c r="F5" s="1">
        <f>E5-(E5*0.05)</f>
        <v>38.417782026768641</v>
      </c>
      <c r="G5" s="1">
        <f>F5-(F5*0.05)</f>
        <v>36.49689292543021</v>
      </c>
      <c r="H5" s="1">
        <v>33.556405353728486</v>
      </c>
    </row>
    <row r="6" spans="1:8" x14ac:dyDescent="0.25">
      <c r="A6" t="s">
        <v>11</v>
      </c>
      <c r="B6" t="s">
        <v>11</v>
      </c>
      <c r="C6" s="1">
        <v>46.470588235294123</v>
      </c>
      <c r="D6" s="1">
        <v>35</v>
      </c>
      <c r="E6" s="1">
        <v>28.393881453154876</v>
      </c>
      <c r="F6" s="1">
        <v>25</v>
      </c>
      <c r="G6" s="1">
        <v>23</v>
      </c>
      <c r="H6" s="1">
        <v>21.510516252390055</v>
      </c>
    </row>
    <row r="7" spans="1:8" x14ac:dyDescent="0.25">
      <c r="A7" t="s">
        <v>12</v>
      </c>
      <c r="B7" t="s">
        <v>12</v>
      </c>
      <c r="C7" s="1">
        <v>45.792000000000002</v>
      </c>
      <c r="D7" s="1">
        <f>C7-(C7*0.02)</f>
        <v>44.876159999999999</v>
      </c>
      <c r="E7" s="1">
        <f>D7-(D7*0.02)</f>
        <v>43.978636799999997</v>
      </c>
      <c r="F7" s="1">
        <f>E7-(E7*0.02)</f>
        <v>43.099064063999997</v>
      </c>
      <c r="G7" s="1">
        <f>F7-(F7*0.02)</f>
        <v>42.237082782719995</v>
      </c>
      <c r="H7" s="1">
        <f>G7+(G7*0.02)</f>
        <v>43.081824438374397</v>
      </c>
    </row>
    <row r="10" spans="1:8" x14ac:dyDescent="0.25">
      <c r="C10" s="1">
        <v>96.367112810707454</v>
      </c>
      <c r="D10" s="1">
        <v>96.367112810707454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Co2</vt:lpstr>
      <vt:lpstr>fuel_costs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2026-02-20T14:25:50Z</dcterms:modified>
</cp:coreProperties>
</file>