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C909134C-35B3-4AB6-AC34-051AD30D5DF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2" sheetId="1" r:id="rId1"/>
    <sheet name="fuel_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H4" i="2" s="1"/>
  <c r="I4" i="2" s="1"/>
  <c r="E5" i="2"/>
  <c r="F5" i="2" s="1"/>
  <c r="G5" i="2" s="1"/>
  <c r="H5" i="2" s="1"/>
  <c r="I5" i="2" s="1"/>
  <c r="E6" i="2"/>
  <c r="F6" i="2" s="1"/>
  <c r="G6" i="2" s="1"/>
  <c r="H6" i="2" s="1"/>
  <c r="I6" i="2" s="1"/>
  <c r="E7" i="2"/>
  <c r="F7" i="2"/>
  <c r="G7" i="2"/>
  <c r="H7" i="2" s="1"/>
  <c r="I7" i="2" s="1"/>
</calcChain>
</file>

<file path=xl/sharedStrings.xml><?xml version="1.0" encoding="utf-8"?>
<sst xmlns="http://schemas.openxmlformats.org/spreadsheetml/2006/main" count="18" uniqueCount="13">
  <si>
    <t>commodity</t>
  </si>
  <si>
    <t>attribute</t>
  </si>
  <si>
    <t>*</t>
  </si>
  <si>
    <t>USD25/kt</t>
  </si>
  <si>
    <t>co2net</t>
  </si>
  <si>
    <t>com_taxnet</t>
  </si>
  <si>
    <t>~TFM_INS-TS</t>
  </si>
  <si>
    <t>~TFM_INS-TS: attribute=flo_cost</t>
  </si>
  <si>
    <t>pset_co</t>
  </si>
  <si>
    <t>Gas</t>
  </si>
  <si>
    <t>Coal</t>
  </si>
  <si>
    <t>Oil</t>
  </si>
  <si>
    <t>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</si>
</sst>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I7"/>
  <sheetViews>
    <sheetView topLeftCell="A4" workbookViewId="0">
      <selection activeCell="D10" sqref="D10"/>
    </sheetView>
  </sheetViews>
  <sheetFormatPr defaultRowHeight="14.5" x14ac:dyDescent="0.35"/>
  <sheetData>
    <row r="4" spans="1:9" x14ac:dyDescent="0.35">
      <c r="A4" t="s">
        <v>6</v>
      </c>
    </row>
    <row r="5" spans="1:9" x14ac:dyDescent="0.35">
      <c r="A5" t="s">
        <v>0</v>
      </c>
      <c r="B5">
        <v>2022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1</v>
      </c>
    </row>
    <row r="6" spans="1:9" x14ac:dyDescent="0.35">
      <c r="A6" t="s">
        <v>2</v>
      </c>
      <c r="B6" t="s">
        <v>3</v>
      </c>
    </row>
    <row r="7" spans="1:9" x14ac:dyDescent="0.35">
      <c r="A7" t="s">
        <v>4</v>
      </c>
      <c r="B7">
        <v>8.6999999999999994E-2</v>
      </c>
      <c r="C7">
        <v>8.6999999999999994E-2</v>
      </c>
      <c r="D7">
        <v>0.15</v>
      </c>
      <c r="E7">
        <v>0.18</v>
      </c>
      <c r="F7">
        <v>0.20499999999999999</v>
      </c>
      <c r="G7">
        <v>0.23</v>
      </c>
      <c r="H7">
        <v>0.25</v>
      </c>
      <c r="I7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0296-7955-4D55-8E7E-094E43148A2D}">
  <dimension ref="A2:I10"/>
  <sheetViews>
    <sheetView tabSelected="1" workbookViewId="0">
      <selection activeCell="F10" sqref="F10"/>
    </sheetView>
  </sheetViews>
  <sheetFormatPr defaultRowHeight="14.5" x14ac:dyDescent="0.35"/>
  <cols>
    <col min="1" max="1" width="27.90625" bestFit="1" customWidth="1"/>
  </cols>
  <sheetData>
    <row r="2" spans="1:9" x14ac:dyDescent="0.35">
      <c r="A2" t="s">
        <v>7</v>
      </c>
    </row>
    <row r="3" spans="1:9" x14ac:dyDescent="0.35">
      <c r="A3" t="s">
        <v>0</v>
      </c>
      <c r="B3" t="s">
        <v>8</v>
      </c>
      <c r="C3">
        <v>2022</v>
      </c>
      <c r="D3">
        <v>2025</v>
      </c>
      <c r="E3">
        <v>2030</v>
      </c>
      <c r="F3">
        <v>2035</v>
      </c>
      <c r="G3">
        <v>2040</v>
      </c>
      <c r="H3">
        <v>2045</v>
      </c>
      <c r="I3">
        <v>2050</v>
      </c>
    </row>
    <row r="4" spans="1:9" x14ac:dyDescent="0.35">
      <c r="A4" t="s">
        <v>9</v>
      </c>
      <c r="B4" t="s">
        <v>9</v>
      </c>
      <c r="C4" s="1">
        <v>35.145058821884028</v>
      </c>
      <c r="D4" s="1">
        <v>35.145058821884028</v>
      </c>
      <c r="E4" s="1">
        <v>34.442157645446351</v>
      </c>
      <c r="F4" s="1">
        <v>33.75331449253742</v>
      </c>
      <c r="G4" s="1">
        <f>F4+F4*0.03</f>
        <v>34.765913927313541</v>
      </c>
      <c r="H4" s="1">
        <f>G4+G4*0.03</f>
        <v>35.808891345132949</v>
      </c>
      <c r="I4" s="1">
        <f>H4+H4*0.03</f>
        <v>36.88315808548694</v>
      </c>
    </row>
    <row r="5" spans="1:9" x14ac:dyDescent="0.35">
      <c r="A5" t="s">
        <v>10</v>
      </c>
      <c r="B5" t="s">
        <v>10</v>
      </c>
      <c r="C5">
        <v>60</v>
      </c>
      <c r="D5">
        <v>60</v>
      </c>
      <c r="E5" s="1">
        <f>D10+(D10*0.03)</f>
        <v>99.25812619502868</v>
      </c>
      <c r="F5" s="1">
        <f t="shared" ref="E5:I6" si="0">E5+(E5*0.03)</f>
        <v>102.23586998087954</v>
      </c>
      <c r="G5" s="1">
        <f t="shared" si="0"/>
        <v>105.30294608030593</v>
      </c>
      <c r="H5" s="1">
        <f t="shared" si="0"/>
        <v>108.46203446271511</v>
      </c>
      <c r="I5" s="1">
        <f t="shared" si="0"/>
        <v>111.71589549659656</v>
      </c>
    </row>
    <row r="6" spans="1:9" x14ac:dyDescent="0.35">
      <c r="A6" t="s">
        <v>11</v>
      </c>
      <c r="B6" t="s">
        <v>11</v>
      </c>
      <c r="C6" s="1">
        <v>46.470588235294123</v>
      </c>
      <c r="D6" s="1">
        <v>46.470588235294123</v>
      </c>
      <c r="E6" s="1">
        <f t="shared" si="0"/>
        <v>47.864705882352943</v>
      </c>
      <c r="F6" s="1">
        <f t="shared" si="0"/>
        <v>49.300647058823529</v>
      </c>
      <c r="G6" s="1">
        <f t="shared" si="0"/>
        <v>50.779666470588232</v>
      </c>
      <c r="H6" s="1">
        <f t="shared" si="0"/>
        <v>52.303056464705882</v>
      </c>
      <c r="I6" s="1">
        <f t="shared" si="0"/>
        <v>53.872148158647057</v>
      </c>
    </row>
    <row r="7" spans="1:9" x14ac:dyDescent="0.35">
      <c r="A7" t="s">
        <v>12</v>
      </c>
      <c r="B7" t="s">
        <v>12</v>
      </c>
      <c r="C7" s="1">
        <v>45.792000000000002</v>
      </c>
      <c r="D7" s="1">
        <v>45.792000000000002</v>
      </c>
      <c r="E7" s="1">
        <f>D7-(D7*0.02)</f>
        <v>44.876159999999999</v>
      </c>
      <c r="F7" s="1">
        <f>E7-(E7*0.02)</f>
        <v>43.978636799999997</v>
      </c>
      <c r="G7" s="1">
        <f>F7-(F7*0.02)</f>
        <v>43.099064063999997</v>
      </c>
      <c r="H7" s="1">
        <f>G7-(G7*0.02)</f>
        <v>42.237082782719995</v>
      </c>
      <c r="I7" s="1">
        <f>H7+(H7*0.02)</f>
        <v>43.081824438374397</v>
      </c>
    </row>
    <row r="10" spans="1:9" x14ac:dyDescent="0.35">
      <c r="C10" s="1">
        <v>96.367112810707454</v>
      </c>
      <c r="D10" s="1">
        <v>96.367112810707454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2026-02-19T11:25:44Z</dcterms:modified>
</cp:coreProperties>
</file>