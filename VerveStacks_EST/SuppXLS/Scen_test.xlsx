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B150B749-CB3D-49D9-A5F6-CE301B690957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Demand" sheetId="1" r:id="rId1"/>
    <sheet name="timeslices" sheetId="4" r:id="rId2"/>
    <sheet name="trade" sheetId="2" r:id="rId3"/>
    <sheet name="fuel_cos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D18" i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tc={AFB77902-2BF7-4C69-9161-7580EA129EA2}</author>
    <author>tc={9DF122A9-B9D7-4483-8432-EA1928D70201}</author>
  </authors>
  <commentList>
    <comment ref="S4" authorId="0" shapeId="0" xr:uid="{AFB77902-2BF7-4C69-9161-7580EA129E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Suvaline arv
</t>
      </text>
    </comment>
    <comment ref="T4" authorId="1" shapeId="0" xr:uid="{9DF122A9-B9D7-4483-8432-EA1928D70201}">
      <text>
        <t>[Threaded comment]
Your version of Excel allows you to read this threaded comment; however, any edits to it will get removed if the file is opened in a newer version of Excel. Learn more: https://go.microsoft.com/fwlink/?linkid=870924
Comment:
    Suvaline arv</t>
      </text>
    </comment>
  </commentList>
</comments>
</file>

<file path=xl/sharedStrings.xml><?xml version="1.0" encoding="utf-8"?>
<sst xmlns="http://schemas.openxmlformats.org/spreadsheetml/2006/main" count="216" uniqueCount="91">
  <si>
    <t>~TFM_INS-TS</t>
  </si>
  <si>
    <t>commodity</t>
  </si>
  <si>
    <t>attribute</t>
  </si>
  <si>
    <t>hydrogen_allsect</t>
  </si>
  <si>
    <t>demand</t>
  </si>
  <si>
    <t>elc_industry</t>
  </si>
  <si>
    <t>elc_buildings</t>
  </si>
  <si>
    <t>elc_transport</t>
  </si>
  <si>
    <t>elc_roadtransport</t>
  </si>
  <si>
    <t>*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</si>
  <si>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</si>
  <si>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</si>
  <si>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</si>
  <si>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</si>
  <si>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</si>
  <si>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</si>
  <si>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</si>
  <si>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</si>
  <si>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~TFM_INS-TS: attribute=flo_cost</t>
  </si>
  <si>
    <t>pset_co</t>
  </si>
  <si>
    <t>Gas</t>
  </si>
  <si>
    <t>Coal</t>
  </si>
  <si>
    <t>Oil</t>
  </si>
  <si>
    <t>Bioenergy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</si>
  <si>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</si>
  <si>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</si>
  <si>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</si>
  <si>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</si>
  <si>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</si>
  <si>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</si>
  <si>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</si>
  <si>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</si>
  <si>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timeslice</t>
  </si>
  <si>
    <t>com_fr</t>
  </si>
  <si>
    <t>g_yrfr</t>
  </si>
  <si>
    <t>com_pkflx</t>
  </si>
  <si>
    <t>Year</t>
  </si>
  <si>
    <t>ncap_afs</t>
  </si>
  <si>
    <t>pset_ci</t>
  </si>
  <si>
    <t>AllS</t>
  </si>
  <si>
    <t>a</t>
  </si>
  <si>
    <t>AllH</t>
  </si>
  <si>
    <t>elc_spv_001</t>
  </si>
  <si>
    <t>AllSaAllH</t>
  </si>
  <si>
    <t>IMPNRGZ</t>
  </si>
  <si>
    <t>elc_won_001</t>
  </si>
  <si>
    <t>elc_wof_001</t>
  </si>
  <si>
    <t>ELC</t>
  </si>
  <si>
    <t>hydro</t>
  </si>
  <si>
    <t>elc_spv_002</t>
  </si>
  <si>
    <t>elc_won_002</t>
  </si>
  <si>
    <t>elc_wof_002</t>
  </si>
  <si>
    <t>elc_spv_003</t>
  </si>
  <si>
    <t>elc_won_003</t>
  </si>
  <si>
    <t>elc_wof_003</t>
  </si>
  <si>
    <t>elc_spv_004</t>
  </si>
  <si>
    <t>elc_won_004</t>
  </si>
  <si>
    <t>elc_wof_004</t>
  </si>
  <si>
    <t>elc_spv_005</t>
  </si>
  <si>
    <t>elc_won_005</t>
  </si>
  <si>
    <t>elc_wof_005</t>
  </si>
  <si>
    <t>elc_spv_006</t>
  </si>
  <si>
    <t>elc_won_006</t>
  </si>
  <si>
    <t>elc_wof_006</t>
  </si>
  <si>
    <t>elc_spv_007</t>
  </si>
  <si>
    <t>elc_won_007</t>
  </si>
  <si>
    <t>elc_wof_007</t>
  </si>
  <si>
    <t>elc_spv_008</t>
  </si>
  <si>
    <t>elc_won_008</t>
  </si>
  <si>
    <t>elc_wof_008</t>
  </si>
  <si>
    <t>elc_spv_009</t>
  </si>
  <si>
    <t>elc_won_009</t>
  </si>
  <si>
    <t>elc_wof_009</t>
  </si>
  <si>
    <t>elc_spv_010</t>
  </si>
  <si>
    <t>elc_won_010</t>
  </si>
  <si>
    <t>elc_wof_010</t>
  </si>
  <si>
    <t>~TimeSlices</t>
  </si>
  <si>
    <t>~TFM_DINS-AT</t>
  </si>
  <si>
    <t>~TFM_INS-AT</t>
  </si>
  <si>
    <t>VKA TARBIMISE PROGNOOS</t>
  </si>
  <si>
    <t>elc_commercial</t>
  </si>
  <si>
    <t>€/GJ</t>
  </si>
  <si>
    <t>~TFM_INS</t>
  </si>
  <si>
    <t>cset_cn</t>
  </si>
  <si>
    <t>other_indexes</t>
  </si>
  <si>
    <t>value</t>
  </si>
  <si>
    <t>VDA_EMCB</t>
  </si>
  <si>
    <t>coal</t>
  </si>
  <si>
    <t>CO2</t>
  </si>
  <si>
    <t>gas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</si>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</sst>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istopher Raik" id="{D890C80A-6FD1-44D2-9FEA-B2886A57E3E3}" userId="S::krraik@taltech.ee::b956339b-354b-46f9-8dd3-3584d8dbf76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4" dT="2026-02-09T15:03:46.65" personId="{D890C80A-6FD1-44D2-9FEA-B2886A57E3E3}" id="{AFB77902-2BF7-4C69-9161-7580EA129EA2}">
    <text xml:space="preserve">Suvaline arv
</text>
  </threadedComment>
  <threadedComment ref="T4" dT="2026-02-09T15:03:55.28" personId="{D890C80A-6FD1-44D2-9FEA-B2886A57E3E3}" id="{9DF122A9-B9D7-4483-8432-EA1928D70201}">
    <text>Suvaline arv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27"/>
  <sheetViews>
    <sheetView tabSelected="1" topLeftCell="A8" workbookViewId="0">
      <selection activeCell="F21" sqref="F21"/>
    </sheetView>
  </sheetViews>
  <sheetFormatPr defaultRowHeight="15" x14ac:dyDescent="0.25"/>
  <cols>
    <col min="2" max="2" width="16.85546875" bestFit="1" customWidth="1"/>
    <col min="3" max="3" width="8" bestFit="1" customWidth="1"/>
    <col min="4" max="4" width="9" bestFit="1" customWidth="1"/>
    <col min="5" max="5" width="8" bestFit="1" customWidth="1"/>
  </cols>
  <sheetData>
    <row r="3" spans="2:20" x14ac:dyDescent="0.25">
      <c r="N3" t="s">
        <v>79</v>
      </c>
    </row>
    <row r="4" spans="2:20" x14ac:dyDescent="0.25">
      <c r="B4" t="s">
        <v>0</v>
      </c>
      <c r="N4">
        <v>2022</v>
      </c>
      <c r="O4">
        <v>2025</v>
      </c>
      <c r="P4">
        <v>2030</v>
      </c>
      <c r="Q4">
        <v>2035</v>
      </c>
      <c r="R4">
        <v>2040</v>
      </c>
      <c r="S4">
        <v>2045</v>
      </c>
      <c r="T4">
        <v>2050</v>
      </c>
    </row>
    <row r="5" spans="2:20" x14ac:dyDescent="0.25">
      <c r="B5" t="s">
        <v>1</v>
      </c>
      <c r="C5">
        <v>2022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  <c r="J5" t="s">
        <v>2</v>
      </c>
      <c r="N5">
        <v>8.5</v>
      </c>
      <c r="O5">
        <v>8.6999999999999993</v>
      </c>
      <c r="P5">
        <v>10.4</v>
      </c>
      <c r="Q5">
        <v>12.2</v>
      </c>
      <c r="R5">
        <v>14.2</v>
      </c>
      <c r="S5">
        <v>15</v>
      </c>
      <c r="T5">
        <v>16</v>
      </c>
    </row>
    <row r="6" spans="2:20" x14ac:dyDescent="0.25">
      <c r="B6" t="s">
        <v>80</v>
      </c>
      <c r="C6">
        <v>2.9033099999999998</v>
      </c>
      <c r="D6">
        <v>3.3980000000000001</v>
      </c>
      <c r="E6">
        <v>3.57</v>
      </c>
      <c r="F6">
        <v>3.9750000000000001</v>
      </c>
      <c r="G6">
        <v>4.3120000000000003</v>
      </c>
      <c r="H6">
        <v>4.5830000000000002</v>
      </c>
      <c r="I6">
        <v>4.798</v>
      </c>
      <c r="J6" t="s">
        <v>4</v>
      </c>
    </row>
    <row r="7" spans="2:20" x14ac:dyDescent="0.25">
      <c r="B7" t="s">
        <v>5</v>
      </c>
      <c r="C7">
        <v>2.0885600000000002</v>
      </c>
      <c r="D7">
        <v>2.6019999999999999</v>
      </c>
      <c r="E7">
        <v>2.6349999999999998</v>
      </c>
      <c r="F7">
        <v>2.657</v>
      </c>
      <c r="G7">
        <v>2.806</v>
      </c>
      <c r="H7">
        <v>3.008</v>
      </c>
      <c r="I7">
        <v>3.306</v>
      </c>
      <c r="J7" t="s">
        <v>4</v>
      </c>
    </row>
    <row r="8" spans="2:20" x14ac:dyDescent="0.25">
      <c r="B8" t="s">
        <v>6</v>
      </c>
      <c r="C8">
        <v>1.96688</v>
      </c>
      <c r="D8">
        <v>2.1909999999999998</v>
      </c>
      <c r="E8">
        <v>2.3180000000000001</v>
      </c>
      <c r="F8">
        <v>2.5470000000000002</v>
      </c>
      <c r="G8">
        <v>2.7719999999999998</v>
      </c>
      <c r="H8">
        <v>2.9969999999999999</v>
      </c>
      <c r="I8">
        <v>3.206</v>
      </c>
      <c r="J8" t="s">
        <v>4</v>
      </c>
    </row>
    <row r="9" spans="2:20" x14ac:dyDescent="0.25">
      <c r="B9" t="s">
        <v>7</v>
      </c>
      <c r="C9">
        <v>3.5150000000000001E-2</v>
      </c>
      <c r="D9">
        <v>0.28100000000000003</v>
      </c>
      <c r="E9">
        <v>0.58599999999999997</v>
      </c>
      <c r="F9">
        <v>1.095</v>
      </c>
      <c r="G9">
        <v>1.4690000000000001</v>
      </c>
      <c r="H9">
        <v>2.3660000000000001</v>
      </c>
      <c r="I9">
        <v>3.2690000000000001</v>
      </c>
      <c r="J9" t="s">
        <v>4</v>
      </c>
    </row>
    <row r="12" spans="2:20" x14ac:dyDescent="0.25">
      <c r="B12" t="s">
        <v>9</v>
      </c>
    </row>
    <row r="13" spans="2:20" x14ac:dyDescent="0.25">
      <c r="B13" t="s">
        <v>8</v>
      </c>
      <c r="C13">
        <v>9.950000000000081E-2</v>
      </c>
      <c r="D13">
        <v>0.43282499999999935</v>
      </c>
      <c r="E13">
        <v>0.8755999999999986</v>
      </c>
      <c r="F13">
        <v>1.5402599999999982</v>
      </c>
      <c r="G13">
        <v>2.3064099999999979</v>
      </c>
      <c r="H13">
        <v>2.3123799999999974</v>
      </c>
      <c r="I13">
        <v>2.5670999999999964</v>
      </c>
      <c r="J13" t="s">
        <v>4</v>
      </c>
    </row>
    <row r="14" spans="2:20" x14ac:dyDescent="0.25">
      <c r="B14" t="s">
        <v>3</v>
      </c>
      <c r="C14">
        <v>0</v>
      </c>
      <c r="D14">
        <v>0</v>
      </c>
      <c r="E14">
        <v>0</v>
      </c>
      <c r="F14">
        <v>0.13133999999999996</v>
      </c>
      <c r="G14">
        <v>0.30645999999999995</v>
      </c>
      <c r="H14">
        <v>0.32635999999999987</v>
      </c>
      <c r="I14">
        <v>0.76415999999999984</v>
      </c>
      <c r="J14" t="s">
        <v>4</v>
      </c>
    </row>
    <row r="17" spans="2:10" x14ac:dyDescent="0.25">
      <c r="B17" t="s">
        <v>0</v>
      </c>
    </row>
    <row r="18" spans="2:10" x14ac:dyDescent="0.25">
      <c r="B18" t="s">
        <v>10</v>
      </c>
      <c r="C18">
        <f>C21/1000</f>
        <v>0.08</v>
      </c>
      <c r="D18">
        <f>D21/1000</f>
        <v>7.4999999999999997E-2</v>
      </c>
      <c r="E18">
        <f>E21/1000</f>
        <v>0.09</v>
      </c>
      <c r="F18">
        <v>0.15481999999999999</v>
      </c>
      <c r="G18">
        <v>0.17208999999999999</v>
      </c>
      <c r="H18">
        <v>0.25386999999999998</v>
      </c>
      <c r="I18">
        <v>0.28502999999999995</v>
      </c>
      <c r="J18" t="s">
        <v>11</v>
      </c>
    </row>
    <row r="21" spans="2:10" x14ac:dyDescent="0.25">
      <c r="C21">
        <v>80</v>
      </c>
      <c r="D21">
        <v>75</v>
      </c>
      <c r="E21">
        <v>90</v>
      </c>
    </row>
    <row r="23" spans="2:10" x14ac:dyDescent="0.25">
      <c r="B23" t="s">
        <v>82</v>
      </c>
    </row>
    <row r="24" spans="2:10" x14ac:dyDescent="0.25">
      <c r="B24" t="s">
        <v>2</v>
      </c>
      <c r="C24" t="s">
        <v>83</v>
      </c>
      <c r="D24" t="s">
        <v>84</v>
      </c>
      <c r="E24" t="s">
        <v>85</v>
      </c>
      <c r="F24" t="s">
        <v>19</v>
      </c>
      <c r="G24" t="s">
        <v>12</v>
      </c>
    </row>
    <row r="25" spans="2:10" x14ac:dyDescent="0.25">
      <c r="B25" t="s">
        <v>86</v>
      </c>
      <c r="C25" t="s">
        <v>87</v>
      </c>
      <c r="D25" t="s">
        <v>88</v>
      </c>
      <c r="E25">
        <v>400</v>
      </c>
      <c r="J25">
        <v>338.40000000000003</v>
      </c>
    </row>
    <row r="26" spans="2:10" x14ac:dyDescent="0.25">
      <c r="B26" t="s">
        <v>86</v>
      </c>
      <c r="C26" t="s">
        <v>89</v>
      </c>
      <c r="D26" t="s">
        <v>88</v>
      </c>
      <c r="E26">
        <v>200</v>
      </c>
      <c r="J26">
        <v>198</v>
      </c>
    </row>
    <row r="27" spans="2:10" x14ac:dyDescent="0.25">
      <c r="B27" t="s">
        <v>86</v>
      </c>
      <c r="C27" t="s">
        <v>90</v>
      </c>
      <c r="D27" t="s">
        <v>88</v>
      </c>
      <c r="E27">
        <v>300</v>
      </c>
      <c r="J27">
        <v>252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4E1E-DC66-450D-AA2A-D1B01A72BCA4}">
  <dimension ref="A2:AL13"/>
  <sheetViews>
    <sheetView workbookViewId="0">
      <selection activeCell="E35" sqref="E35"/>
    </sheetView>
  </sheetViews>
  <sheetFormatPr defaultRowHeight="15" x14ac:dyDescent="0.25"/>
  <cols>
    <col min="7" max="7" width="14.140625" bestFit="1" customWidth="1"/>
    <col min="17" max="17" width="14.140625" bestFit="1" customWidth="1"/>
  </cols>
  <sheetData>
    <row r="2" spans="1:38" x14ac:dyDescent="0.25">
      <c r="A2" t="s">
        <v>76</v>
      </c>
      <c r="G2" t="s">
        <v>77</v>
      </c>
      <c r="L2" t="s">
        <v>77</v>
      </c>
      <c r="Q2" t="s">
        <v>77</v>
      </c>
      <c r="V2" t="s">
        <v>77</v>
      </c>
      <c r="AA2" t="s">
        <v>77</v>
      </c>
      <c r="AE2" t="s">
        <v>77</v>
      </c>
      <c r="AI2" t="s">
        <v>78</v>
      </c>
    </row>
    <row r="3" spans="1:3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G3" t="s">
        <v>1</v>
      </c>
      <c r="H3" t="s">
        <v>32</v>
      </c>
      <c r="I3" t="s">
        <v>33</v>
      </c>
      <c r="J3" t="s">
        <v>12</v>
      </c>
      <c r="L3" t="s">
        <v>1</v>
      </c>
      <c r="M3" t="s">
        <v>32</v>
      </c>
      <c r="N3" t="s">
        <v>33</v>
      </c>
      <c r="O3" t="s">
        <v>12</v>
      </c>
      <c r="Q3" t="s">
        <v>1</v>
      </c>
      <c r="R3" t="s">
        <v>32</v>
      </c>
      <c r="S3" t="s">
        <v>33</v>
      </c>
      <c r="T3" t="s">
        <v>12</v>
      </c>
      <c r="V3" t="s">
        <v>34</v>
      </c>
      <c r="W3" t="s">
        <v>33</v>
      </c>
      <c r="X3" t="s">
        <v>32</v>
      </c>
      <c r="Y3" t="s">
        <v>1</v>
      </c>
      <c r="AA3" t="s">
        <v>1</v>
      </c>
      <c r="AB3" t="s">
        <v>32</v>
      </c>
      <c r="AC3" t="s">
        <v>33</v>
      </c>
      <c r="AE3" t="s">
        <v>1</v>
      </c>
      <c r="AF3" t="s">
        <v>32</v>
      </c>
      <c r="AG3" t="s">
        <v>35</v>
      </c>
      <c r="AI3" t="s">
        <v>36</v>
      </c>
      <c r="AJ3" t="s">
        <v>32</v>
      </c>
      <c r="AK3" t="s">
        <v>37</v>
      </c>
      <c r="AL3" t="s">
        <v>38</v>
      </c>
    </row>
    <row r="4" spans="1:38" x14ac:dyDescent="0.25">
      <c r="A4" t="s">
        <v>39</v>
      </c>
      <c r="B4" t="s">
        <v>40</v>
      </c>
      <c r="C4" t="s">
        <v>41</v>
      </c>
      <c r="D4" t="s">
        <v>39</v>
      </c>
      <c r="E4" t="s">
        <v>40</v>
      </c>
      <c r="G4" t="s">
        <v>42</v>
      </c>
      <c r="H4" t="s">
        <v>43</v>
      </c>
      <c r="I4">
        <v>1.0000000000000016</v>
      </c>
      <c r="J4" t="s">
        <v>44</v>
      </c>
      <c r="L4" t="s">
        <v>45</v>
      </c>
      <c r="M4" t="s">
        <v>43</v>
      </c>
      <c r="N4">
        <v>1.0000000000000044</v>
      </c>
      <c r="O4" t="s">
        <v>44</v>
      </c>
      <c r="Q4" t="s">
        <v>46</v>
      </c>
      <c r="R4" t="s">
        <v>43</v>
      </c>
      <c r="S4">
        <v>1.0000000000000016</v>
      </c>
      <c r="T4" t="s">
        <v>44</v>
      </c>
      <c r="V4">
        <v>1</v>
      </c>
      <c r="W4">
        <v>1.0000000000000002</v>
      </c>
      <c r="X4" t="s">
        <v>43</v>
      </c>
      <c r="Y4" t="s">
        <v>8</v>
      </c>
      <c r="AA4" t="s">
        <v>6</v>
      </c>
      <c r="AB4" t="s">
        <v>43</v>
      </c>
      <c r="AC4">
        <v>1</v>
      </c>
      <c r="AE4" t="s">
        <v>47</v>
      </c>
      <c r="AF4" t="s">
        <v>43</v>
      </c>
      <c r="AG4">
        <v>0.30209170858371315</v>
      </c>
      <c r="AI4">
        <v>2020</v>
      </c>
      <c r="AJ4" t="s">
        <v>39</v>
      </c>
      <c r="AK4">
        <v>0</v>
      </c>
      <c r="AL4" t="s">
        <v>48</v>
      </c>
    </row>
    <row r="5" spans="1:38" x14ac:dyDescent="0.25">
      <c r="G5" t="s">
        <v>49</v>
      </c>
      <c r="H5" t="s">
        <v>43</v>
      </c>
      <c r="I5">
        <v>1.0000000000000013</v>
      </c>
      <c r="J5" t="s">
        <v>44</v>
      </c>
      <c r="L5" t="s">
        <v>50</v>
      </c>
      <c r="M5" t="s">
        <v>43</v>
      </c>
      <c r="N5">
        <v>0.99999999999999956</v>
      </c>
      <c r="O5" t="s">
        <v>44</v>
      </c>
      <c r="Q5" t="s">
        <v>51</v>
      </c>
      <c r="R5" t="s">
        <v>43</v>
      </c>
      <c r="S5">
        <v>0.99999999999999722</v>
      </c>
      <c r="T5" t="s">
        <v>44</v>
      </c>
      <c r="AA5" t="s">
        <v>5</v>
      </c>
      <c r="AB5" t="s">
        <v>43</v>
      </c>
      <c r="AC5">
        <v>1</v>
      </c>
      <c r="AI5">
        <v>2021</v>
      </c>
      <c r="AJ5" t="s">
        <v>39</v>
      </c>
      <c r="AK5">
        <v>0</v>
      </c>
      <c r="AL5" t="s">
        <v>48</v>
      </c>
    </row>
    <row r="6" spans="1:38" x14ac:dyDescent="0.25">
      <c r="G6" t="s">
        <v>52</v>
      </c>
      <c r="H6" t="s">
        <v>43</v>
      </c>
      <c r="I6">
        <v>0.99999999999999933</v>
      </c>
      <c r="J6" t="s">
        <v>44</v>
      </c>
      <c r="L6" t="s">
        <v>53</v>
      </c>
      <c r="M6" t="s">
        <v>43</v>
      </c>
      <c r="N6">
        <v>1.0000000000000013</v>
      </c>
      <c r="O6" t="s">
        <v>44</v>
      </c>
      <c r="Q6" t="s">
        <v>54</v>
      </c>
      <c r="R6" t="s">
        <v>43</v>
      </c>
      <c r="S6">
        <v>0.99999999999999867</v>
      </c>
      <c r="T6" t="s">
        <v>44</v>
      </c>
      <c r="AI6">
        <v>2022</v>
      </c>
      <c r="AJ6" t="s">
        <v>39</v>
      </c>
      <c r="AK6">
        <v>0</v>
      </c>
      <c r="AL6" t="s">
        <v>48</v>
      </c>
    </row>
    <row r="7" spans="1:38" x14ac:dyDescent="0.25">
      <c r="G7" t="s">
        <v>55</v>
      </c>
      <c r="H7" t="s">
        <v>43</v>
      </c>
      <c r="I7">
        <v>0.99999999999999745</v>
      </c>
      <c r="J7" t="s">
        <v>44</v>
      </c>
      <c r="L7" t="s">
        <v>56</v>
      </c>
      <c r="M7" t="s">
        <v>43</v>
      </c>
      <c r="N7">
        <v>0.99999999999999956</v>
      </c>
      <c r="O7" t="s">
        <v>44</v>
      </c>
      <c r="Q7" t="s">
        <v>57</v>
      </c>
      <c r="R7" t="s">
        <v>43</v>
      </c>
      <c r="S7">
        <v>0.99999999999999445</v>
      </c>
      <c r="T7" t="s">
        <v>44</v>
      </c>
    </row>
    <row r="8" spans="1:38" x14ac:dyDescent="0.25">
      <c r="G8" t="s">
        <v>58</v>
      </c>
      <c r="H8" t="s">
        <v>43</v>
      </c>
      <c r="I8">
        <v>0.99999999999999922</v>
      </c>
      <c r="J8" t="s">
        <v>44</v>
      </c>
      <c r="L8" t="s">
        <v>59</v>
      </c>
      <c r="M8" t="s">
        <v>43</v>
      </c>
      <c r="N8">
        <v>1.0000000000000027</v>
      </c>
      <c r="O8" t="s">
        <v>44</v>
      </c>
      <c r="Q8" t="s">
        <v>60</v>
      </c>
      <c r="R8" t="s">
        <v>43</v>
      </c>
      <c r="S8">
        <v>0.99999999999999867</v>
      </c>
      <c r="T8" t="s">
        <v>44</v>
      </c>
    </row>
    <row r="9" spans="1:38" x14ac:dyDescent="0.25">
      <c r="G9" t="s">
        <v>61</v>
      </c>
      <c r="H9" t="s">
        <v>43</v>
      </c>
      <c r="I9">
        <v>1</v>
      </c>
      <c r="J9" t="s">
        <v>44</v>
      </c>
      <c r="L9" t="s">
        <v>62</v>
      </c>
      <c r="M9" t="s">
        <v>43</v>
      </c>
      <c r="N9">
        <v>1.0000000000000018</v>
      </c>
      <c r="O9" t="s">
        <v>44</v>
      </c>
      <c r="Q9" t="s">
        <v>63</v>
      </c>
      <c r="R9" t="s">
        <v>43</v>
      </c>
      <c r="S9">
        <v>1.0000000000000016</v>
      </c>
      <c r="T9" t="s">
        <v>44</v>
      </c>
    </row>
    <row r="10" spans="1:38" x14ac:dyDescent="0.25">
      <c r="G10" t="s">
        <v>64</v>
      </c>
      <c r="H10" t="s">
        <v>43</v>
      </c>
      <c r="I10">
        <v>0.99999999999999856</v>
      </c>
      <c r="J10" t="s">
        <v>44</v>
      </c>
      <c r="L10" t="s">
        <v>65</v>
      </c>
      <c r="M10" t="s">
        <v>43</v>
      </c>
      <c r="N10">
        <v>0.99999999999999911</v>
      </c>
      <c r="O10" t="s">
        <v>44</v>
      </c>
      <c r="Q10" t="s">
        <v>66</v>
      </c>
      <c r="R10" t="s">
        <v>43</v>
      </c>
      <c r="S10">
        <v>1.0000000000000013</v>
      </c>
      <c r="T10" t="s">
        <v>44</v>
      </c>
    </row>
    <row r="11" spans="1:38" x14ac:dyDescent="0.25">
      <c r="G11" t="s">
        <v>67</v>
      </c>
      <c r="H11" t="s">
        <v>43</v>
      </c>
      <c r="I11">
        <v>1.0000000000000016</v>
      </c>
      <c r="J11" t="s">
        <v>44</v>
      </c>
      <c r="L11" t="s">
        <v>68</v>
      </c>
      <c r="M11" t="s">
        <v>43</v>
      </c>
      <c r="N11">
        <v>1.0000000000000018</v>
      </c>
      <c r="O11" t="s">
        <v>44</v>
      </c>
      <c r="Q11" t="s">
        <v>69</v>
      </c>
      <c r="R11" t="s">
        <v>43</v>
      </c>
      <c r="S11">
        <v>0.99999999999999856</v>
      </c>
      <c r="T11" t="s">
        <v>44</v>
      </c>
    </row>
    <row r="12" spans="1:38" x14ac:dyDescent="0.25">
      <c r="G12" t="s">
        <v>70</v>
      </c>
      <c r="H12" t="s">
        <v>43</v>
      </c>
      <c r="I12">
        <v>0.99999999999999789</v>
      </c>
      <c r="J12" t="s">
        <v>44</v>
      </c>
      <c r="L12" t="s">
        <v>71</v>
      </c>
      <c r="M12" t="s">
        <v>43</v>
      </c>
      <c r="N12">
        <v>0.99999999999999789</v>
      </c>
      <c r="O12" t="s">
        <v>44</v>
      </c>
      <c r="Q12" t="s">
        <v>72</v>
      </c>
      <c r="R12" t="s">
        <v>43</v>
      </c>
      <c r="S12">
        <v>0.99999999999999967</v>
      </c>
      <c r="T12" t="s">
        <v>44</v>
      </c>
    </row>
    <row r="13" spans="1:38" x14ac:dyDescent="0.25">
      <c r="G13" t="s">
        <v>73</v>
      </c>
      <c r="H13" t="s">
        <v>43</v>
      </c>
      <c r="I13">
        <v>0.99999999999999745</v>
      </c>
      <c r="J13" t="s">
        <v>44</v>
      </c>
      <c r="L13" t="s">
        <v>74</v>
      </c>
      <c r="M13" t="s">
        <v>43</v>
      </c>
      <c r="N13">
        <v>1.0000000000000004</v>
      </c>
      <c r="O13" t="s">
        <v>44</v>
      </c>
      <c r="Q13" t="s">
        <v>75</v>
      </c>
      <c r="R13" t="s">
        <v>43</v>
      </c>
      <c r="S13">
        <v>1.0000000000000004</v>
      </c>
      <c r="T13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73AE-84FA-4F18-8D18-B7F3EC5B3273}">
  <dimension ref="B4:K14"/>
  <sheetViews>
    <sheetView workbookViewId="0">
      <selection activeCell="I16" sqref="I16"/>
    </sheetView>
  </sheetViews>
  <sheetFormatPr defaultRowHeight="15" x14ac:dyDescent="0.25"/>
  <cols>
    <col min="2" max="2" width="20.42578125" bestFit="1" customWidth="1"/>
  </cols>
  <sheetData>
    <row r="4" spans="2:11" x14ac:dyDescent="0.25">
      <c r="B4" t="s">
        <v>0</v>
      </c>
    </row>
    <row r="5" spans="2:11" x14ac:dyDescent="0.25">
      <c r="B5" t="s">
        <v>12</v>
      </c>
      <c r="C5">
        <v>2022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  <c r="J5" t="s">
        <v>2</v>
      </c>
      <c r="K5" t="s">
        <v>13</v>
      </c>
    </row>
    <row r="6" spans="2:11" x14ac:dyDescent="0.25">
      <c r="B6" t="s">
        <v>14</v>
      </c>
      <c r="C6">
        <v>7.18</v>
      </c>
      <c r="J6" t="s">
        <v>15</v>
      </c>
      <c r="K6" t="s">
        <v>16</v>
      </c>
    </row>
    <row r="7" spans="2:11" x14ac:dyDescent="0.25">
      <c r="B7" t="s">
        <v>17</v>
      </c>
      <c r="C7">
        <v>6.17</v>
      </c>
      <c r="J7" t="s">
        <v>15</v>
      </c>
      <c r="K7" t="s">
        <v>16</v>
      </c>
    </row>
    <row r="11" spans="2:11" x14ac:dyDescent="0.25">
      <c r="B11" t="s">
        <v>24</v>
      </c>
    </row>
    <row r="12" spans="2:11" x14ac:dyDescent="0.25">
      <c r="B12" t="s">
        <v>12</v>
      </c>
      <c r="C12" t="s">
        <v>13</v>
      </c>
      <c r="D12">
        <v>2024</v>
      </c>
      <c r="E12">
        <v>2030</v>
      </c>
      <c r="F12">
        <v>2040</v>
      </c>
      <c r="G12" t="s">
        <v>2</v>
      </c>
    </row>
    <row r="13" spans="2:11" x14ac:dyDescent="0.25">
      <c r="B13" t="s">
        <v>17</v>
      </c>
      <c r="C13" t="s">
        <v>25</v>
      </c>
      <c r="D13">
        <v>2.5760000000000001</v>
      </c>
      <c r="E13">
        <v>1.966</v>
      </c>
      <c r="F13">
        <v>2.6659999999999999</v>
      </c>
      <c r="G13" t="s">
        <v>26</v>
      </c>
    </row>
    <row r="14" spans="2:11" x14ac:dyDescent="0.25">
      <c r="B14" t="s">
        <v>14</v>
      </c>
      <c r="C14" t="s">
        <v>25</v>
      </c>
      <c r="D14">
        <v>0</v>
      </c>
      <c r="E14">
        <v>0</v>
      </c>
      <c r="F14">
        <v>3.5</v>
      </c>
      <c r="G14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E16D-C995-4313-9FD3-ABCD01C0EB3D}">
  <dimension ref="B6:T11"/>
  <sheetViews>
    <sheetView workbookViewId="0">
      <selection activeCell="D9" sqref="D9:J9"/>
    </sheetView>
  </sheetViews>
  <sheetFormatPr defaultRowHeight="15" x14ac:dyDescent="0.25"/>
  <cols>
    <col min="2" max="2" width="30" bestFit="1" customWidth="1"/>
    <col min="3" max="3" width="10" bestFit="1" customWidth="1"/>
  </cols>
  <sheetData>
    <row r="6" spans="2:20" x14ac:dyDescent="0.25">
      <c r="B6" t="s">
        <v>18</v>
      </c>
    </row>
    <row r="7" spans="2:20" x14ac:dyDescent="0.25">
      <c r="B7" t="s">
        <v>1</v>
      </c>
      <c r="C7" t="s">
        <v>19</v>
      </c>
      <c r="D7">
        <v>2022</v>
      </c>
      <c r="E7">
        <v>2025</v>
      </c>
      <c r="F7">
        <v>2030</v>
      </c>
      <c r="G7">
        <v>2035</v>
      </c>
      <c r="H7">
        <v>2040</v>
      </c>
      <c r="I7">
        <v>2045</v>
      </c>
      <c r="J7">
        <v>2050</v>
      </c>
      <c r="T7" t="s">
        <v>81</v>
      </c>
    </row>
    <row r="8" spans="2:20" x14ac:dyDescent="0.25">
      <c r="B8" t="s">
        <v>20</v>
      </c>
      <c r="C8" t="s">
        <v>20</v>
      </c>
      <c r="D8">
        <v>33.4</v>
      </c>
      <c r="E8">
        <v>35.738</v>
      </c>
      <c r="F8">
        <v>41.415999999999997</v>
      </c>
      <c r="G8">
        <v>38.409999999999997</v>
      </c>
      <c r="H8">
        <v>41.75</v>
      </c>
      <c r="I8">
        <v>39.077999999999996</v>
      </c>
      <c r="J8">
        <v>44.756</v>
      </c>
    </row>
    <row r="9" spans="2:20" x14ac:dyDescent="0.25">
      <c r="B9" t="s">
        <v>21</v>
      </c>
      <c r="C9" t="s">
        <v>21</v>
      </c>
      <c r="D9">
        <v>13.7</v>
      </c>
      <c r="E9">
        <v>13.974</v>
      </c>
      <c r="F9">
        <v>14.522</v>
      </c>
      <c r="G9">
        <v>14.659000000000001</v>
      </c>
      <c r="H9">
        <v>14.795999999999999</v>
      </c>
      <c r="I9">
        <v>15.07</v>
      </c>
      <c r="J9">
        <v>15.344000000000001</v>
      </c>
    </row>
    <row r="10" spans="2:20" x14ac:dyDescent="0.25">
      <c r="B10" t="s">
        <v>22</v>
      </c>
      <c r="C10" t="s">
        <v>22</v>
      </c>
      <c r="D10">
        <v>53</v>
      </c>
      <c r="E10">
        <v>53.53</v>
      </c>
      <c r="F10">
        <v>58.830000000000005</v>
      </c>
      <c r="G10">
        <v>53.53</v>
      </c>
      <c r="H10">
        <v>53.53</v>
      </c>
      <c r="I10">
        <v>55.120000000000005</v>
      </c>
      <c r="J10">
        <v>60.419999999999995</v>
      </c>
    </row>
    <row r="11" spans="2:20" x14ac:dyDescent="0.25">
      <c r="B11" t="s">
        <v>23</v>
      </c>
      <c r="C11" t="s">
        <v>23</v>
      </c>
      <c r="D11">
        <v>24</v>
      </c>
      <c r="E11">
        <v>23.04</v>
      </c>
      <c r="F11">
        <v>24.96</v>
      </c>
      <c r="G11">
        <v>24.96</v>
      </c>
      <c r="H11">
        <v>23.52</v>
      </c>
      <c r="I11">
        <v>23.759999999999998</v>
      </c>
      <c r="J1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Demand</vt:lpstr>
      <vt:lpstr>timeslices</vt:lpstr>
      <vt:lpstr>trade</vt:lpstr>
      <vt:lpstr>fuel_costs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Kristopher Raik</dc:creator>
  <cp:lastModifiedBy>Kristopher Raik</cp:lastModifiedBy>
  <dcterms:created xsi:type="dcterms:W3CDTF">2015-06-05T18:17:20Z</dcterms:created>
  <dcterms:modified xsi:type="dcterms:W3CDTF">2026-02-09T18:48:43Z</dcterms:modified>
</cp:coreProperties>
</file>