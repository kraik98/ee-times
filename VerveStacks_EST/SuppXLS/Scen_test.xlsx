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09201EF8-0DAE-40F0-919F-4A87B86F6A15}" xr6:coauthVersionLast="47" xr6:coauthVersionMax="47" xr10:uidLastSave="{00000000-0000-0000-0000-000000000000}"/>
  <bookViews>
    <workbookView xWindow="-110" yWindow="-110" windowWidth="19420" windowHeight="11500" firstSheet="1" activeTab="5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<sst xmlns="http://schemas.openxmlformats.org/spreadsheetml/2006/main" count="1662" uniqueCount="153">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</sst>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topLeftCell="A15" workbookViewId="0">
      <selection activeCell="C39" sqref="C39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74</v>
      </c>
    </row>
    <row r="18" spans="2:10" x14ac:dyDescent="0.35">
      <c r="B18" t="s">
        <v>2</v>
      </c>
      <c r="C18" t="s">
        <v>75</v>
      </c>
      <c r="D18" t="s">
        <v>76</v>
      </c>
      <c r="E18" t="s">
        <v>77</v>
      </c>
      <c r="F18" t="s">
        <v>19</v>
      </c>
      <c r="G18" t="s">
        <v>12</v>
      </c>
    </row>
    <row r="19" spans="2:10" x14ac:dyDescent="0.35">
      <c r="B19" t="s">
        <v>78</v>
      </c>
      <c r="C19" t="s">
        <v>79</v>
      </c>
      <c r="D19" t="s">
        <v>80</v>
      </c>
      <c r="E19">
        <v>338.40000000000003</v>
      </c>
    </row>
    <row r="20" spans="2:10" x14ac:dyDescent="0.35">
      <c r="B20" t="s">
        <v>78</v>
      </c>
      <c r="C20" t="s">
        <v>81</v>
      </c>
      <c r="D20" t="s">
        <v>80</v>
      </c>
      <c r="E20">
        <v>198</v>
      </c>
    </row>
    <row r="21" spans="2:10" x14ac:dyDescent="0.35">
      <c r="B21" t="s">
        <v>78</v>
      </c>
      <c r="C21" t="s">
        <v>82</v>
      </c>
      <c r="D21" t="s">
        <v>80</v>
      </c>
      <c r="E21">
        <v>252</v>
      </c>
    </row>
    <row r="22" spans="2:10" x14ac:dyDescent="0.35">
      <c r="B22" t="s">
        <v>83</v>
      </c>
      <c r="C22" t="s">
        <v>84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151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152</v>
      </c>
    </row>
    <row r="34" spans="2:9" x14ac:dyDescent="0.35">
      <c r="B34" t="s">
        <v>149</v>
      </c>
      <c r="F34">
        <v>180</v>
      </c>
      <c r="G34">
        <v>205</v>
      </c>
      <c r="I34">
        <v>250</v>
      </c>
    </row>
    <row r="35" spans="2:9" x14ac:dyDescent="0.35">
      <c r="B35" t="s">
        <v>150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workbookViewId="0">
      <selection activeCell="C1" sqref="C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106</v>
      </c>
      <c r="I1" t="s">
        <v>107</v>
      </c>
      <c r="N1" t="s">
        <v>107</v>
      </c>
      <c r="S1" t="s">
        <v>107</v>
      </c>
      <c r="X1" t="s">
        <v>112</v>
      </c>
      <c r="AE1" t="s">
        <v>107</v>
      </c>
      <c r="AJ1" t="s">
        <v>107</v>
      </c>
      <c r="AN1" t="s">
        <v>107</v>
      </c>
      <c r="AR1" t="s">
        <v>131</v>
      </c>
    </row>
    <row r="2" spans="1:45" x14ac:dyDescent="0.35">
      <c r="A2" t="s">
        <v>85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109</v>
      </c>
      <c r="Z2" t="s">
        <v>113</v>
      </c>
      <c r="AA2" t="s">
        <v>110</v>
      </c>
      <c r="AC2" t="s">
        <v>34</v>
      </c>
      <c r="AD2" t="s">
        <v>33</v>
      </c>
      <c r="AE2" t="s">
        <v>32</v>
      </c>
      <c r="AF2" t="s">
        <v>1</v>
      </c>
      <c r="AH2" t="s">
        <v>1</v>
      </c>
      <c r="AI2" t="s">
        <v>32</v>
      </c>
      <c r="AJ2" t="s">
        <v>33</v>
      </c>
      <c r="AL2" t="s">
        <v>1</v>
      </c>
      <c r="AM2" t="s">
        <v>32</v>
      </c>
      <c r="AN2" t="s">
        <v>35</v>
      </c>
      <c r="AP2" t="s">
        <v>111</v>
      </c>
      <c r="AQ2" t="s">
        <v>32</v>
      </c>
      <c r="AR2" t="s">
        <v>36</v>
      </c>
      <c r="AS2" t="s">
        <v>37</v>
      </c>
    </row>
    <row r="3" spans="1:45" x14ac:dyDescent="0.35">
      <c r="A3" t="str">
        <f>IFERROR(IF([1]Veda!#REF!=A2,"ok","x"),"")</f>
        <v/>
      </c>
      <c r="C3" t="s">
        <v>86</v>
      </c>
      <c r="D3" t="s">
        <v>38</v>
      </c>
      <c r="E3" t="s">
        <v>87</v>
      </c>
      <c r="F3" t="s">
        <v>88</v>
      </c>
      <c r="G3" t="s">
        <v>38</v>
      </c>
      <c r="I3" t="s">
        <v>39</v>
      </c>
      <c r="J3" t="s">
        <v>89</v>
      </c>
      <c r="K3">
        <v>0.13112133015375788</v>
      </c>
      <c r="L3" t="s">
        <v>40</v>
      </c>
      <c r="N3" t="s">
        <v>41</v>
      </c>
      <c r="O3" t="s">
        <v>89</v>
      </c>
      <c r="P3">
        <v>0.12504651804277112</v>
      </c>
      <c r="Q3" t="s">
        <v>40</v>
      </c>
      <c r="S3" t="s">
        <v>42</v>
      </c>
      <c r="T3" t="s">
        <v>89</v>
      </c>
      <c r="U3">
        <v>0.12825501911757625</v>
      </c>
      <c r="V3" t="s">
        <v>40</v>
      </c>
      <c r="X3" t="s">
        <v>89</v>
      </c>
      <c r="Y3" t="s">
        <v>108</v>
      </c>
      <c r="Z3" t="s">
        <v>42</v>
      </c>
      <c r="AA3">
        <v>1E-3</v>
      </c>
      <c r="AC3">
        <v>0.11426940639269406</v>
      </c>
      <c r="AD3">
        <v>0.16087081189037786</v>
      </c>
      <c r="AE3" t="s">
        <v>89</v>
      </c>
      <c r="AF3" t="s">
        <v>8</v>
      </c>
      <c r="AH3" t="s">
        <v>6</v>
      </c>
      <c r="AI3" t="s">
        <v>89</v>
      </c>
      <c r="AJ3">
        <v>0.11820818077291764</v>
      </c>
      <c r="AL3" t="s">
        <v>43</v>
      </c>
      <c r="AM3" t="s">
        <v>89</v>
      </c>
      <c r="AN3">
        <v>6.7453183173023845E-2</v>
      </c>
      <c r="AP3">
        <v>2020</v>
      </c>
      <c r="AQ3" t="s">
        <v>86</v>
      </c>
      <c r="AR3">
        <v>0</v>
      </c>
      <c r="AS3" t="s">
        <v>44</v>
      </c>
    </row>
    <row r="4" spans="1:45" x14ac:dyDescent="0.35">
      <c r="C4" t="s">
        <v>90</v>
      </c>
      <c r="E4" t="s">
        <v>91</v>
      </c>
      <c r="G4" t="s">
        <v>38</v>
      </c>
      <c r="I4" t="s">
        <v>39</v>
      </c>
      <c r="J4" t="s">
        <v>92</v>
      </c>
      <c r="K4">
        <v>1.1273184373715762E-3</v>
      </c>
      <c r="L4" t="s">
        <v>40</v>
      </c>
      <c r="N4" t="s">
        <v>41</v>
      </c>
      <c r="O4" t="s">
        <v>92</v>
      </c>
      <c r="P4">
        <v>0.12923909287156352</v>
      </c>
      <c r="Q4" t="s">
        <v>40</v>
      </c>
      <c r="S4" t="s">
        <v>42</v>
      </c>
      <c r="T4" t="s">
        <v>92</v>
      </c>
      <c r="U4">
        <v>0.1460828987272339</v>
      </c>
      <c r="V4" t="s">
        <v>40</v>
      </c>
      <c r="X4" t="s">
        <v>92</v>
      </c>
      <c r="Y4" t="s">
        <v>108</v>
      </c>
      <c r="Z4" t="s">
        <v>42</v>
      </c>
      <c r="AA4">
        <v>1E-3</v>
      </c>
      <c r="AC4">
        <v>0.11426940639269406</v>
      </c>
      <c r="AD4">
        <v>5.2547713165767528E-2</v>
      </c>
      <c r="AE4" t="s">
        <v>92</v>
      </c>
      <c r="AF4" t="s">
        <v>8</v>
      </c>
      <c r="AH4" t="s">
        <v>6</v>
      </c>
      <c r="AI4" t="s">
        <v>92</v>
      </c>
      <c r="AJ4">
        <v>9.765399900437545E-2</v>
      </c>
      <c r="AL4" t="s">
        <v>43</v>
      </c>
      <c r="AM4" t="s">
        <v>92</v>
      </c>
      <c r="AN4">
        <v>0.21742041059208561</v>
      </c>
      <c r="AP4">
        <v>2020</v>
      </c>
      <c r="AQ4" t="s">
        <v>90</v>
      </c>
      <c r="AR4">
        <v>0</v>
      </c>
      <c r="AS4" t="s">
        <v>44</v>
      </c>
    </row>
    <row r="5" spans="1:45" x14ac:dyDescent="0.35">
      <c r="C5" t="s">
        <v>93</v>
      </c>
      <c r="E5" t="s">
        <v>94</v>
      </c>
      <c r="G5" t="s">
        <v>38</v>
      </c>
      <c r="I5" t="s">
        <v>39</v>
      </c>
      <c r="J5" t="s">
        <v>95</v>
      </c>
      <c r="K5">
        <v>1.1826578944686741E-2</v>
      </c>
      <c r="L5" t="s">
        <v>40</v>
      </c>
      <c r="N5" t="s">
        <v>41</v>
      </c>
      <c r="O5" t="s">
        <v>95</v>
      </c>
      <c r="P5">
        <v>2.3904696128463698E-2</v>
      </c>
      <c r="Q5" t="s">
        <v>40</v>
      </c>
      <c r="S5" t="s">
        <v>42</v>
      </c>
      <c r="T5" t="s">
        <v>95</v>
      </c>
      <c r="U5">
        <v>2.5606675575038346E-2</v>
      </c>
      <c r="V5" t="s">
        <v>40</v>
      </c>
      <c r="X5" t="s">
        <v>95</v>
      </c>
      <c r="Y5" t="s">
        <v>108</v>
      </c>
      <c r="Z5" t="s">
        <v>42</v>
      </c>
      <c r="AA5">
        <v>1E-3</v>
      </c>
      <c r="AC5">
        <v>2.0776255707762557E-2</v>
      </c>
      <c r="AD5">
        <v>3.5896543437005365E-2</v>
      </c>
      <c r="AE5" t="s">
        <v>95</v>
      </c>
      <c r="AF5" t="s">
        <v>8</v>
      </c>
      <c r="AH5" t="s">
        <v>6</v>
      </c>
      <c r="AI5" t="s">
        <v>95</v>
      </c>
      <c r="AJ5">
        <v>2.1376827284429509E-2</v>
      </c>
      <c r="AL5" t="s">
        <v>43</v>
      </c>
      <c r="AM5" t="s">
        <v>95</v>
      </c>
      <c r="AN5">
        <v>6.4867911695789315E-2</v>
      </c>
      <c r="AP5">
        <v>2020</v>
      </c>
      <c r="AQ5" t="s">
        <v>93</v>
      </c>
      <c r="AR5">
        <v>0</v>
      </c>
      <c r="AS5" t="s">
        <v>44</v>
      </c>
    </row>
    <row r="6" spans="1:45" x14ac:dyDescent="0.35">
      <c r="C6" t="s">
        <v>96</v>
      </c>
      <c r="I6" t="s">
        <v>39</v>
      </c>
      <c r="J6" t="s">
        <v>97</v>
      </c>
      <c r="K6">
        <v>0.32597484269725724</v>
      </c>
      <c r="L6" t="s">
        <v>40</v>
      </c>
      <c r="N6" t="s">
        <v>41</v>
      </c>
      <c r="O6" t="s">
        <v>97</v>
      </c>
      <c r="P6">
        <v>0.11223960491803744</v>
      </c>
      <c r="Q6" t="s">
        <v>40</v>
      </c>
      <c r="S6" t="s">
        <v>42</v>
      </c>
      <c r="T6" t="s">
        <v>97</v>
      </c>
      <c r="U6">
        <v>0.10502838298522549</v>
      </c>
      <c r="V6" t="s">
        <v>40</v>
      </c>
      <c r="X6" t="s">
        <v>97</v>
      </c>
      <c r="Y6" t="s">
        <v>108</v>
      </c>
      <c r="Z6" t="s">
        <v>42</v>
      </c>
      <c r="AA6">
        <v>1E-3</v>
      </c>
      <c r="AC6">
        <v>0.11552511415525114</v>
      </c>
      <c r="AD6">
        <v>0.16263862301005233</v>
      </c>
      <c r="AE6" t="s">
        <v>97</v>
      </c>
      <c r="AF6" t="s">
        <v>8</v>
      </c>
      <c r="AH6" t="s">
        <v>6</v>
      </c>
      <c r="AI6" t="s">
        <v>97</v>
      </c>
      <c r="AJ6">
        <v>0.13104968035048054</v>
      </c>
      <c r="AL6" t="s">
        <v>43</v>
      </c>
      <c r="AM6" t="s">
        <v>97</v>
      </c>
      <c r="AN6">
        <v>0.181059958051627</v>
      </c>
      <c r="AP6">
        <v>2020</v>
      </c>
      <c r="AQ6" t="s">
        <v>96</v>
      </c>
      <c r="AR6">
        <v>0</v>
      </c>
      <c r="AS6" t="s">
        <v>44</v>
      </c>
    </row>
    <row r="7" spans="1:45" x14ac:dyDescent="0.35">
      <c r="I7" t="s">
        <v>39</v>
      </c>
      <c r="J7" t="s">
        <v>98</v>
      </c>
      <c r="K7">
        <v>1.6040529306304684E-2</v>
      </c>
      <c r="L7" t="s">
        <v>40</v>
      </c>
      <c r="N7" t="s">
        <v>41</v>
      </c>
      <c r="O7" t="s">
        <v>98</v>
      </c>
      <c r="P7">
        <v>0.11331093849743473</v>
      </c>
      <c r="Q7" t="s">
        <v>40</v>
      </c>
      <c r="S7" t="s">
        <v>42</v>
      </c>
      <c r="T7" t="s">
        <v>98</v>
      </c>
      <c r="U7">
        <v>0.11482957147402537</v>
      </c>
      <c r="V7" t="s">
        <v>40</v>
      </c>
      <c r="X7" t="s">
        <v>98</v>
      </c>
      <c r="Y7" t="s">
        <v>108</v>
      </c>
      <c r="Z7" t="s">
        <v>42</v>
      </c>
      <c r="AA7">
        <v>1E-3</v>
      </c>
      <c r="AC7">
        <v>0.11552511415525114</v>
      </c>
      <c r="AD7">
        <v>5.3125160563193538E-2</v>
      </c>
      <c r="AE7" t="s">
        <v>98</v>
      </c>
      <c r="AF7" t="s">
        <v>8</v>
      </c>
      <c r="AH7" t="s">
        <v>6</v>
      </c>
      <c r="AI7" t="s">
        <v>98</v>
      </c>
      <c r="AJ7">
        <v>0.11255019110607196</v>
      </c>
      <c r="AL7" t="s">
        <v>43</v>
      </c>
      <c r="AM7" t="s">
        <v>98</v>
      </c>
      <c r="AN7">
        <v>0.29479690034051531</v>
      </c>
      <c r="AP7">
        <v>2021</v>
      </c>
      <c r="AQ7" t="s">
        <v>86</v>
      </c>
      <c r="AR7">
        <v>0</v>
      </c>
      <c r="AS7" t="s">
        <v>44</v>
      </c>
    </row>
    <row r="8" spans="1:45" x14ac:dyDescent="0.35">
      <c r="I8" t="s">
        <v>39</v>
      </c>
      <c r="J8" t="s">
        <v>99</v>
      </c>
      <c r="K8">
        <v>4.5036365618117004E-2</v>
      </c>
      <c r="L8" t="s">
        <v>40</v>
      </c>
      <c r="N8" t="s">
        <v>41</v>
      </c>
      <c r="O8" t="s">
        <v>99</v>
      </c>
      <c r="P8">
        <v>2.178054005059079E-2</v>
      </c>
      <c r="Q8" t="s">
        <v>40</v>
      </c>
      <c r="S8" t="s">
        <v>42</v>
      </c>
      <c r="T8" t="s">
        <v>99</v>
      </c>
      <c r="U8">
        <v>2.2211636421743067E-2</v>
      </c>
      <c r="V8" t="s">
        <v>40</v>
      </c>
      <c r="X8" t="s">
        <v>99</v>
      </c>
      <c r="Y8" t="s">
        <v>108</v>
      </c>
      <c r="Z8" t="s">
        <v>42</v>
      </c>
      <c r="AA8">
        <v>1E-3</v>
      </c>
      <c r="AC8">
        <v>2.1004566210045664E-2</v>
      </c>
      <c r="AD8">
        <v>3.6291010947302131E-2</v>
      </c>
      <c r="AE8" t="s">
        <v>99</v>
      </c>
      <c r="AF8" t="s">
        <v>8</v>
      </c>
      <c r="AH8" t="s">
        <v>6</v>
      </c>
      <c r="AI8" t="s">
        <v>99</v>
      </c>
      <c r="AJ8">
        <v>2.3834110177054908E-2</v>
      </c>
      <c r="AL8" t="s">
        <v>43</v>
      </c>
      <c r="AM8" t="s">
        <v>99</v>
      </c>
      <c r="AN8">
        <v>0.18791773337227902</v>
      </c>
      <c r="AP8">
        <v>2021</v>
      </c>
      <c r="AQ8" t="s">
        <v>90</v>
      </c>
      <c r="AR8">
        <v>0</v>
      </c>
      <c r="AS8" t="s">
        <v>44</v>
      </c>
    </row>
    <row r="9" spans="1:45" x14ac:dyDescent="0.35">
      <c r="I9" t="s">
        <v>39</v>
      </c>
      <c r="J9" t="s">
        <v>100</v>
      </c>
      <c r="K9">
        <v>0.33590262553839051</v>
      </c>
      <c r="L9" t="s">
        <v>40</v>
      </c>
      <c r="N9" t="s">
        <v>41</v>
      </c>
      <c r="O9" t="s">
        <v>100</v>
      </c>
      <c r="P9">
        <v>7.9597285699010006E-2</v>
      </c>
      <c r="Q9" t="s">
        <v>40</v>
      </c>
      <c r="S9" t="s">
        <v>42</v>
      </c>
      <c r="T9" t="s">
        <v>100</v>
      </c>
      <c r="U9">
        <v>5.8632453318071452E-2</v>
      </c>
      <c r="V9" t="s">
        <v>40</v>
      </c>
      <c r="X9" t="s">
        <v>100</v>
      </c>
      <c r="Y9" t="s">
        <v>108</v>
      </c>
      <c r="Z9" t="s">
        <v>42</v>
      </c>
      <c r="AA9">
        <v>1E-3</v>
      </c>
      <c r="AC9">
        <v>0.11552511415525114</v>
      </c>
      <c r="AD9">
        <v>0.16263862301005233</v>
      </c>
      <c r="AE9" t="s">
        <v>100</v>
      </c>
      <c r="AF9" t="s">
        <v>8</v>
      </c>
      <c r="AH9" t="s">
        <v>6</v>
      </c>
      <c r="AI9" t="s">
        <v>100</v>
      </c>
      <c r="AJ9">
        <v>0.11748145961359424</v>
      </c>
      <c r="AL9" t="s">
        <v>43</v>
      </c>
      <c r="AM9" t="s">
        <v>100</v>
      </c>
      <c r="AN9">
        <v>0.13319460828738694</v>
      </c>
      <c r="AP9">
        <v>2021</v>
      </c>
      <c r="AQ9" t="s">
        <v>93</v>
      </c>
      <c r="AR9">
        <v>0</v>
      </c>
      <c r="AS9" t="s">
        <v>44</v>
      </c>
    </row>
    <row r="10" spans="1:45" x14ac:dyDescent="0.35">
      <c r="I10" t="s">
        <v>39</v>
      </c>
      <c r="J10" t="s">
        <v>101</v>
      </c>
      <c r="K10">
        <v>3.8494528096615951E-2</v>
      </c>
      <c r="L10" t="s">
        <v>40</v>
      </c>
      <c r="N10" t="s">
        <v>41</v>
      </c>
      <c r="O10" t="s">
        <v>101</v>
      </c>
      <c r="P10">
        <v>8.1809459054675793E-2</v>
      </c>
      <c r="Q10" t="s">
        <v>40</v>
      </c>
      <c r="S10" t="s">
        <v>42</v>
      </c>
      <c r="T10" t="s">
        <v>101</v>
      </c>
      <c r="U10">
        <v>7.4076611827312455E-2</v>
      </c>
      <c r="V10" t="s">
        <v>40</v>
      </c>
      <c r="X10" t="s">
        <v>101</v>
      </c>
      <c r="Y10" t="s">
        <v>108</v>
      </c>
      <c r="Z10" t="s">
        <v>42</v>
      </c>
      <c r="AA10">
        <v>1E-3</v>
      </c>
      <c r="AC10">
        <v>0.11552511415525114</v>
      </c>
      <c r="AD10">
        <v>5.3125160563193538E-2</v>
      </c>
      <c r="AE10" t="s">
        <v>101</v>
      </c>
      <c r="AF10" t="s">
        <v>8</v>
      </c>
      <c r="AH10" t="s">
        <v>6</v>
      </c>
      <c r="AI10" t="s">
        <v>101</v>
      </c>
      <c r="AJ10">
        <v>8.4800799390331486E-2</v>
      </c>
      <c r="AL10" t="s">
        <v>43</v>
      </c>
      <c r="AM10" t="s">
        <v>101</v>
      </c>
      <c r="AN10">
        <v>0.27571202448049736</v>
      </c>
      <c r="AP10">
        <v>2021</v>
      </c>
      <c r="AQ10" t="s">
        <v>96</v>
      </c>
      <c r="AR10">
        <v>0</v>
      </c>
      <c r="AS10" t="s">
        <v>44</v>
      </c>
    </row>
    <row r="11" spans="1:45" x14ac:dyDescent="0.35">
      <c r="I11" t="s">
        <v>39</v>
      </c>
      <c r="J11" t="s">
        <v>102</v>
      </c>
      <c r="K11">
        <v>5.1451874561372068E-2</v>
      </c>
      <c r="L11" t="s">
        <v>40</v>
      </c>
      <c r="N11" t="s">
        <v>41</v>
      </c>
      <c r="O11" t="s">
        <v>102</v>
      </c>
      <c r="P11">
        <v>1.5762397414136396E-2</v>
      </c>
      <c r="Q11" t="s">
        <v>40</v>
      </c>
      <c r="S11" t="s">
        <v>42</v>
      </c>
      <c r="T11" t="s">
        <v>102</v>
      </c>
      <c r="U11">
        <v>1.2054658101026138E-2</v>
      </c>
      <c r="V11" t="s">
        <v>40</v>
      </c>
      <c r="X11" t="s">
        <v>102</v>
      </c>
      <c r="Y11" t="s">
        <v>108</v>
      </c>
      <c r="Z11" t="s">
        <v>42</v>
      </c>
      <c r="AA11">
        <v>1E-3</v>
      </c>
      <c r="AC11">
        <v>2.1004566210045664E-2</v>
      </c>
      <c r="AD11">
        <v>3.6291010947302131E-2</v>
      </c>
      <c r="AE11" t="s">
        <v>102</v>
      </c>
      <c r="AF11" t="s">
        <v>8</v>
      </c>
      <c r="AH11" t="s">
        <v>6</v>
      </c>
      <c r="AI11" t="s">
        <v>102</v>
      </c>
      <c r="AJ11">
        <v>2.0570847331150249E-2</v>
      </c>
      <c r="AL11" t="s">
        <v>43</v>
      </c>
      <c r="AM11" t="s">
        <v>102</v>
      </c>
      <c r="AN11">
        <v>9.8544131462115603E-2</v>
      </c>
      <c r="AP11">
        <v>2022</v>
      </c>
      <c r="AQ11" t="s">
        <v>86</v>
      </c>
      <c r="AR11">
        <v>0</v>
      </c>
      <c r="AS11" t="s">
        <v>44</v>
      </c>
    </row>
    <row r="12" spans="1:45" x14ac:dyDescent="0.35">
      <c r="I12" t="s">
        <v>39</v>
      </c>
      <c r="J12" t="s">
        <v>103</v>
      </c>
      <c r="K12">
        <v>4.1769964791773688E-2</v>
      </c>
      <c r="L12" t="s">
        <v>40</v>
      </c>
      <c r="N12" t="s">
        <v>41</v>
      </c>
      <c r="O12" t="s">
        <v>103</v>
      </c>
      <c r="P12">
        <v>0.13910975598870917</v>
      </c>
      <c r="Q12" t="s">
        <v>40</v>
      </c>
      <c r="S12" t="s">
        <v>42</v>
      </c>
      <c r="T12" t="s">
        <v>103</v>
      </c>
      <c r="U12">
        <v>0.14285175524219881</v>
      </c>
      <c r="V12" t="s">
        <v>40</v>
      </c>
      <c r="X12" t="s">
        <v>103</v>
      </c>
      <c r="Y12" t="s">
        <v>108</v>
      </c>
      <c r="Z12" t="s">
        <v>42</v>
      </c>
      <c r="AA12">
        <v>1E-3</v>
      </c>
      <c r="AC12">
        <v>0.11301369863013698</v>
      </c>
      <c r="AD12">
        <v>0.15910300077070333</v>
      </c>
      <c r="AE12" t="s">
        <v>103</v>
      </c>
      <c r="AF12" t="s">
        <v>8</v>
      </c>
      <c r="AH12" t="s">
        <v>6</v>
      </c>
      <c r="AI12" t="s">
        <v>103</v>
      </c>
      <c r="AJ12">
        <v>0.13067071966028027</v>
      </c>
      <c r="AL12" t="s">
        <v>43</v>
      </c>
      <c r="AM12" t="s">
        <v>103</v>
      </c>
      <c r="AN12">
        <v>9.4996431311812124E-2</v>
      </c>
      <c r="AP12">
        <v>2022</v>
      </c>
      <c r="AQ12" t="s">
        <v>90</v>
      </c>
      <c r="AR12">
        <v>0</v>
      </c>
      <c r="AS12" t="s">
        <v>44</v>
      </c>
    </row>
    <row r="13" spans="1:45" x14ac:dyDescent="0.35">
      <c r="I13" t="s">
        <v>39</v>
      </c>
      <c r="J13" t="s">
        <v>104</v>
      </c>
      <c r="K13">
        <v>0</v>
      </c>
      <c r="L13" t="s">
        <v>40</v>
      </c>
      <c r="N13" t="s">
        <v>41</v>
      </c>
      <c r="O13" t="s">
        <v>104</v>
      </c>
      <c r="P13">
        <v>0.1328412824161386</v>
      </c>
      <c r="Q13" t="s">
        <v>40</v>
      </c>
      <c r="S13" t="s">
        <v>42</v>
      </c>
      <c r="T13" t="s">
        <v>104</v>
      </c>
      <c r="U13">
        <v>0.14314271457517094</v>
      </c>
      <c r="V13" t="s">
        <v>40</v>
      </c>
      <c r="X13" t="s">
        <v>104</v>
      </c>
      <c r="Y13" t="s">
        <v>108</v>
      </c>
      <c r="Z13" t="s">
        <v>42</v>
      </c>
      <c r="AA13">
        <v>1E-3</v>
      </c>
      <c r="AC13">
        <v>0.11301369863013698</v>
      </c>
      <c r="AD13">
        <v>5.197026576834151E-2</v>
      </c>
      <c r="AE13" t="s">
        <v>104</v>
      </c>
      <c r="AF13" t="s">
        <v>8</v>
      </c>
      <c r="AH13" t="s">
        <v>6</v>
      </c>
      <c r="AI13" t="s">
        <v>104</v>
      </c>
      <c r="AJ13">
        <v>0.11789293365992742</v>
      </c>
      <c r="AL13" t="s">
        <v>43</v>
      </c>
      <c r="AM13" t="s">
        <v>104</v>
      </c>
      <c r="AN13">
        <v>0.17683972082772126</v>
      </c>
      <c r="AP13">
        <v>2022</v>
      </c>
      <c r="AQ13" t="s">
        <v>93</v>
      </c>
      <c r="AR13">
        <v>0</v>
      </c>
      <c r="AS13" t="s">
        <v>44</v>
      </c>
    </row>
    <row r="14" spans="1:45" x14ac:dyDescent="0.35">
      <c r="I14" t="s">
        <v>39</v>
      </c>
      <c r="J14" t="s">
        <v>105</v>
      </c>
      <c r="K14">
        <v>1.2540418543543095E-3</v>
      </c>
      <c r="L14" t="s">
        <v>40</v>
      </c>
      <c r="N14" t="s">
        <v>41</v>
      </c>
      <c r="O14" t="s">
        <v>105</v>
      </c>
      <c r="P14">
        <v>2.5358428918473137E-2</v>
      </c>
      <c r="Q14" t="s">
        <v>40</v>
      </c>
      <c r="S14" t="s">
        <v>42</v>
      </c>
      <c r="T14" t="s">
        <v>105</v>
      </c>
      <c r="U14">
        <v>2.7227622635379315E-2</v>
      </c>
      <c r="V14" t="s">
        <v>40</v>
      </c>
      <c r="X14" t="s">
        <v>105</v>
      </c>
      <c r="Y14" t="s">
        <v>108</v>
      </c>
      <c r="Z14" t="s">
        <v>42</v>
      </c>
      <c r="AA14">
        <v>1E-3</v>
      </c>
      <c r="AC14">
        <v>2.0547945205479451E-2</v>
      </c>
      <c r="AD14">
        <v>3.5502075926708607E-2</v>
      </c>
      <c r="AE14" t="s">
        <v>105</v>
      </c>
      <c r="AF14" t="s">
        <v>8</v>
      </c>
      <c r="AH14" t="s">
        <v>6</v>
      </c>
      <c r="AI14" t="s">
        <v>105</v>
      </c>
      <c r="AJ14">
        <v>2.3910251649386354E-2</v>
      </c>
      <c r="AL14" t="s">
        <v>43</v>
      </c>
      <c r="AM14" t="s">
        <v>105</v>
      </c>
      <c r="AN14">
        <v>7.423298333369277E-2</v>
      </c>
      <c r="AP14">
        <v>2022</v>
      </c>
      <c r="AQ14" t="s">
        <v>96</v>
      </c>
      <c r="AR14">
        <v>0</v>
      </c>
      <c r="AS14" t="s">
        <v>44</v>
      </c>
    </row>
    <row r="15" spans="1:45" x14ac:dyDescent="0.35">
      <c r="I15" t="s">
        <v>45</v>
      </c>
      <c r="J15" t="s">
        <v>89</v>
      </c>
      <c r="K15">
        <v>0.13043755141224658</v>
      </c>
      <c r="L15" t="s">
        <v>40</v>
      </c>
      <c r="N15" t="s">
        <v>46</v>
      </c>
      <c r="O15" t="s">
        <v>89</v>
      </c>
      <c r="P15">
        <v>0.12553296894209429</v>
      </c>
      <c r="Q15" t="s">
        <v>40</v>
      </c>
      <c r="S15" t="s">
        <v>47</v>
      </c>
      <c r="T15" t="s">
        <v>89</v>
      </c>
      <c r="U15">
        <v>0.12767434976558359</v>
      </c>
      <c r="V15" t="s">
        <v>40</v>
      </c>
      <c r="X15" t="s">
        <v>89</v>
      </c>
      <c r="Y15" t="s">
        <v>108</v>
      </c>
      <c r="Z15" t="s">
        <v>47</v>
      </c>
      <c r="AA15">
        <v>1E-3</v>
      </c>
      <c r="AH15" t="s">
        <v>5</v>
      </c>
      <c r="AI15" t="s">
        <v>89</v>
      </c>
      <c r="AJ15">
        <v>0.11491480071761173</v>
      </c>
    </row>
    <row r="16" spans="1:45" x14ac:dyDescent="0.35">
      <c r="I16" t="s">
        <v>45</v>
      </c>
      <c r="J16" t="s">
        <v>92</v>
      </c>
      <c r="K16">
        <v>1.1907924780644593E-3</v>
      </c>
      <c r="L16" t="s">
        <v>40</v>
      </c>
      <c r="N16" t="s">
        <v>46</v>
      </c>
      <c r="O16" t="s">
        <v>92</v>
      </c>
      <c r="P16">
        <v>0.1325213456520582</v>
      </c>
      <c r="Q16" t="s">
        <v>40</v>
      </c>
      <c r="S16" t="s">
        <v>47</v>
      </c>
      <c r="T16" t="s">
        <v>92</v>
      </c>
      <c r="U16">
        <v>0.14061823930498868</v>
      </c>
      <c r="V16" t="s">
        <v>40</v>
      </c>
      <c r="X16" t="s">
        <v>92</v>
      </c>
      <c r="Y16" t="s">
        <v>108</v>
      </c>
      <c r="Z16" t="s">
        <v>47</v>
      </c>
      <c r="AA16">
        <v>1E-3</v>
      </c>
      <c r="AH16" t="s">
        <v>5</v>
      </c>
      <c r="AI16" t="s">
        <v>92</v>
      </c>
      <c r="AJ16">
        <v>0.11343014511581903</v>
      </c>
    </row>
    <row r="17" spans="9:36" x14ac:dyDescent="0.35">
      <c r="I17" t="s">
        <v>45</v>
      </c>
      <c r="J17" t="s">
        <v>95</v>
      </c>
      <c r="K17">
        <v>1.1533083888786525E-2</v>
      </c>
      <c r="L17" t="s">
        <v>40</v>
      </c>
      <c r="N17" t="s">
        <v>46</v>
      </c>
      <c r="O17" t="s">
        <v>95</v>
      </c>
      <c r="P17">
        <v>2.4645667696570315E-2</v>
      </c>
      <c r="Q17" t="s">
        <v>40</v>
      </c>
      <c r="S17" t="s">
        <v>47</v>
      </c>
      <c r="T17" t="s">
        <v>95</v>
      </c>
      <c r="U17">
        <v>2.5388069366133078E-2</v>
      </c>
      <c r="V17" t="s">
        <v>40</v>
      </c>
      <c r="X17" t="s">
        <v>95</v>
      </c>
      <c r="Y17" t="s">
        <v>108</v>
      </c>
      <c r="Z17" t="s">
        <v>47</v>
      </c>
      <c r="AA17">
        <v>1E-3</v>
      </c>
      <c r="AH17" t="s">
        <v>5</v>
      </c>
      <c r="AI17" t="s">
        <v>95</v>
      </c>
      <c r="AJ17">
        <v>2.0885252413625318E-2</v>
      </c>
    </row>
    <row r="18" spans="9:36" x14ac:dyDescent="0.35">
      <c r="I18" t="s">
        <v>45</v>
      </c>
      <c r="J18" t="s">
        <v>97</v>
      </c>
      <c r="K18">
        <v>0.32835803432705835</v>
      </c>
      <c r="L18" t="s">
        <v>40</v>
      </c>
      <c r="N18" t="s">
        <v>46</v>
      </c>
      <c r="O18" t="s">
        <v>97</v>
      </c>
      <c r="P18">
        <v>0.10072660432774716</v>
      </c>
      <c r="Q18" t="s">
        <v>40</v>
      </c>
      <c r="S18" t="s">
        <v>47</v>
      </c>
      <c r="T18" t="s">
        <v>97</v>
      </c>
      <c r="U18">
        <v>0.11049044788132463</v>
      </c>
      <c r="V18" t="s">
        <v>40</v>
      </c>
      <c r="X18" t="s">
        <v>97</v>
      </c>
      <c r="Y18" t="s">
        <v>108</v>
      </c>
      <c r="Z18" t="s">
        <v>47</v>
      </c>
      <c r="AA18">
        <v>1E-3</v>
      </c>
      <c r="AH18" t="s">
        <v>5</v>
      </c>
      <c r="AI18" t="s">
        <v>97</v>
      </c>
      <c r="AJ18">
        <v>0.11618686907147086</v>
      </c>
    </row>
    <row r="19" spans="9:36" x14ac:dyDescent="0.35">
      <c r="I19" t="s">
        <v>45</v>
      </c>
      <c r="J19" t="s">
        <v>98</v>
      </c>
      <c r="K19">
        <v>1.4650438890933879E-2</v>
      </c>
      <c r="L19" t="s">
        <v>40</v>
      </c>
      <c r="N19" t="s">
        <v>46</v>
      </c>
      <c r="O19" t="s">
        <v>98</v>
      </c>
      <c r="P19">
        <v>0.11313834221180283</v>
      </c>
      <c r="Q19" t="s">
        <v>40</v>
      </c>
      <c r="S19" t="s">
        <v>47</v>
      </c>
      <c r="T19" t="s">
        <v>98</v>
      </c>
      <c r="U19">
        <v>0.11510387450460316</v>
      </c>
      <c r="V19" t="s">
        <v>40</v>
      </c>
      <c r="X19" t="s">
        <v>98</v>
      </c>
      <c r="Y19" t="s">
        <v>108</v>
      </c>
      <c r="Z19" t="s">
        <v>47</v>
      </c>
      <c r="AA19">
        <v>1E-3</v>
      </c>
      <c r="AH19" t="s">
        <v>5</v>
      </c>
      <c r="AI19" t="s">
        <v>98</v>
      </c>
      <c r="AJ19">
        <v>0.11485062661500635</v>
      </c>
    </row>
    <row r="20" spans="9:36" x14ac:dyDescent="0.35">
      <c r="I20" t="s">
        <v>45</v>
      </c>
      <c r="J20" t="s">
        <v>99</v>
      </c>
      <c r="K20">
        <v>4.5164390949668322E-2</v>
      </c>
      <c r="L20" t="s">
        <v>40</v>
      </c>
      <c r="N20" t="s">
        <v>46</v>
      </c>
      <c r="O20" t="s">
        <v>99</v>
      </c>
      <c r="P20">
        <v>2.0367354299406455E-2</v>
      </c>
      <c r="Q20" t="s">
        <v>40</v>
      </c>
      <c r="S20" t="s">
        <v>47</v>
      </c>
      <c r="T20" t="s">
        <v>99</v>
      </c>
      <c r="U20">
        <v>2.2717226593956107E-2</v>
      </c>
      <c r="V20" t="s">
        <v>40</v>
      </c>
      <c r="X20" t="s">
        <v>99</v>
      </c>
      <c r="Y20" t="s">
        <v>108</v>
      </c>
      <c r="Z20" t="s">
        <v>47</v>
      </c>
      <c r="AA20">
        <v>1E-3</v>
      </c>
      <c r="AH20" t="s">
        <v>5</v>
      </c>
      <c r="AI20" t="s">
        <v>99</v>
      </c>
      <c r="AJ20">
        <v>2.1125383361665393E-2</v>
      </c>
    </row>
    <row r="21" spans="9:36" x14ac:dyDescent="0.35">
      <c r="I21" t="s">
        <v>45</v>
      </c>
      <c r="J21" t="s">
        <v>100</v>
      </c>
      <c r="K21">
        <v>0.33561434870423984</v>
      </c>
      <c r="L21" t="s">
        <v>40</v>
      </c>
      <c r="N21" t="s">
        <v>46</v>
      </c>
      <c r="O21" t="s">
        <v>100</v>
      </c>
      <c r="P21">
        <v>7.4851005301479756E-2</v>
      </c>
      <c r="Q21" t="s">
        <v>40</v>
      </c>
      <c r="S21" t="s">
        <v>47</v>
      </c>
      <c r="T21" t="s">
        <v>100</v>
      </c>
      <c r="U21">
        <v>6.4770986622185736E-2</v>
      </c>
      <c r="V21" t="s">
        <v>40</v>
      </c>
      <c r="X21" t="s">
        <v>100</v>
      </c>
      <c r="Y21" t="s">
        <v>108</v>
      </c>
      <c r="Z21" t="s">
        <v>47</v>
      </c>
      <c r="AA21">
        <v>1E-3</v>
      </c>
      <c r="AH21" t="s">
        <v>5</v>
      </c>
      <c r="AI21" t="s">
        <v>100</v>
      </c>
      <c r="AJ21">
        <v>0.11653911207601672</v>
      </c>
    </row>
    <row r="22" spans="9:36" x14ac:dyDescent="0.35">
      <c r="I22" t="s">
        <v>45</v>
      </c>
      <c r="J22" t="s">
        <v>101</v>
      </c>
      <c r="K22">
        <v>3.524310839296195E-2</v>
      </c>
      <c r="L22" t="s">
        <v>40</v>
      </c>
      <c r="N22" t="s">
        <v>46</v>
      </c>
      <c r="O22" t="s">
        <v>101</v>
      </c>
      <c r="P22">
        <v>8.2921888656091305E-2</v>
      </c>
      <c r="Q22" t="s">
        <v>40</v>
      </c>
      <c r="S22" t="s">
        <v>47</v>
      </c>
      <c r="T22" t="s">
        <v>101</v>
      </c>
      <c r="U22">
        <v>7.116516022436771E-2</v>
      </c>
      <c r="V22" t="s">
        <v>40</v>
      </c>
      <c r="X22" t="s">
        <v>101</v>
      </c>
      <c r="Y22" t="s">
        <v>108</v>
      </c>
      <c r="Z22" t="s">
        <v>47</v>
      </c>
      <c r="AA22">
        <v>1E-3</v>
      </c>
      <c r="AH22" t="s">
        <v>5</v>
      </c>
      <c r="AI22" t="s">
        <v>101</v>
      </c>
      <c r="AJ22">
        <v>0.11417854497501884</v>
      </c>
    </row>
    <row r="23" spans="9:36" x14ac:dyDescent="0.35">
      <c r="I23" t="s">
        <v>45</v>
      </c>
      <c r="J23" t="s">
        <v>102</v>
      </c>
      <c r="K23">
        <v>4.934939454917707E-2</v>
      </c>
      <c r="L23" t="s">
        <v>40</v>
      </c>
      <c r="N23" t="s">
        <v>46</v>
      </c>
      <c r="O23" t="s">
        <v>102</v>
      </c>
      <c r="P23">
        <v>1.4816908194568044E-2</v>
      </c>
      <c r="Q23" t="s">
        <v>40</v>
      </c>
      <c r="S23" t="s">
        <v>47</v>
      </c>
      <c r="T23" t="s">
        <v>102</v>
      </c>
      <c r="U23">
        <v>1.3654935997665195E-2</v>
      </c>
      <c r="V23" t="s">
        <v>40</v>
      </c>
      <c r="X23" t="s">
        <v>102</v>
      </c>
      <c r="Y23" t="s">
        <v>108</v>
      </c>
      <c r="Z23" t="s">
        <v>47</v>
      </c>
      <c r="AA23">
        <v>1E-3</v>
      </c>
      <c r="AH23" t="s">
        <v>5</v>
      </c>
      <c r="AI23" t="s">
        <v>102</v>
      </c>
      <c r="AJ23">
        <v>2.1131908763385672E-2</v>
      </c>
    </row>
    <row r="24" spans="9:36" x14ac:dyDescent="0.35">
      <c r="I24" t="s">
        <v>45</v>
      </c>
      <c r="J24" t="s">
        <v>103</v>
      </c>
      <c r="K24">
        <v>4.6931710747620793E-2</v>
      </c>
      <c r="L24" t="s">
        <v>40</v>
      </c>
      <c r="N24" t="s">
        <v>46</v>
      </c>
      <c r="O24" t="s">
        <v>103</v>
      </c>
      <c r="P24">
        <v>0.14476340865714046</v>
      </c>
      <c r="Q24" t="s">
        <v>40</v>
      </c>
      <c r="S24" t="s">
        <v>47</v>
      </c>
      <c r="T24" t="s">
        <v>103</v>
      </c>
      <c r="U24">
        <v>0.14242997731860263</v>
      </c>
      <c r="V24" t="s">
        <v>40</v>
      </c>
      <c r="X24" t="s">
        <v>103</v>
      </c>
      <c r="Y24" t="s">
        <v>108</v>
      </c>
      <c r="Z24" t="s">
        <v>47</v>
      </c>
      <c r="AA24">
        <v>1E-3</v>
      </c>
      <c r="AH24" t="s">
        <v>5</v>
      </c>
      <c r="AI24" t="s">
        <v>103</v>
      </c>
      <c r="AJ24">
        <v>0.11351511345077332</v>
      </c>
    </row>
    <row r="25" spans="9:36" x14ac:dyDescent="0.35">
      <c r="I25" t="s">
        <v>45</v>
      </c>
      <c r="J25" t="s">
        <v>104</v>
      </c>
      <c r="K25">
        <v>0</v>
      </c>
      <c r="L25" t="s">
        <v>40</v>
      </c>
      <c r="N25" t="s">
        <v>46</v>
      </c>
      <c r="O25" t="s">
        <v>104</v>
      </c>
      <c r="P25">
        <v>0.13980790689267938</v>
      </c>
      <c r="Q25" t="s">
        <v>40</v>
      </c>
      <c r="S25" t="s">
        <v>47</v>
      </c>
      <c r="T25" t="s">
        <v>104</v>
      </c>
      <c r="U25">
        <v>0.13952110054866063</v>
      </c>
      <c r="V25" t="s">
        <v>40</v>
      </c>
      <c r="X25" t="s">
        <v>104</v>
      </c>
      <c r="Y25" t="s">
        <v>108</v>
      </c>
      <c r="Z25" t="s">
        <v>47</v>
      </c>
      <c r="AA25">
        <v>1E-3</v>
      </c>
      <c r="AH25" t="s">
        <v>5</v>
      </c>
      <c r="AI25" t="s">
        <v>104</v>
      </c>
      <c r="AJ25">
        <v>0.11259215715032031</v>
      </c>
    </row>
    <row r="26" spans="9:36" x14ac:dyDescent="0.35">
      <c r="I26" t="s">
        <v>45</v>
      </c>
      <c r="J26" t="s">
        <v>105</v>
      </c>
      <c r="K26">
        <v>1.5271456592435997E-3</v>
      </c>
      <c r="L26" t="s">
        <v>40</v>
      </c>
      <c r="N26" t="s">
        <v>46</v>
      </c>
      <c r="O26" t="s">
        <v>105</v>
      </c>
      <c r="P26">
        <v>2.5906599168361417E-2</v>
      </c>
      <c r="Q26" t="s">
        <v>40</v>
      </c>
      <c r="S26" t="s">
        <v>47</v>
      </c>
      <c r="T26" t="s">
        <v>105</v>
      </c>
      <c r="U26">
        <v>2.6465631871926132E-2</v>
      </c>
      <c r="V26" t="s">
        <v>40</v>
      </c>
      <c r="X26" t="s">
        <v>105</v>
      </c>
      <c r="Y26" t="s">
        <v>108</v>
      </c>
      <c r="Z26" t="s">
        <v>47</v>
      </c>
      <c r="AA26">
        <v>1E-3</v>
      </c>
      <c r="AH26" t="s">
        <v>5</v>
      </c>
      <c r="AI26" t="s">
        <v>105</v>
      </c>
      <c r="AJ26">
        <v>2.0650086289286402E-2</v>
      </c>
    </row>
    <row r="27" spans="9:36" x14ac:dyDescent="0.35">
      <c r="I27" t="s">
        <v>48</v>
      </c>
      <c r="J27" t="s">
        <v>89</v>
      </c>
      <c r="K27">
        <v>0.12946371659654152</v>
      </c>
      <c r="L27" t="s">
        <v>40</v>
      </c>
      <c r="N27" t="s">
        <v>49</v>
      </c>
      <c r="O27" t="s">
        <v>89</v>
      </c>
      <c r="P27">
        <v>0.12351433556883835</v>
      </c>
      <c r="Q27" t="s">
        <v>40</v>
      </c>
      <c r="S27" t="s">
        <v>50</v>
      </c>
      <c r="T27" t="s">
        <v>89</v>
      </c>
      <c r="U27">
        <v>0.13000667834123067</v>
      </c>
      <c r="V27" t="s">
        <v>40</v>
      </c>
      <c r="X27" t="s">
        <v>89</v>
      </c>
      <c r="Y27" t="s">
        <v>108</v>
      </c>
      <c r="Z27" t="s">
        <v>50</v>
      </c>
      <c r="AA27">
        <v>1E-3</v>
      </c>
    </row>
    <row r="28" spans="9:36" x14ac:dyDescent="0.35">
      <c r="I28" t="s">
        <v>48</v>
      </c>
      <c r="J28" t="s">
        <v>92</v>
      </c>
      <c r="K28">
        <v>1.1890659952457959E-3</v>
      </c>
      <c r="L28" t="s">
        <v>40</v>
      </c>
      <c r="N28" t="s">
        <v>49</v>
      </c>
      <c r="O28" t="s">
        <v>92</v>
      </c>
      <c r="P28">
        <v>0.1276064124261225</v>
      </c>
      <c r="Q28" t="s">
        <v>40</v>
      </c>
      <c r="S28" t="s">
        <v>50</v>
      </c>
      <c r="T28" t="s">
        <v>92</v>
      </c>
      <c r="U28">
        <v>0.1493447595855007</v>
      </c>
      <c r="V28" t="s">
        <v>40</v>
      </c>
      <c r="X28" t="s">
        <v>92</v>
      </c>
      <c r="Y28" t="s">
        <v>108</v>
      </c>
      <c r="Z28" t="s">
        <v>50</v>
      </c>
      <c r="AA28">
        <v>1E-3</v>
      </c>
    </row>
    <row r="29" spans="9:36" x14ac:dyDescent="0.35">
      <c r="I29" t="s">
        <v>48</v>
      </c>
      <c r="J29" t="s">
        <v>95</v>
      </c>
      <c r="K29">
        <v>1.1641178367336654E-2</v>
      </c>
      <c r="L29" t="s">
        <v>40</v>
      </c>
      <c r="N29" t="s">
        <v>49</v>
      </c>
      <c r="O29" t="s">
        <v>95</v>
      </c>
      <c r="P29">
        <v>2.4071670414895937E-2</v>
      </c>
      <c r="Q29" t="s">
        <v>40</v>
      </c>
      <c r="S29" t="s">
        <v>50</v>
      </c>
      <c r="T29" t="s">
        <v>95</v>
      </c>
      <c r="U29">
        <v>2.4557391106324163E-2</v>
      </c>
      <c r="V29" t="s">
        <v>40</v>
      </c>
      <c r="X29" t="s">
        <v>95</v>
      </c>
      <c r="Y29" t="s">
        <v>108</v>
      </c>
      <c r="Z29" t="s">
        <v>50</v>
      </c>
      <c r="AA29">
        <v>1E-3</v>
      </c>
    </row>
    <row r="30" spans="9:36" x14ac:dyDescent="0.35">
      <c r="I30" t="s">
        <v>48</v>
      </c>
      <c r="J30" t="s">
        <v>97</v>
      </c>
      <c r="K30">
        <v>0.3282040069905483</v>
      </c>
      <c r="L30" t="s">
        <v>40</v>
      </c>
      <c r="N30" t="s">
        <v>49</v>
      </c>
      <c r="O30" t="s">
        <v>97</v>
      </c>
      <c r="P30">
        <v>0.10743651573839856</v>
      </c>
      <c r="Q30" t="s">
        <v>40</v>
      </c>
      <c r="S30" t="s">
        <v>50</v>
      </c>
      <c r="T30" t="s">
        <v>97</v>
      </c>
      <c r="U30">
        <v>9.9733771623240097E-2</v>
      </c>
      <c r="V30" t="s">
        <v>40</v>
      </c>
      <c r="X30" t="s">
        <v>97</v>
      </c>
      <c r="Y30" t="s">
        <v>108</v>
      </c>
      <c r="Z30" t="s">
        <v>50</v>
      </c>
      <c r="AA30">
        <v>1E-3</v>
      </c>
    </row>
    <row r="31" spans="9:36" x14ac:dyDescent="0.35">
      <c r="I31" t="s">
        <v>48</v>
      </c>
      <c r="J31" t="s">
        <v>98</v>
      </c>
      <c r="K31">
        <v>1.405724243635203E-2</v>
      </c>
      <c r="L31" t="s">
        <v>40</v>
      </c>
      <c r="N31" t="s">
        <v>49</v>
      </c>
      <c r="O31" t="s">
        <v>98</v>
      </c>
      <c r="P31">
        <v>0.11261469323631694</v>
      </c>
      <c r="Q31" t="s">
        <v>40</v>
      </c>
      <c r="S31" t="s">
        <v>50</v>
      </c>
      <c r="T31" t="s">
        <v>98</v>
      </c>
      <c r="U31">
        <v>0.11794909889203112</v>
      </c>
      <c r="V31" t="s">
        <v>40</v>
      </c>
      <c r="X31" t="s">
        <v>98</v>
      </c>
      <c r="Y31" t="s">
        <v>108</v>
      </c>
      <c r="Z31" t="s">
        <v>50</v>
      </c>
      <c r="AA31">
        <v>1E-3</v>
      </c>
    </row>
    <row r="32" spans="9:36" x14ac:dyDescent="0.35">
      <c r="I32" t="s">
        <v>48</v>
      </c>
      <c r="J32" t="s">
        <v>99</v>
      </c>
      <c r="K32">
        <v>4.3907688164808209E-2</v>
      </c>
      <c r="L32" t="s">
        <v>40</v>
      </c>
      <c r="N32" t="s">
        <v>49</v>
      </c>
      <c r="O32" t="s">
        <v>99</v>
      </c>
      <c r="P32">
        <v>2.0812569196136516E-2</v>
      </c>
      <c r="Q32" t="s">
        <v>40</v>
      </c>
      <c r="S32" t="s">
        <v>50</v>
      </c>
      <c r="T32" t="s">
        <v>99</v>
      </c>
      <c r="U32">
        <v>2.1149634260240101E-2</v>
      </c>
      <c r="V32" t="s">
        <v>40</v>
      </c>
      <c r="X32" t="s">
        <v>99</v>
      </c>
      <c r="Y32" t="s">
        <v>108</v>
      </c>
      <c r="Z32" t="s">
        <v>50</v>
      </c>
      <c r="AA32">
        <v>1E-3</v>
      </c>
    </row>
    <row r="33" spans="9:27" x14ac:dyDescent="0.35">
      <c r="I33" t="s">
        <v>48</v>
      </c>
      <c r="J33" t="s">
        <v>100</v>
      </c>
      <c r="K33">
        <v>0.33403597655725259</v>
      </c>
      <c r="L33" t="s">
        <v>40</v>
      </c>
      <c r="N33" t="s">
        <v>49</v>
      </c>
      <c r="O33" t="s">
        <v>100</v>
      </c>
      <c r="P33">
        <v>8.1661604151791981E-2</v>
      </c>
      <c r="Q33" t="s">
        <v>40</v>
      </c>
      <c r="S33" t="s">
        <v>50</v>
      </c>
      <c r="T33" t="s">
        <v>100</v>
      </c>
      <c r="U33">
        <v>6.0610473518661813E-2</v>
      </c>
      <c r="V33" t="s">
        <v>40</v>
      </c>
      <c r="X33" t="s">
        <v>100</v>
      </c>
      <c r="Y33" t="s">
        <v>108</v>
      </c>
      <c r="Z33" t="s">
        <v>50</v>
      </c>
      <c r="AA33">
        <v>1E-3</v>
      </c>
    </row>
    <row r="34" spans="9:27" x14ac:dyDescent="0.35">
      <c r="I34" t="s">
        <v>48</v>
      </c>
      <c r="J34" t="s">
        <v>101</v>
      </c>
      <c r="K34">
        <v>3.4785762810850281E-2</v>
      </c>
      <c r="L34" t="s">
        <v>40</v>
      </c>
      <c r="N34" t="s">
        <v>49</v>
      </c>
      <c r="O34" t="s">
        <v>101</v>
      </c>
      <c r="P34">
        <v>8.4711064271707354E-2</v>
      </c>
      <c r="Q34" t="s">
        <v>40</v>
      </c>
      <c r="S34" t="s">
        <v>50</v>
      </c>
      <c r="T34" t="s">
        <v>101</v>
      </c>
      <c r="U34">
        <v>7.46624292608115E-2</v>
      </c>
      <c r="V34" t="s">
        <v>40</v>
      </c>
      <c r="X34" t="s">
        <v>101</v>
      </c>
      <c r="Y34" t="s">
        <v>108</v>
      </c>
      <c r="Z34" t="s">
        <v>50</v>
      </c>
      <c r="AA34">
        <v>1E-3</v>
      </c>
    </row>
    <row r="35" spans="9:27" x14ac:dyDescent="0.35">
      <c r="I35" t="s">
        <v>48</v>
      </c>
      <c r="J35" t="s">
        <v>102</v>
      </c>
      <c r="K35">
        <v>4.9542588554788984E-2</v>
      </c>
      <c r="L35" t="s">
        <v>40</v>
      </c>
      <c r="N35" t="s">
        <v>49</v>
      </c>
      <c r="O35" t="s">
        <v>102</v>
      </c>
      <c r="P35">
        <v>1.6467166750910506E-2</v>
      </c>
      <c r="Q35" t="s">
        <v>40</v>
      </c>
      <c r="S35" t="s">
        <v>50</v>
      </c>
      <c r="T35" t="s">
        <v>102</v>
      </c>
      <c r="U35">
        <v>1.0355765141517342E-2</v>
      </c>
      <c r="V35" t="s">
        <v>40</v>
      </c>
      <c r="X35" t="s">
        <v>102</v>
      </c>
      <c r="Y35" t="s">
        <v>108</v>
      </c>
      <c r="Z35" t="s">
        <v>50</v>
      </c>
      <c r="AA35">
        <v>1E-3</v>
      </c>
    </row>
    <row r="36" spans="9:27" x14ac:dyDescent="0.35">
      <c r="I36" t="s">
        <v>48</v>
      </c>
      <c r="J36" t="s">
        <v>103</v>
      </c>
      <c r="K36">
        <v>5.1502029941549995E-2</v>
      </c>
      <c r="L36" t="s">
        <v>40</v>
      </c>
      <c r="N36" t="s">
        <v>49</v>
      </c>
      <c r="O36" t="s">
        <v>103</v>
      </c>
      <c r="P36">
        <v>0.13903683459611321</v>
      </c>
      <c r="Q36" t="s">
        <v>40</v>
      </c>
      <c r="S36" t="s">
        <v>50</v>
      </c>
      <c r="T36" t="s">
        <v>103</v>
      </c>
      <c r="U36">
        <v>0.14073200965808416</v>
      </c>
      <c r="V36" t="s">
        <v>40</v>
      </c>
      <c r="X36" t="s">
        <v>103</v>
      </c>
      <c r="Y36" t="s">
        <v>108</v>
      </c>
      <c r="Z36" t="s">
        <v>50</v>
      </c>
      <c r="AA36">
        <v>1E-3</v>
      </c>
    </row>
    <row r="37" spans="9:27" x14ac:dyDescent="0.35">
      <c r="I37" t="s">
        <v>48</v>
      </c>
      <c r="J37" t="s">
        <v>104</v>
      </c>
      <c r="K37">
        <v>0</v>
      </c>
      <c r="L37" t="s">
        <v>40</v>
      </c>
      <c r="N37" t="s">
        <v>49</v>
      </c>
      <c r="O37" t="s">
        <v>104</v>
      </c>
      <c r="P37">
        <v>0.1366006422733719</v>
      </c>
      <c r="Q37" t="s">
        <v>40</v>
      </c>
      <c r="S37" t="s">
        <v>50</v>
      </c>
      <c r="T37" t="s">
        <v>104</v>
      </c>
      <c r="U37">
        <v>0.1440053677999748</v>
      </c>
      <c r="V37" t="s">
        <v>40</v>
      </c>
      <c r="X37" t="s">
        <v>104</v>
      </c>
      <c r="Y37" t="s">
        <v>108</v>
      </c>
      <c r="Z37" t="s">
        <v>50</v>
      </c>
      <c r="AA37">
        <v>1E-3</v>
      </c>
    </row>
    <row r="38" spans="9:27" x14ac:dyDescent="0.35">
      <c r="I38" t="s">
        <v>48</v>
      </c>
      <c r="J38" t="s">
        <v>105</v>
      </c>
      <c r="K38">
        <v>1.6707435847249606E-3</v>
      </c>
      <c r="L38" t="s">
        <v>40</v>
      </c>
      <c r="N38" t="s">
        <v>49</v>
      </c>
      <c r="O38" t="s">
        <v>105</v>
      </c>
      <c r="P38">
        <v>2.5466491375397582E-2</v>
      </c>
      <c r="Q38" t="s">
        <v>40</v>
      </c>
      <c r="S38" t="s">
        <v>50</v>
      </c>
      <c r="T38" t="s">
        <v>105</v>
      </c>
      <c r="U38">
        <v>2.6892620812382216E-2</v>
      </c>
      <c r="V38" t="s">
        <v>40</v>
      </c>
      <c r="X38" t="s">
        <v>105</v>
      </c>
      <c r="Y38" t="s">
        <v>108</v>
      </c>
      <c r="Z38" t="s">
        <v>50</v>
      </c>
      <c r="AA38">
        <v>1E-3</v>
      </c>
    </row>
    <row r="39" spans="9:27" x14ac:dyDescent="0.35">
      <c r="I39" t="s">
        <v>51</v>
      </c>
      <c r="J39" t="s">
        <v>89</v>
      </c>
      <c r="K39">
        <v>0.13788965436774442</v>
      </c>
      <c r="L39" t="s">
        <v>40</v>
      </c>
      <c r="N39" t="s">
        <v>52</v>
      </c>
      <c r="O39" t="s">
        <v>89</v>
      </c>
      <c r="P39">
        <v>0.13047343663957478</v>
      </c>
      <c r="Q39" t="s">
        <v>40</v>
      </c>
      <c r="S39" t="s">
        <v>53</v>
      </c>
      <c r="T39" t="s">
        <v>89</v>
      </c>
      <c r="U39">
        <v>0.12531261547904199</v>
      </c>
      <c r="V39" t="s">
        <v>40</v>
      </c>
      <c r="Y39" t="s">
        <v>108</v>
      </c>
      <c r="Z39" t="s">
        <v>53</v>
      </c>
    </row>
    <row r="40" spans="9:27" x14ac:dyDescent="0.35">
      <c r="I40" t="s">
        <v>51</v>
      </c>
      <c r="J40" t="s">
        <v>92</v>
      </c>
      <c r="K40">
        <v>0</v>
      </c>
      <c r="L40" t="s">
        <v>40</v>
      </c>
      <c r="N40" t="s">
        <v>52</v>
      </c>
      <c r="O40" t="s">
        <v>92</v>
      </c>
      <c r="P40">
        <v>0.1431973274361146</v>
      </c>
      <c r="Q40" t="s">
        <v>40</v>
      </c>
      <c r="S40" t="s">
        <v>53</v>
      </c>
      <c r="T40" t="s">
        <v>92</v>
      </c>
      <c r="U40">
        <v>0.13083677858151507</v>
      </c>
      <c r="V40" t="s">
        <v>40</v>
      </c>
      <c r="Y40" t="s">
        <v>108</v>
      </c>
      <c r="Z40" t="s">
        <v>53</v>
      </c>
    </row>
    <row r="41" spans="9:27" x14ac:dyDescent="0.35">
      <c r="I41" t="s">
        <v>51</v>
      </c>
      <c r="J41" t="s">
        <v>95</v>
      </c>
      <c r="K41">
        <v>6.665227354950779E-3</v>
      </c>
      <c r="L41" t="s">
        <v>40</v>
      </c>
      <c r="N41" t="s">
        <v>52</v>
      </c>
      <c r="O41" t="s">
        <v>95</v>
      </c>
      <c r="P41">
        <v>2.4574192809648652E-2</v>
      </c>
      <c r="Q41" t="s">
        <v>40</v>
      </c>
      <c r="S41" t="s">
        <v>53</v>
      </c>
      <c r="T41" t="s">
        <v>95</v>
      </c>
      <c r="U41">
        <v>2.4337979615677702E-2</v>
      </c>
      <c r="V41" t="s">
        <v>40</v>
      </c>
      <c r="Y41" t="s">
        <v>108</v>
      </c>
      <c r="Z41" t="s">
        <v>53</v>
      </c>
    </row>
    <row r="42" spans="9:27" x14ac:dyDescent="0.35">
      <c r="I42" t="s">
        <v>51</v>
      </c>
      <c r="J42" t="s">
        <v>97</v>
      </c>
      <c r="K42">
        <v>0.33262402906176292</v>
      </c>
      <c r="L42" t="s">
        <v>40</v>
      </c>
      <c r="N42" t="s">
        <v>52</v>
      </c>
      <c r="O42" t="s">
        <v>97</v>
      </c>
      <c r="P42">
        <v>0.10204606651976254</v>
      </c>
      <c r="Q42" t="s">
        <v>40</v>
      </c>
      <c r="S42" t="s">
        <v>53</v>
      </c>
      <c r="T42" t="s">
        <v>97</v>
      </c>
      <c r="U42">
        <v>0.11870502168186438</v>
      </c>
      <c r="V42" t="s">
        <v>40</v>
      </c>
      <c r="Y42" t="s">
        <v>108</v>
      </c>
      <c r="Z42" t="s">
        <v>53</v>
      </c>
    </row>
    <row r="43" spans="9:27" x14ac:dyDescent="0.35">
      <c r="I43" t="s">
        <v>51</v>
      </c>
      <c r="J43" t="s">
        <v>98</v>
      </c>
      <c r="K43">
        <v>1.2215618714814573E-2</v>
      </c>
      <c r="L43" t="s">
        <v>40</v>
      </c>
      <c r="N43" t="s">
        <v>52</v>
      </c>
      <c r="O43" t="s">
        <v>98</v>
      </c>
      <c r="P43">
        <v>0.12042192738740498</v>
      </c>
      <c r="Q43" t="s">
        <v>40</v>
      </c>
      <c r="S43" t="s">
        <v>53</v>
      </c>
      <c r="T43" t="s">
        <v>98</v>
      </c>
      <c r="U43">
        <v>0.11390109476905269</v>
      </c>
      <c r="V43" t="s">
        <v>40</v>
      </c>
      <c r="Y43" t="s">
        <v>108</v>
      </c>
      <c r="Z43" t="s">
        <v>53</v>
      </c>
    </row>
    <row r="44" spans="9:27" x14ac:dyDescent="0.35">
      <c r="I44" t="s">
        <v>51</v>
      </c>
      <c r="J44" t="s">
        <v>99</v>
      </c>
      <c r="K44">
        <v>3.3338127056515725E-2</v>
      </c>
      <c r="L44" t="s">
        <v>40</v>
      </c>
      <c r="N44" t="s">
        <v>52</v>
      </c>
      <c r="O44" t="s">
        <v>99</v>
      </c>
      <c r="P44">
        <v>2.1339892428197442E-2</v>
      </c>
      <c r="Q44" t="s">
        <v>40</v>
      </c>
      <c r="S44" t="s">
        <v>53</v>
      </c>
      <c r="T44" t="s">
        <v>99</v>
      </c>
      <c r="U44">
        <v>2.2997350797858758E-2</v>
      </c>
      <c r="V44" t="s">
        <v>40</v>
      </c>
      <c r="Y44" t="s">
        <v>108</v>
      </c>
      <c r="Z44" t="s">
        <v>53</v>
      </c>
    </row>
    <row r="45" spans="9:27" x14ac:dyDescent="0.35">
      <c r="I45" t="s">
        <v>51</v>
      </c>
      <c r="J45" t="s">
        <v>100</v>
      </c>
      <c r="K45">
        <v>0.34863486920426295</v>
      </c>
      <c r="L45" t="s">
        <v>40</v>
      </c>
      <c r="N45" t="s">
        <v>52</v>
      </c>
      <c r="O45" t="s">
        <v>100</v>
      </c>
      <c r="P45">
        <v>6.2841226611418957E-2</v>
      </c>
      <c r="Q45" t="s">
        <v>40</v>
      </c>
      <c r="S45" t="s">
        <v>53</v>
      </c>
      <c r="T45" t="s">
        <v>100</v>
      </c>
      <c r="U45">
        <v>7.56193724210978E-2</v>
      </c>
      <c r="V45" t="s">
        <v>40</v>
      </c>
      <c r="Y45" t="s">
        <v>108</v>
      </c>
      <c r="Z45" t="s">
        <v>53</v>
      </c>
    </row>
    <row r="46" spans="9:27" x14ac:dyDescent="0.35">
      <c r="I46" t="s">
        <v>51</v>
      </c>
      <c r="J46" t="s">
        <v>101</v>
      </c>
      <c r="K46">
        <v>3.237111227528975E-2</v>
      </c>
      <c r="L46" t="s">
        <v>40</v>
      </c>
      <c r="N46" t="s">
        <v>52</v>
      </c>
      <c r="O46" t="s">
        <v>101</v>
      </c>
      <c r="P46">
        <v>7.5773194606755301E-2</v>
      </c>
      <c r="Q46" t="s">
        <v>40</v>
      </c>
      <c r="S46" t="s">
        <v>53</v>
      </c>
      <c r="T46" t="s">
        <v>101</v>
      </c>
      <c r="U46">
        <v>7.8710494349623947E-2</v>
      </c>
      <c r="V46" t="s">
        <v>40</v>
      </c>
      <c r="Y46" t="s">
        <v>108</v>
      </c>
      <c r="Z46" t="s">
        <v>53</v>
      </c>
    </row>
    <row r="47" spans="9:27" x14ac:dyDescent="0.35">
      <c r="I47" t="s">
        <v>51</v>
      </c>
      <c r="J47" t="s">
        <v>102</v>
      </c>
      <c r="K47">
        <v>4.6006957860412742E-2</v>
      </c>
      <c r="L47" t="s">
        <v>40</v>
      </c>
      <c r="N47" t="s">
        <v>52</v>
      </c>
      <c r="O47" t="s">
        <v>102</v>
      </c>
      <c r="P47">
        <v>1.1933080578166047E-2</v>
      </c>
      <c r="Q47" t="s">
        <v>40</v>
      </c>
      <c r="S47" t="s">
        <v>53</v>
      </c>
      <c r="T47" t="s">
        <v>102</v>
      </c>
      <c r="U47">
        <v>1.5791474080911815E-2</v>
      </c>
      <c r="V47" t="s">
        <v>40</v>
      </c>
      <c r="Y47" t="s">
        <v>108</v>
      </c>
      <c r="Z47" t="s">
        <v>53</v>
      </c>
    </row>
    <row r="48" spans="9:27" x14ac:dyDescent="0.35">
      <c r="I48" t="s">
        <v>51</v>
      </c>
      <c r="J48" t="s">
        <v>103</v>
      </c>
      <c r="K48">
        <v>4.9775657695302372E-2</v>
      </c>
      <c r="L48" t="s">
        <v>40</v>
      </c>
      <c r="N48" t="s">
        <v>52</v>
      </c>
      <c r="O48" t="s">
        <v>103</v>
      </c>
      <c r="P48">
        <v>0.14210599138999719</v>
      </c>
      <c r="Q48" t="s">
        <v>40</v>
      </c>
      <c r="S48" t="s">
        <v>53</v>
      </c>
      <c r="T48" t="s">
        <v>103</v>
      </c>
      <c r="U48">
        <v>0.13827583527529683</v>
      </c>
      <c r="V48" t="s">
        <v>40</v>
      </c>
      <c r="Y48" t="s">
        <v>108</v>
      </c>
      <c r="Z48" t="s">
        <v>53</v>
      </c>
    </row>
    <row r="49" spans="9:26" x14ac:dyDescent="0.35">
      <c r="I49" t="s">
        <v>51</v>
      </c>
      <c r="J49" t="s">
        <v>104</v>
      </c>
      <c r="K49">
        <v>0</v>
      </c>
      <c r="L49" t="s">
        <v>40</v>
      </c>
      <c r="N49" t="s">
        <v>52</v>
      </c>
      <c r="O49" t="s">
        <v>104</v>
      </c>
      <c r="P49">
        <v>0.1390792088165978</v>
      </c>
      <c r="Q49" t="s">
        <v>40</v>
      </c>
      <c r="S49" t="s">
        <v>53</v>
      </c>
      <c r="T49" t="s">
        <v>104</v>
      </c>
      <c r="U49">
        <v>0.13027355061043067</v>
      </c>
      <c r="V49" t="s">
        <v>40</v>
      </c>
      <c r="Y49" t="s">
        <v>108</v>
      </c>
      <c r="Z49" t="s">
        <v>53</v>
      </c>
    </row>
    <row r="50" spans="9:26" x14ac:dyDescent="0.35">
      <c r="I50" t="s">
        <v>51</v>
      </c>
      <c r="J50" t="s">
        <v>105</v>
      </c>
      <c r="K50">
        <v>4.7874640894123255E-4</v>
      </c>
      <c r="L50" t="s">
        <v>40</v>
      </c>
      <c r="N50" t="s">
        <v>52</v>
      </c>
      <c r="O50" t="s">
        <v>105</v>
      </c>
      <c r="P50">
        <v>2.6214454776361244E-2</v>
      </c>
      <c r="Q50" t="s">
        <v>40</v>
      </c>
      <c r="S50" t="s">
        <v>53</v>
      </c>
      <c r="T50" t="s">
        <v>105</v>
      </c>
      <c r="U50">
        <v>2.5238432337622796E-2</v>
      </c>
      <c r="V50" t="s">
        <v>40</v>
      </c>
      <c r="Y50" t="s">
        <v>108</v>
      </c>
      <c r="Z50" t="s">
        <v>53</v>
      </c>
    </row>
    <row r="51" spans="9:26" x14ac:dyDescent="0.35">
      <c r="I51" t="s">
        <v>54</v>
      </c>
      <c r="J51" t="s">
        <v>89</v>
      </c>
      <c r="K51">
        <v>0.13518500255937776</v>
      </c>
      <c r="L51" t="s">
        <v>40</v>
      </c>
      <c r="N51" t="s">
        <v>55</v>
      </c>
      <c r="O51" t="s">
        <v>89</v>
      </c>
      <c r="P51">
        <v>0.12809669945662192</v>
      </c>
      <c r="Q51" t="s">
        <v>40</v>
      </c>
      <c r="S51" t="s">
        <v>56</v>
      </c>
      <c r="T51" t="s">
        <v>89</v>
      </c>
      <c r="U51">
        <v>0.12467109914282766</v>
      </c>
      <c r="V51" t="s">
        <v>40</v>
      </c>
      <c r="Y51" t="s">
        <v>108</v>
      </c>
      <c r="Z51" t="s">
        <v>56</v>
      </c>
    </row>
    <row r="52" spans="9:26" x14ac:dyDescent="0.35">
      <c r="I52" t="s">
        <v>54</v>
      </c>
      <c r="J52" t="s">
        <v>92</v>
      </c>
      <c r="K52">
        <v>0</v>
      </c>
      <c r="L52" t="s">
        <v>40</v>
      </c>
      <c r="N52" t="s">
        <v>55</v>
      </c>
      <c r="O52" t="s">
        <v>92</v>
      </c>
      <c r="P52">
        <v>0.14294726666526825</v>
      </c>
      <c r="Q52" t="s">
        <v>40</v>
      </c>
      <c r="S52" t="s">
        <v>56</v>
      </c>
      <c r="T52" t="s">
        <v>92</v>
      </c>
      <c r="U52">
        <v>0.13382803187589917</v>
      </c>
      <c r="V52" t="s">
        <v>40</v>
      </c>
      <c r="Y52" t="s">
        <v>108</v>
      </c>
      <c r="Z52" t="s">
        <v>56</v>
      </c>
    </row>
    <row r="53" spans="9:26" x14ac:dyDescent="0.35">
      <c r="I53" t="s">
        <v>54</v>
      </c>
      <c r="J53" t="s">
        <v>95</v>
      </c>
      <c r="K53">
        <v>6.5204805630098154E-3</v>
      </c>
      <c r="L53" t="s">
        <v>40</v>
      </c>
      <c r="N53" t="s">
        <v>55</v>
      </c>
      <c r="O53" t="s">
        <v>95</v>
      </c>
      <c r="P53">
        <v>2.4189539484698222E-2</v>
      </c>
      <c r="Q53" t="s">
        <v>40</v>
      </c>
      <c r="S53" t="s">
        <v>56</v>
      </c>
      <c r="T53" t="s">
        <v>95</v>
      </c>
      <c r="U53">
        <v>2.4967780745612622E-2</v>
      </c>
      <c r="V53" t="s">
        <v>40</v>
      </c>
      <c r="Y53" t="s">
        <v>108</v>
      </c>
      <c r="Z53" t="s">
        <v>56</v>
      </c>
    </row>
    <row r="54" spans="9:26" x14ac:dyDescent="0.35">
      <c r="I54" t="s">
        <v>54</v>
      </c>
      <c r="J54" t="s">
        <v>97</v>
      </c>
      <c r="K54">
        <v>0.33039684491230631</v>
      </c>
      <c r="L54" t="s">
        <v>40</v>
      </c>
      <c r="N54" t="s">
        <v>55</v>
      </c>
      <c r="O54" t="s">
        <v>97</v>
      </c>
      <c r="P54">
        <v>0.10285460315212781</v>
      </c>
      <c r="Q54" t="s">
        <v>40</v>
      </c>
      <c r="S54" t="s">
        <v>56</v>
      </c>
      <c r="T54" t="s">
        <v>97</v>
      </c>
      <c r="U54">
        <v>0.11664154412601307</v>
      </c>
      <c r="V54" t="s">
        <v>40</v>
      </c>
      <c r="Y54" t="s">
        <v>108</v>
      </c>
      <c r="Z54" t="s">
        <v>56</v>
      </c>
    </row>
    <row r="55" spans="9:26" x14ac:dyDescent="0.35">
      <c r="I55" t="s">
        <v>54</v>
      </c>
      <c r="J55" t="s">
        <v>98</v>
      </c>
      <c r="K55">
        <v>1.2482741430276839E-2</v>
      </c>
      <c r="L55" t="s">
        <v>40</v>
      </c>
      <c r="N55" t="s">
        <v>55</v>
      </c>
      <c r="O55" t="s">
        <v>98</v>
      </c>
      <c r="P55">
        <v>0.12296274182225456</v>
      </c>
      <c r="Q55" t="s">
        <v>40</v>
      </c>
      <c r="S55" t="s">
        <v>56</v>
      </c>
      <c r="T55" t="s">
        <v>98</v>
      </c>
      <c r="U55">
        <v>0.11335612280245598</v>
      </c>
      <c r="V55" t="s">
        <v>40</v>
      </c>
      <c r="Y55" t="s">
        <v>108</v>
      </c>
      <c r="Z55" t="s">
        <v>56</v>
      </c>
    </row>
    <row r="56" spans="9:26" x14ac:dyDescent="0.35">
      <c r="I56" t="s">
        <v>54</v>
      </c>
      <c r="J56" t="s">
        <v>99</v>
      </c>
      <c r="K56">
        <v>3.5984208919912102E-2</v>
      </c>
      <c r="L56" t="s">
        <v>40</v>
      </c>
      <c r="N56" t="s">
        <v>55</v>
      </c>
      <c r="O56" t="s">
        <v>99</v>
      </c>
      <c r="P56">
        <v>2.0846528140558419E-2</v>
      </c>
      <c r="Q56" t="s">
        <v>40</v>
      </c>
      <c r="S56" t="s">
        <v>56</v>
      </c>
      <c r="T56" t="s">
        <v>99</v>
      </c>
      <c r="U56">
        <v>2.3005859457604739E-2</v>
      </c>
      <c r="V56" t="s">
        <v>40</v>
      </c>
      <c r="Y56" t="s">
        <v>108</v>
      </c>
      <c r="Z56" t="s">
        <v>56</v>
      </c>
    </row>
    <row r="57" spans="9:26" x14ac:dyDescent="0.35">
      <c r="I57" t="s">
        <v>54</v>
      </c>
      <c r="J57" t="s">
        <v>100</v>
      </c>
      <c r="K57">
        <v>0.35073305870189714</v>
      </c>
      <c r="L57" t="s">
        <v>40</v>
      </c>
      <c r="N57" t="s">
        <v>55</v>
      </c>
      <c r="O57" t="s">
        <v>100</v>
      </c>
      <c r="P57">
        <v>6.4472987117987726E-2</v>
      </c>
      <c r="Q57" t="s">
        <v>40</v>
      </c>
      <c r="S57" t="s">
        <v>56</v>
      </c>
      <c r="T57" t="s">
        <v>100</v>
      </c>
      <c r="U57">
        <v>7.3140825094525477E-2</v>
      </c>
      <c r="V57" t="s">
        <v>40</v>
      </c>
      <c r="Y57" t="s">
        <v>108</v>
      </c>
      <c r="Z57" t="s">
        <v>56</v>
      </c>
    </row>
    <row r="58" spans="9:26" x14ac:dyDescent="0.35">
      <c r="I58" t="s">
        <v>54</v>
      </c>
      <c r="J58" t="s">
        <v>101</v>
      </c>
      <c r="K58">
        <v>3.0681573777721495E-2</v>
      </c>
      <c r="L58" t="s">
        <v>40</v>
      </c>
      <c r="N58" t="s">
        <v>55</v>
      </c>
      <c r="O58" t="s">
        <v>101</v>
      </c>
      <c r="P58">
        <v>7.9953031459588916E-2</v>
      </c>
      <c r="Q58" t="s">
        <v>40</v>
      </c>
      <c r="S58" t="s">
        <v>56</v>
      </c>
      <c r="T58" t="s">
        <v>101</v>
      </c>
      <c r="U58">
        <v>7.6077494228898229E-2</v>
      </c>
      <c r="V58" t="s">
        <v>40</v>
      </c>
      <c r="Y58" t="s">
        <v>108</v>
      </c>
      <c r="Z58" t="s">
        <v>56</v>
      </c>
    </row>
    <row r="59" spans="9:26" x14ac:dyDescent="0.35">
      <c r="I59" t="s">
        <v>54</v>
      </c>
      <c r="J59" t="s">
        <v>102</v>
      </c>
      <c r="K59">
        <v>4.7990186592358958E-2</v>
      </c>
      <c r="L59" t="s">
        <v>40</v>
      </c>
      <c r="N59" t="s">
        <v>55</v>
      </c>
      <c r="O59" t="s">
        <v>102</v>
      </c>
      <c r="P59">
        <v>1.0831192914898173E-2</v>
      </c>
      <c r="Q59" t="s">
        <v>40</v>
      </c>
      <c r="S59" t="s">
        <v>56</v>
      </c>
      <c r="T59" t="s">
        <v>102</v>
      </c>
      <c r="U59">
        <v>1.5532888872722767E-2</v>
      </c>
      <c r="V59" t="s">
        <v>40</v>
      </c>
      <c r="Y59" t="s">
        <v>108</v>
      </c>
      <c r="Z59" t="s">
        <v>56</v>
      </c>
    </row>
    <row r="60" spans="9:26" x14ac:dyDescent="0.35">
      <c r="I60" t="s">
        <v>54</v>
      </c>
      <c r="J60" t="s">
        <v>103</v>
      </c>
      <c r="K60">
        <v>4.9167361721862965E-2</v>
      </c>
      <c r="L60" t="s">
        <v>40</v>
      </c>
      <c r="N60" t="s">
        <v>55</v>
      </c>
      <c r="O60" t="s">
        <v>103</v>
      </c>
      <c r="P60">
        <v>0.13902163776782839</v>
      </c>
      <c r="Q60" t="s">
        <v>40</v>
      </c>
      <c r="S60" t="s">
        <v>56</v>
      </c>
      <c r="T60" t="s">
        <v>103</v>
      </c>
      <c r="U60">
        <v>0.13962403881435137</v>
      </c>
      <c r="V60" t="s">
        <v>40</v>
      </c>
      <c r="Y60" t="s">
        <v>108</v>
      </c>
      <c r="Z60" t="s">
        <v>56</v>
      </c>
    </row>
    <row r="61" spans="9:26" x14ac:dyDescent="0.35">
      <c r="I61" t="s">
        <v>54</v>
      </c>
      <c r="J61" t="s">
        <v>104</v>
      </c>
      <c r="K61">
        <v>0</v>
      </c>
      <c r="L61" t="s">
        <v>40</v>
      </c>
      <c r="N61" t="s">
        <v>55</v>
      </c>
      <c r="O61" t="s">
        <v>104</v>
      </c>
      <c r="P61">
        <v>0.13757753926262756</v>
      </c>
      <c r="Q61" t="s">
        <v>40</v>
      </c>
      <c r="S61" t="s">
        <v>56</v>
      </c>
      <c r="T61" t="s">
        <v>104</v>
      </c>
      <c r="U61">
        <v>0.13350837678361063</v>
      </c>
      <c r="V61" t="s">
        <v>40</v>
      </c>
      <c r="Y61" t="s">
        <v>108</v>
      </c>
      <c r="Z61" t="s">
        <v>56</v>
      </c>
    </row>
    <row r="62" spans="9:26" x14ac:dyDescent="0.35">
      <c r="I62" t="s">
        <v>54</v>
      </c>
      <c r="J62" t="s">
        <v>105</v>
      </c>
      <c r="K62">
        <v>8.5854082127588885E-4</v>
      </c>
      <c r="L62" t="s">
        <v>40</v>
      </c>
      <c r="N62" t="s">
        <v>55</v>
      </c>
      <c r="O62" t="s">
        <v>105</v>
      </c>
      <c r="P62">
        <v>2.6246232755542848E-2</v>
      </c>
      <c r="Q62" t="s">
        <v>40</v>
      </c>
      <c r="S62" t="s">
        <v>56</v>
      </c>
      <c r="T62" t="s">
        <v>105</v>
      </c>
      <c r="U62">
        <v>2.5645938055476915E-2</v>
      </c>
      <c r="V62" t="s">
        <v>40</v>
      </c>
      <c r="Y62" t="s">
        <v>108</v>
      </c>
      <c r="Z62" t="s">
        <v>56</v>
      </c>
    </row>
    <row r="63" spans="9:26" x14ac:dyDescent="0.35">
      <c r="I63" t="s">
        <v>57</v>
      </c>
      <c r="J63" t="s">
        <v>89</v>
      </c>
      <c r="K63">
        <v>0.13704076089809919</v>
      </c>
      <c r="L63" t="s">
        <v>40</v>
      </c>
      <c r="N63" t="s">
        <v>58</v>
      </c>
      <c r="O63" t="s">
        <v>89</v>
      </c>
      <c r="P63">
        <v>0.129199134059795</v>
      </c>
      <c r="Q63" t="s">
        <v>40</v>
      </c>
      <c r="S63" t="s">
        <v>59</v>
      </c>
      <c r="T63" t="s">
        <v>89</v>
      </c>
      <c r="U63">
        <v>0.12368926256070416</v>
      </c>
      <c r="V63" t="s">
        <v>40</v>
      </c>
      <c r="Y63" t="s">
        <v>108</v>
      </c>
      <c r="Z63" t="s">
        <v>59</v>
      </c>
    </row>
    <row r="64" spans="9:26" x14ac:dyDescent="0.35">
      <c r="I64" t="s">
        <v>57</v>
      </c>
      <c r="J64" t="s">
        <v>92</v>
      </c>
      <c r="K64">
        <v>0</v>
      </c>
      <c r="L64" t="s">
        <v>40</v>
      </c>
      <c r="N64" t="s">
        <v>58</v>
      </c>
      <c r="O64" t="s">
        <v>92</v>
      </c>
      <c r="P64">
        <v>0.14280869488679127</v>
      </c>
      <c r="Q64" t="s">
        <v>40</v>
      </c>
      <c r="S64" t="s">
        <v>59</v>
      </c>
      <c r="T64" t="s">
        <v>92</v>
      </c>
      <c r="U64">
        <v>0.12747679200925857</v>
      </c>
      <c r="V64" t="s">
        <v>40</v>
      </c>
      <c r="Y64" t="s">
        <v>108</v>
      </c>
      <c r="Z64" t="s">
        <v>59</v>
      </c>
    </row>
    <row r="65" spans="9:26" x14ac:dyDescent="0.35">
      <c r="I65" t="s">
        <v>57</v>
      </c>
      <c r="J65" t="s">
        <v>95</v>
      </c>
      <c r="K65">
        <v>7.0322590090935045E-3</v>
      </c>
      <c r="L65" t="s">
        <v>40</v>
      </c>
      <c r="N65" t="s">
        <v>58</v>
      </c>
      <c r="O65" t="s">
        <v>95</v>
      </c>
      <c r="P65">
        <v>2.4746674590950292E-2</v>
      </c>
      <c r="Q65" t="s">
        <v>40</v>
      </c>
      <c r="S65" t="s">
        <v>59</v>
      </c>
      <c r="T65" t="s">
        <v>95</v>
      </c>
      <c r="U65">
        <v>2.3067692074372089E-2</v>
      </c>
      <c r="V65" t="s">
        <v>40</v>
      </c>
      <c r="Y65" t="s">
        <v>108</v>
      </c>
      <c r="Z65" t="s">
        <v>59</v>
      </c>
    </row>
    <row r="66" spans="9:26" x14ac:dyDescent="0.35">
      <c r="I66" t="s">
        <v>57</v>
      </c>
      <c r="J66" t="s">
        <v>97</v>
      </c>
      <c r="K66">
        <v>0.32259962229292977</v>
      </c>
      <c r="L66" t="s">
        <v>40</v>
      </c>
      <c r="N66" t="s">
        <v>58</v>
      </c>
      <c r="O66" t="s">
        <v>97</v>
      </c>
      <c r="P66">
        <v>0.10145405837111347</v>
      </c>
      <c r="Q66" t="s">
        <v>40</v>
      </c>
      <c r="S66" t="s">
        <v>59</v>
      </c>
      <c r="T66" t="s">
        <v>97</v>
      </c>
      <c r="U66">
        <v>0.11862035712137464</v>
      </c>
      <c r="V66" t="s">
        <v>40</v>
      </c>
      <c r="Y66" t="s">
        <v>108</v>
      </c>
      <c r="Z66" t="s">
        <v>59</v>
      </c>
    </row>
    <row r="67" spans="9:26" x14ac:dyDescent="0.35">
      <c r="I67" t="s">
        <v>57</v>
      </c>
      <c r="J67" t="s">
        <v>98</v>
      </c>
      <c r="K67">
        <v>1.3251866353888513E-2</v>
      </c>
      <c r="L67" t="s">
        <v>40</v>
      </c>
      <c r="N67" t="s">
        <v>58</v>
      </c>
      <c r="O67" t="s">
        <v>98</v>
      </c>
      <c r="P67">
        <v>0.1224410278960416</v>
      </c>
      <c r="Q67" t="s">
        <v>40</v>
      </c>
      <c r="S67" t="s">
        <v>59</v>
      </c>
      <c r="T67" t="s">
        <v>98</v>
      </c>
      <c r="U67">
        <v>0.1148814989821436</v>
      </c>
      <c r="V67" t="s">
        <v>40</v>
      </c>
      <c r="Y67" t="s">
        <v>108</v>
      </c>
      <c r="Z67" t="s">
        <v>59</v>
      </c>
    </row>
    <row r="68" spans="9:26" x14ac:dyDescent="0.35">
      <c r="I68" t="s">
        <v>57</v>
      </c>
      <c r="J68" t="s">
        <v>99</v>
      </c>
      <c r="K68">
        <v>3.6136904502904348E-2</v>
      </c>
      <c r="L68" t="s">
        <v>40</v>
      </c>
      <c r="N68" t="s">
        <v>58</v>
      </c>
      <c r="O68" t="s">
        <v>99</v>
      </c>
      <c r="P68">
        <v>2.1439916031275898E-2</v>
      </c>
      <c r="Q68" t="s">
        <v>40</v>
      </c>
      <c r="S68" t="s">
        <v>59</v>
      </c>
      <c r="T68" t="s">
        <v>99</v>
      </c>
      <c r="U68">
        <v>2.2505030581402973E-2</v>
      </c>
      <c r="V68" t="s">
        <v>40</v>
      </c>
      <c r="Y68" t="s">
        <v>108</v>
      </c>
      <c r="Z68" t="s">
        <v>59</v>
      </c>
    </row>
    <row r="69" spans="9:26" x14ac:dyDescent="0.35">
      <c r="I69" t="s">
        <v>57</v>
      </c>
      <c r="J69" t="s">
        <v>100</v>
      </c>
      <c r="K69">
        <v>0.35515918624160248</v>
      </c>
      <c r="L69" t="s">
        <v>40</v>
      </c>
      <c r="N69" t="s">
        <v>58</v>
      </c>
      <c r="O69" t="s">
        <v>100</v>
      </c>
      <c r="P69">
        <v>6.4543167279016975E-2</v>
      </c>
      <c r="Q69" t="s">
        <v>40</v>
      </c>
      <c r="S69" t="s">
        <v>59</v>
      </c>
      <c r="T69" t="s">
        <v>100</v>
      </c>
      <c r="U69">
        <v>7.9650483940907499E-2</v>
      </c>
      <c r="V69" t="s">
        <v>40</v>
      </c>
      <c r="Y69" t="s">
        <v>108</v>
      </c>
      <c r="Z69" t="s">
        <v>59</v>
      </c>
    </row>
    <row r="70" spans="9:26" x14ac:dyDescent="0.35">
      <c r="I70" t="s">
        <v>57</v>
      </c>
      <c r="J70" t="s">
        <v>101</v>
      </c>
      <c r="K70">
        <v>3.4514306565389688E-2</v>
      </c>
      <c r="L70" t="s">
        <v>40</v>
      </c>
      <c r="N70" t="s">
        <v>58</v>
      </c>
      <c r="O70" t="s">
        <v>101</v>
      </c>
      <c r="P70">
        <v>7.6872225586629289E-2</v>
      </c>
      <c r="Q70" t="s">
        <v>40</v>
      </c>
      <c r="S70" t="s">
        <v>59</v>
      </c>
      <c r="T70" t="s">
        <v>101</v>
      </c>
      <c r="U70">
        <v>8.2244647409811092E-2</v>
      </c>
      <c r="V70" t="s">
        <v>40</v>
      </c>
      <c r="Y70" t="s">
        <v>108</v>
      </c>
      <c r="Z70" t="s">
        <v>59</v>
      </c>
    </row>
    <row r="71" spans="9:26" x14ac:dyDescent="0.35">
      <c r="I71" t="s">
        <v>57</v>
      </c>
      <c r="J71" t="s">
        <v>102</v>
      </c>
      <c r="K71">
        <v>4.9394952078643153E-2</v>
      </c>
      <c r="L71" t="s">
        <v>40</v>
      </c>
      <c r="N71" t="s">
        <v>58</v>
      </c>
      <c r="O71" t="s">
        <v>102</v>
      </c>
      <c r="P71">
        <v>1.1833148583530682E-2</v>
      </c>
      <c r="Q71" t="s">
        <v>40</v>
      </c>
      <c r="S71" t="s">
        <v>59</v>
      </c>
      <c r="T71" t="s">
        <v>102</v>
      </c>
      <c r="U71">
        <v>1.5986762686449111E-2</v>
      </c>
      <c r="V71" t="s">
        <v>40</v>
      </c>
      <c r="Y71" t="s">
        <v>108</v>
      </c>
      <c r="Z71" t="s">
        <v>59</v>
      </c>
    </row>
    <row r="72" spans="9:26" x14ac:dyDescent="0.35">
      <c r="I72" t="s">
        <v>57</v>
      </c>
      <c r="J72" t="s">
        <v>103</v>
      </c>
      <c r="K72">
        <v>4.4204161507446889E-2</v>
      </c>
      <c r="L72" t="s">
        <v>40</v>
      </c>
      <c r="N72" t="s">
        <v>58</v>
      </c>
      <c r="O72" t="s">
        <v>103</v>
      </c>
      <c r="P72">
        <v>0.14072958796265375</v>
      </c>
      <c r="Q72" t="s">
        <v>40</v>
      </c>
      <c r="S72" t="s">
        <v>59</v>
      </c>
      <c r="T72" t="s">
        <v>103</v>
      </c>
      <c r="U72">
        <v>0.13808023417662429</v>
      </c>
      <c r="V72" t="s">
        <v>40</v>
      </c>
      <c r="Y72" t="s">
        <v>108</v>
      </c>
      <c r="Z72" t="s">
        <v>59</v>
      </c>
    </row>
    <row r="73" spans="9:26" x14ac:dyDescent="0.35">
      <c r="I73" t="s">
        <v>57</v>
      </c>
      <c r="J73" t="s">
        <v>104</v>
      </c>
      <c r="K73">
        <v>0</v>
      </c>
      <c r="L73" t="s">
        <v>40</v>
      </c>
      <c r="N73" t="s">
        <v>58</v>
      </c>
      <c r="O73" t="s">
        <v>104</v>
      </c>
      <c r="P73">
        <v>0.13765800710196696</v>
      </c>
      <c r="Q73" t="s">
        <v>40</v>
      </c>
      <c r="S73" t="s">
        <v>59</v>
      </c>
      <c r="T73" t="s">
        <v>104</v>
      </c>
      <c r="U73">
        <v>0.12909541092671956</v>
      </c>
      <c r="V73" t="s">
        <v>40</v>
      </c>
      <c r="Y73" t="s">
        <v>108</v>
      </c>
      <c r="Z73" t="s">
        <v>59</v>
      </c>
    </row>
    <row r="74" spans="9:26" x14ac:dyDescent="0.35">
      <c r="I74" t="s">
        <v>57</v>
      </c>
      <c r="J74" t="s">
        <v>105</v>
      </c>
      <c r="K74">
        <v>6.659805500025261E-4</v>
      </c>
      <c r="L74" t="s">
        <v>40</v>
      </c>
      <c r="N74" t="s">
        <v>58</v>
      </c>
      <c r="O74" t="s">
        <v>105</v>
      </c>
      <c r="P74">
        <v>2.6274357650236987E-2</v>
      </c>
      <c r="Q74" t="s">
        <v>40</v>
      </c>
      <c r="S74" t="s">
        <v>59</v>
      </c>
      <c r="T74" t="s">
        <v>105</v>
      </c>
      <c r="U74">
        <v>2.4701827530234009E-2</v>
      </c>
      <c r="V74" t="s">
        <v>40</v>
      </c>
      <c r="Y74" t="s">
        <v>108</v>
      </c>
      <c r="Z74" t="s">
        <v>59</v>
      </c>
    </row>
    <row r="75" spans="9:26" x14ac:dyDescent="0.35">
      <c r="I75" t="s">
        <v>60</v>
      </c>
      <c r="J75" t="s">
        <v>89</v>
      </c>
      <c r="K75">
        <v>0.13513344077982872</v>
      </c>
      <c r="L75" t="s">
        <v>40</v>
      </c>
      <c r="N75" t="s">
        <v>61</v>
      </c>
      <c r="O75" t="s">
        <v>89</v>
      </c>
      <c r="P75">
        <v>0.12638981598557553</v>
      </c>
      <c r="Q75" t="s">
        <v>40</v>
      </c>
      <c r="S75" t="s">
        <v>62</v>
      </c>
      <c r="T75" t="s">
        <v>89</v>
      </c>
      <c r="U75">
        <v>0.12537255776816833</v>
      </c>
      <c r="V75" t="s">
        <v>40</v>
      </c>
      <c r="Y75" t="s">
        <v>108</v>
      </c>
      <c r="Z75" t="s">
        <v>62</v>
      </c>
    </row>
    <row r="76" spans="9:26" x14ac:dyDescent="0.35">
      <c r="I76" t="s">
        <v>60</v>
      </c>
      <c r="J76" t="s">
        <v>92</v>
      </c>
      <c r="K76">
        <v>9.1977132144519005E-6</v>
      </c>
      <c r="L76" t="s">
        <v>40</v>
      </c>
      <c r="N76" t="s">
        <v>61</v>
      </c>
      <c r="O76" t="s">
        <v>92</v>
      </c>
      <c r="P76">
        <v>0.13795376593518585</v>
      </c>
      <c r="Q76" t="s">
        <v>40</v>
      </c>
      <c r="S76" t="s">
        <v>62</v>
      </c>
      <c r="T76" t="s">
        <v>92</v>
      </c>
      <c r="U76">
        <v>0.12835957880225679</v>
      </c>
      <c r="V76" t="s">
        <v>40</v>
      </c>
      <c r="Y76" t="s">
        <v>108</v>
      </c>
      <c r="Z76" t="s">
        <v>62</v>
      </c>
    </row>
    <row r="77" spans="9:26" x14ac:dyDescent="0.35">
      <c r="I77" t="s">
        <v>60</v>
      </c>
      <c r="J77" t="s">
        <v>95</v>
      </c>
      <c r="K77">
        <v>6.2570617343817641E-3</v>
      </c>
      <c r="L77" t="s">
        <v>40</v>
      </c>
      <c r="N77" t="s">
        <v>61</v>
      </c>
      <c r="O77" t="s">
        <v>95</v>
      </c>
      <c r="P77">
        <v>2.4843309428039376E-2</v>
      </c>
      <c r="Q77" t="s">
        <v>40</v>
      </c>
      <c r="S77" t="s">
        <v>62</v>
      </c>
      <c r="T77" t="s">
        <v>95</v>
      </c>
      <c r="U77">
        <v>2.3320356706553878E-2</v>
      </c>
      <c r="V77" t="s">
        <v>40</v>
      </c>
      <c r="Y77" t="s">
        <v>108</v>
      </c>
      <c r="Z77" t="s">
        <v>62</v>
      </c>
    </row>
    <row r="78" spans="9:26" x14ac:dyDescent="0.35">
      <c r="I78" t="s">
        <v>60</v>
      </c>
      <c r="J78" t="s">
        <v>97</v>
      </c>
      <c r="K78">
        <v>0.3480669294670633</v>
      </c>
      <c r="L78" t="s">
        <v>40</v>
      </c>
      <c r="N78" t="s">
        <v>61</v>
      </c>
      <c r="O78" t="s">
        <v>97</v>
      </c>
      <c r="P78">
        <v>0.1016527773886627</v>
      </c>
      <c r="Q78" t="s">
        <v>40</v>
      </c>
      <c r="S78" t="s">
        <v>62</v>
      </c>
      <c r="T78" t="s">
        <v>97</v>
      </c>
      <c r="U78">
        <v>0.11469765734497872</v>
      </c>
      <c r="V78" t="s">
        <v>40</v>
      </c>
      <c r="Y78" t="s">
        <v>108</v>
      </c>
      <c r="Z78" t="s">
        <v>62</v>
      </c>
    </row>
    <row r="79" spans="9:26" x14ac:dyDescent="0.35">
      <c r="I79" t="s">
        <v>60</v>
      </c>
      <c r="J79" t="s">
        <v>98</v>
      </c>
      <c r="K79">
        <v>1.2737580689977754E-2</v>
      </c>
      <c r="L79" t="s">
        <v>40</v>
      </c>
      <c r="N79" t="s">
        <v>61</v>
      </c>
      <c r="O79" t="s">
        <v>98</v>
      </c>
      <c r="P79">
        <v>0.12060953065136704</v>
      </c>
      <c r="Q79" t="s">
        <v>40</v>
      </c>
      <c r="S79" t="s">
        <v>62</v>
      </c>
      <c r="T79" t="s">
        <v>98</v>
      </c>
      <c r="U79">
        <v>0.11162259586870374</v>
      </c>
      <c r="V79" t="s">
        <v>40</v>
      </c>
      <c r="Y79" t="s">
        <v>108</v>
      </c>
      <c r="Z79" t="s">
        <v>62</v>
      </c>
    </row>
    <row r="80" spans="9:26" x14ac:dyDescent="0.35">
      <c r="I80" t="s">
        <v>60</v>
      </c>
      <c r="J80" t="s">
        <v>99</v>
      </c>
      <c r="K80">
        <v>3.1219377433426988E-2</v>
      </c>
      <c r="L80" t="s">
        <v>40</v>
      </c>
      <c r="N80" t="s">
        <v>61</v>
      </c>
      <c r="O80" t="s">
        <v>99</v>
      </c>
      <c r="P80">
        <v>2.1498054495739747E-2</v>
      </c>
      <c r="Q80" t="s">
        <v>40</v>
      </c>
      <c r="S80" t="s">
        <v>62</v>
      </c>
      <c r="T80" t="s">
        <v>99</v>
      </c>
      <c r="U80">
        <v>2.1517963250247976E-2</v>
      </c>
      <c r="V80" t="s">
        <v>40</v>
      </c>
      <c r="Y80" t="s">
        <v>108</v>
      </c>
      <c r="Z80" t="s">
        <v>62</v>
      </c>
    </row>
    <row r="81" spans="9:26" x14ac:dyDescent="0.35">
      <c r="I81" t="s">
        <v>60</v>
      </c>
      <c r="J81" t="s">
        <v>100</v>
      </c>
      <c r="K81">
        <v>0.33990377348327583</v>
      </c>
      <c r="L81" t="s">
        <v>40</v>
      </c>
      <c r="N81" t="s">
        <v>61</v>
      </c>
      <c r="O81" t="s">
        <v>100</v>
      </c>
      <c r="P81">
        <v>6.554953323933016E-2</v>
      </c>
      <c r="Q81" t="s">
        <v>40</v>
      </c>
      <c r="S81" t="s">
        <v>62</v>
      </c>
      <c r="T81" t="s">
        <v>100</v>
      </c>
      <c r="U81">
        <v>7.8999880889482274E-2</v>
      </c>
      <c r="V81" t="s">
        <v>40</v>
      </c>
      <c r="Y81" t="s">
        <v>108</v>
      </c>
      <c r="Z81" t="s">
        <v>62</v>
      </c>
    </row>
    <row r="82" spans="9:26" x14ac:dyDescent="0.35">
      <c r="I82" t="s">
        <v>60</v>
      </c>
      <c r="J82" t="s">
        <v>101</v>
      </c>
      <c r="K82">
        <v>3.5489840043300767E-2</v>
      </c>
      <c r="L82" t="s">
        <v>40</v>
      </c>
      <c r="N82" t="s">
        <v>61</v>
      </c>
      <c r="O82" t="s">
        <v>101</v>
      </c>
      <c r="P82">
        <v>7.5936162267840598E-2</v>
      </c>
      <c r="Q82" t="s">
        <v>40</v>
      </c>
      <c r="S82" t="s">
        <v>62</v>
      </c>
      <c r="T82" t="s">
        <v>101</v>
      </c>
      <c r="U82">
        <v>8.1505940440433272E-2</v>
      </c>
      <c r="V82" t="s">
        <v>40</v>
      </c>
      <c r="Y82" t="s">
        <v>108</v>
      </c>
      <c r="Z82" t="s">
        <v>62</v>
      </c>
    </row>
    <row r="83" spans="9:26" x14ac:dyDescent="0.35">
      <c r="I83" t="s">
        <v>60</v>
      </c>
      <c r="J83" t="s">
        <v>102</v>
      </c>
      <c r="K83">
        <v>4.0860842555058716E-2</v>
      </c>
      <c r="L83" t="s">
        <v>40</v>
      </c>
      <c r="N83" t="s">
        <v>61</v>
      </c>
      <c r="O83" t="s">
        <v>102</v>
      </c>
      <c r="P83">
        <v>1.2418773706407926E-2</v>
      </c>
      <c r="Q83" t="s">
        <v>40</v>
      </c>
      <c r="S83" t="s">
        <v>62</v>
      </c>
      <c r="T83" t="s">
        <v>102</v>
      </c>
      <c r="U83">
        <v>1.5592576483644194E-2</v>
      </c>
      <c r="V83" t="s">
        <v>40</v>
      </c>
      <c r="Y83" t="s">
        <v>108</v>
      </c>
      <c r="Z83" t="s">
        <v>62</v>
      </c>
    </row>
    <row r="84" spans="9:26" x14ac:dyDescent="0.35">
      <c r="I84" t="s">
        <v>60</v>
      </c>
      <c r="J84" t="s">
        <v>103</v>
      </c>
      <c r="K84">
        <v>5.0252056606882284E-2</v>
      </c>
      <c r="L84" t="s">
        <v>40</v>
      </c>
      <c r="N84" t="s">
        <v>61</v>
      </c>
      <c r="O84" t="s">
        <v>103</v>
      </c>
      <c r="P84">
        <v>0.14750541621321081</v>
      </c>
      <c r="Q84" t="s">
        <v>40</v>
      </c>
      <c r="S84" t="s">
        <v>62</v>
      </c>
      <c r="T84" t="s">
        <v>103</v>
      </c>
      <c r="U84">
        <v>0.1402166445993536</v>
      </c>
      <c r="V84" t="s">
        <v>40</v>
      </c>
      <c r="Y84" t="s">
        <v>108</v>
      </c>
      <c r="Z84" t="s">
        <v>62</v>
      </c>
    </row>
    <row r="85" spans="9:26" x14ac:dyDescent="0.35">
      <c r="I85" t="s">
        <v>60</v>
      </c>
      <c r="J85" t="s">
        <v>104</v>
      </c>
      <c r="K85">
        <v>0</v>
      </c>
      <c r="L85" t="s">
        <v>40</v>
      </c>
      <c r="N85" t="s">
        <v>61</v>
      </c>
      <c r="O85" t="s">
        <v>104</v>
      </c>
      <c r="P85">
        <v>0.13936386512639157</v>
      </c>
      <c r="Q85" t="s">
        <v>40</v>
      </c>
      <c r="S85" t="s">
        <v>62</v>
      </c>
      <c r="T85" t="s">
        <v>104</v>
      </c>
      <c r="U85">
        <v>0.1335633330395827</v>
      </c>
      <c r="V85" t="s">
        <v>40</v>
      </c>
      <c r="Y85" t="s">
        <v>108</v>
      </c>
      <c r="Z85" t="s">
        <v>62</v>
      </c>
    </row>
    <row r="86" spans="9:26" x14ac:dyDescent="0.35">
      <c r="I86" t="s">
        <v>60</v>
      </c>
      <c r="J86" t="s">
        <v>105</v>
      </c>
      <c r="K86">
        <v>6.9899493587908369E-5</v>
      </c>
      <c r="L86" t="s">
        <v>40</v>
      </c>
      <c r="N86" t="s">
        <v>61</v>
      </c>
      <c r="O86" t="s">
        <v>105</v>
      </c>
      <c r="P86">
        <v>2.6278995562247855E-2</v>
      </c>
      <c r="Q86" t="s">
        <v>40</v>
      </c>
      <c r="S86" t="s">
        <v>62</v>
      </c>
      <c r="T86" t="s">
        <v>105</v>
      </c>
      <c r="U86">
        <v>2.5230914806595842E-2</v>
      </c>
      <c r="V86" t="s">
        <v>40</v>
      </c>
      <c r="Y86" t="s">
        <v>108</v>
      </c>
      <c r="Z86" t="s">
        <v>62</v>
      </c>
    </row>
    <row r="87" spans="9:26" x14ac:dyDescent="0.35">
      <c r="I87" t="s">
        <v>63</v>
      </c>
      <c r="J87" t="s">
        <v>89</v>
      </c>
      <c r="K87">
        <v>0.13416989637934093</v>
      </c>
      <c r="L87" t="s">
        <v>40</v>
      </c>
      <c r="N87" t="s">
        <v>64</v>
      </c>
      <c r="O87" t="s">
        <v>89</v>
      </c>
      <c r="P87">
        <v>0.12580073214139489</v>
      </c>
      <c r="Q87" t="s">
        <v>40</v>
      </c>
      <c r="S87" t="s">
        <v>65</v>
      </c>
      <c r="T87" t="s">
        <v>89</v>
      </c>
      <c r="U87">
        <v>0.12631543640639967</v>
      </c>
      <c r="V87" t="s">
        <v>40</v>
      </c>
      <c r="Y87" t="s">
        <v>108</v>
      </c>
      <c r="Z87" t="s">
        <v>65</v>
      </c>
    </row>
    <row r="88" spans="9:26" x14ac:dyDescent="0.35">
      <c r="I88" t="s">
        <v>63</v>
      </c>
      <c r="J88" t="s">
        <v>92</v>
      </c>
      <c r="K88">
        <v>2.291419966374588E-6</v>
      </c>
      <c r="L88" t="s">
        <v>40</v>
      </c>
      <c r="N88" t="s">
        <v>64</v>
      </c>
      <c r="O88" t="s">
        <v>92</v>
      </c>
      <c r="P88">
        <v>0.13943599824207575</v>
      </c>
      <c r="Q88" t="s">
        <v>40</v>
      </c>
      <c r="S88" t="s">
        <v>65</v>
      </c>
      <c r="T88" t="s">
        <v>92</v>
      </c>
      <c r="U88">
        <v>0.12569744558972437</v>
      </c>
      <c r="V88" t="s">
        <v>40</v>
      </c>
      <c r="Y88" t="s">
        <v>108</v>
      </c>
      <c r="Z88" t="s">
        <v>65</v>
      </c>
    </row>
    <row r="89" spans="9:26" x14ac:dyDescent="0.35">
      <c r="I89" t="s">
        <v>63</v>
      </c>
      <c r="J89" t="s">
        <v>95</v>
      </c>
      <c r="K89">
        <v>6.4756062968297336E-3</v>
      </c>
      <c r="L89" t="s">
        <v>40</v>
      </c>
      <c r="N89" t="s">
        <v>64</v>
      </c>
      <c r="O89" t="s">
        <v>95</v>
      </c>
      <c r="P89">
        <v>2.5136160161585271E-2</v>
      </c>
      <c r="Q89" t="s">
        <v>40</v>
      </c>
      <c r="S89" t="s">
        <v>65</v>
      </c>
      <c r="T89" t="s">
        <v>95</v>
      </c>
      <c r="U89">
        <v>2.3629214050528882E-2</v>
      </c>
      <c r="V89" t="s">
        <v>40</v>
      </c>
      <c r="Y89" t="s">
        <v>108</v>
      </c>
      <c r="Z89" t="s">
        <v>65</v>
      </c>
    </row>
    <row r="90" spans="9:26" x14ac:dyDescent="0.35">
      <c r="I90" t="s">
        <v>63</v>
      </c>
      <c r="J90" t="s">
        <v>97</v>
      </c>
      <c r="K90">
        <v>0.34616332644244802</v>
      </c>
      <c r="L90" t="s">
        <v>40</v>
      </c>
      <c r="N90" t="s">
        <v>64</v>
      </c>
      <c r="O90" t="s">
        <v>97</v>
      </c>
      <c r="P90">
        <v>0.10991843774896405</v>
      </c>
      <c r="Q90" t="s">
        <v>40</v>
      </c>
      <c r="S90" t="s">
        <v>65</v>
      </c>
      <c r="T90" t="s">
        <v>97</v>
      </c>
      <c r="U90">
        <v>0.11434150037628311</v>
      </c>
      <c r="V90" t="s">
        <v>40</v>
      </c>
      <c r="Y90" t="s">
        <v>108</v>
      </c>
      <c r="Z90" t="s">
        <v>65</v>
      </c>
    </row>
    <row r="91" spans="9:26" x14ac:dyDescent="0.35">
      <c r="I91" t="s">
        <v>63</v>
      </c>
      <c r="J91" t="s">
        <v>98</v>
      </c>
      <c r="K91">
        <v>1.2930636028432523E-2</v>
      </c>
      <c r="L91" t="s">
        <v>40</v>
      </c>
      <c r="N91" t="s">
        <v>64</v>
      </c>
      <c r="O91" t="s">
        <v>98</v>
      </c>
      <c r="P91">
        <v>0.11945616844315941</v>
      </c>
      <c r="Q91" t="s">
        <v>40</v>
      </c>
      <c r="S91" t="s">
        <v>65</v>
      </c>
      <c r="T91" t="s">
        <v>98</v>
      </c>
      <c r="U91">
        <v>0.11413102808994473</v>
      </c>
      <c r="V91" t="s">
        <v>40</v>
      </c>
      <c r="Y91" t="s">
        <v>108</v>
      </c>
      <c r="Z91" t="s">
        <v>65</v>
      </c>
    </row>
    <row r="92" spans="9:26" x14ac:dyDescent="0.35">
      <c r="I92" t="s">
        <v>63</v>
      </c>
      <c r="J92" t="s">
        <v>99</v>
      </c>
      <c r="K92">
        <v>3.0055862146451947E-2</v>
      </c>
      <c r="L92" t="s">
        <v>40</v>
      </c>
      <c r="N92" t="s">
        <v>64</v>
      </c>
      <c r="O92" t="s">
        <v>99</v>
      </c>
      <c r="P92">
        <v>2.2436381028912631E-2</v>
      </c>
      <c r="Q92" t="s">
        <v>40</v>
      </c>
      <c r="S92" t="s">
        <v>65</v>
      </c>
      <c r="T92" t="s">
        <v>99</v>
      </c>
      <c r="U92">
        <v>2.097136390331587E-2</v>
      </c>
      <c r="V92" t="s">
        <v>40</v>
      </c>
      <c r="Y92" t="s">
        <v>108</v>
      </c>
      <c r="Z92" t="s">
        <v>65</v>
      </c>
    </row>
    <row r="93" spans="9:26" x14ac:dyDescent="0.35">
      <c r="I93" t="s">
        <v>63</v>
      </c>
      <c r="J93" t="s">
        <v>100</v>
      </c>
      <c r="K93">
        <v>0.34000998277130884</v>
      </c>
      <c r="L93" t="s">
        <v>40</v>
      </c>
      <c r="N93" t="s">
        <v>64</v>
      </c>
      <c r="O93" t="s">
        <v>100</v>
      </c>
      <c r="P93">
        <v>6.593608910998304E-2</v>
      </c>
      <c r="Q93" t="s">
        <v>40</v>
      </c>
      <c r="S93" t="s">
        <v>65</v>
      </c>
      <c r="T93" t="s">
        <v>100</v>
      </c>
      <c r="U93">
        <v>7.684101920754563E-2</v>
      </c>
      <c r="V93" t="s">
        <v>40</v>
      </c>
      <c r="Y93" t="s">
        <v>108</v>
      </c>
      <c r="Z93" t="s">
        <v>65</v>
      </c>
    </row>
    <row r="94" spans="9:26" x14ac:dyDescent="0.35">
      <c r="I94" t="s">
        <v>63</v>
      </c>
      <c r="J94" t="s">
        <v>101</v>
      </c>
      <c r="K94">
        <v>3.3067352280655542E-2</v>
      </c>
      <c r="L94" t="s">
        <v>40</v>
      </c>
      <c r="N94" t="s">
        <v>64</v>
      </c>
      <c r="O94" t="s">
        <v>101</v>
      </c>
      <c r="P94">
        <v>7.8642770753477795E-2</v>
      </c>
      <c r="Q94" t="s">
        <v>40</v>
      </c>
      <c r="S94" t="s">
        <v>65</v>
      </c>
      <c r="T94" t="s">
        <v>101</v>
      </c>
      <c r="U94">
        <v>8.3343886016292584E-2</v>
      </c>
      <c r="V94" t="s">
        <v>40</v>
      </c>
      <c r="Y94" t="s">
        <v>108</v>
      </c>
      <c r="Z94" t="s">
        <v>65</v>
      </c>
    </row>
    <row r="95" spans="9:26" x14ac:dyDescent="0.35">
      <c r="I95" t="s">
        <v>63</v>
      </c>
      <c r="J95" t="s">
        <v>102</v>
      </c>
      <c r="K95">
        <v>4.2309536326529722E-2</v>
      </c>
      <c r="L95" t="s">
        <v>40</v>
      </c>
      <c r="N95" t="s">
        <v>64</v>
      </c>
      <c r="O95" t="s">
        <v>102</v>
      </c>
      <c r="P95">
        <v>1.3836938284508195E-2</v>
      </c>
      <c r="Q95" t="s">
        <v>40</v>
      </c>
      <c r="S95" t="s">
        <v>65</v>
      </c>
      <c r="T95" t="s">
        <v>102</v>
      </c>
      <c r="U95">
        <v>1.4928584313169086E-2</v>
      </c>
      <c r="V95" t="s">
        <v>40</v>
      </c>
      <c r="Y95" t="s">
        <v>108</v>
      </c>
      <c r="Z95" t="s">
        <v>65</v>
      </c>
    </row>
    <row r="96" spans="9:26" x14ac:dyDescent="0.35">
      <c r="I96" t="s">
        <v>63</v>
      </c>
      <c r="J96" t="s">
        <v>103</v>
      </c>
      <c r="K96">
        <v>5.4698413363997639E-2</v>
      </c>
      <c r="L96" t="s">
        <v>40</v>
      </c>
      <c r="N96" t="s">
        <v>64</v>
      </c>
      <c r="O96" t="s">
        <v>103</v>
      </c>
      <c r="P96">
        <v>0.1386152975371186</v>
      </c>
      <c r="Q96" t="s">
        <v>40</v>
      </c>
      <c r="S96" t="s">
        <v>65</v>
      </c>
      <c r="T96" t="s">
        <v>103</v>
      </c>
      <c r="U96">
        <v>0.138578783548439</v>
      </c>
      <c r="V96" t="s">
        <v>40</v>
      </c>
      <c r="Y96" t="s">
        <v>108</v>
      </c>
      <c r="Z96" t="s">
        <v>65</v>
      </c>
    </row>
    <row r="97" spans="9:26" x14ac:dyDescent="0.35">
      <c r="I97" t="s">
        <v>63</v>
      </c>
      <c r="J97" t="s">
        <v>104</v>
      </c>
      <c r="K97">
        <v>0</v>
      </c>
      <c r="L97" t="s">
        <v>40</v>
      </c>
      <c r="N97" t="s">
        <v>64</v>
      </c>
      <c r="O97" t="s">
        <v>104</v>
      </c>
      <c r="P97">
        <v>0.13512354523104875</v>
      </c>
      <c r="Q97" t="s">
        <v>40</v>
      </c>
      <c r="S97" t="s">
        <v>65</v>
      </c>
      <c r="T97" t="s">
        <v>104</v>
      </c>
      <c r="U97">
        <v>0.13621329250753636</v>
      </c>
      <c r="V97" t="s">
        <v>40</v>
      </c>
      <c r="Y97" t="s">
        <v>108</v>
      </c>
      <c r="Z97" t="s">
        <v>65</v>
      </c>
    </row>
    <row r="98" spans="9:26" x14ac:dyDescent="0.35">
      <c r="I98" t="s">
        <v>63</v>
      </c>
      <c r="J98" t="s">
        <v>105</v>
      </c>
      <c r="K98">
        <v>1.1709654404024687E-4</v>
      </c>
      <c r="L98" t="s">
        <v>40</v>
      </c>
      <c r="N98" t="s">
        <v>64</v>
      </c>
      <c r="O98" t="s">
        <v>105</v>
      </c>
      <c r="P98">
        <v>2.5661481317773408E-2</v>
      </c>
      <c r="Q98" t="s">
        <v>40</v>
      </c>
      <c r="S98" t="s">
        <v>65</v>
      </c>
      <c r="T98" t="s">
        <v>105</v>
      </c>
      <c r="U98">
        <v>2.500844599081932E-2</v>
      </c>
      <c r="V98" t="s">
        <v>40</v>
      </c>
      <c r="Y98" t="s">
        <v>108</v>
      </c>
      <c r="Z98" t="s">
        <v>65</v>
      </c>
    </row>
    <row r="99" spans="9:26" x14ac:dyDescent="0.35">
      <c r="I99" t="s">
        <v>66</v>
      </c>
      <c r="J99" t="s">
        <v>89</v>
      </c>
      <c r="K99">
        <v>0.14050968220146234</v>
      </c>
      <c r="L99" t="s">
        <v>40</v>
      </c>
      <c r="N99" t="s">
        <v>67</v>
      </c>
      <c r="O99" t="s">
        <v>89</v>
      </c>
      <c r="P99">
        <v>0.1267671949798799</v>
      </c>
      <c r="Q99" t="s">
        <v>40</v>
      </c>
      <c r="S99" t="s">
        <v>68</v>
      </c>
      <c r="T99" t="s">
        <v>89</v>
      </c>
      <c r="U99">
        <v>0.12571372506412062</v>
      </c>
      <c r="V99" t="s">
        <v>40</v>
      </c>
      <c r="Y99" t="s">
        <v>108</v>
      </c>
      <c r="Z99" t="s">
        <v>68</v>
      </c>
    </row>
    <row r="100" spans="9:26" x14ac:dyDescent="0.35">
      <c r="I100" t="s">
        <v>66</v>
      </c>
      <c r="J100" t="s">
        <v>92</v>
      </c>
      <c r="K100">
        <v>0</v>
      </c>
      <c r="L100" t="s">
        <v>40</v>
      </c>
      <c r="N100" t="s">
        <v>67</v>
      </c>
      <c r="O100" t="s">
        <v>92</v>
      </c>
      <c r="P100">
        <v>0.13876772986981015</v>
      </c>
      <c r="Q100" t="s">
        <v>40</v>
      </c>
      <c r="S100" t="s">
        <v>68</v>
      </c>
      <c r="T100" t="s">
        <v>92</v>
      </c>
      <c r="U100">
        <v>0.12657401175035871</v>
      </c>
      <c r="V100" t="s">
        <v>40</v>
      </c>
      <c r="Y100" t="s">
        <v>108</v>
      </c>
      <c r="Z100" t="s">
        <v>68</v>
      </c>
    </row>
    <row r="101" spans="9:26" x14ac:dyDescent="0.35">
      <c r="I101" t="s">
        <v>66</v>
      </c>
      <c r="J101" t="s">
        <v>95</v>
      </c>
      <c r="K101">
        <v>6.331618867427489E-3</v>
      </c>
      <c r="L101" t="s">
        <v>40</v>
      </c>
      <c r="N101" t="s">
        <v>67</v>
      </c>
      <c r="O101" t="s">
        <v>95</v>
      </c>
      <c r="P101">
        <v>2.506295410048941E-2</v>
      </c>
      <c r="Q101" t="s">
        <v>40</v>
      </c>
      <c r="S101" t="s">
        <v>68</v>
      </c>
      <c r="T101" t="s">
        <v>95</v>
      </c>
      <c r="U101">
        <v>2.3927906584502445E-2</v>
      </c>
      <c r="V101" t="s">
        <v>40</v>
      </c>
      <c r="Y101" t="s">
        <v>108</v>
      </c>
      <c r="Z101" t="s">
        <v>68</v>
      </c>
    </row>
    <row r="102" spans="9:26" x14ac:dyDescent="0.35">
      <c r="I102" t="s">
        <v>66</v>
      </c>
      <c r="J102" t="s">
        <v>97</v>
      </c>
      <c r="K102">
        <v>0.33121410256383899</v>
      </c>
      <c r="L102" t="s">
        <v>40</v>
      </c>
      <c r="N102" t="s">
        <v>67</v>
      </c>
      <c r="O102" t="s">
        <v>97</v>
      </c>
      <c r="P102">
        <v>0.10332983278032665</v>
      </c>
      <c r="Q102" t="s">
        <v>40</v>
      </c>
      <c r="S102" t="s">
        <v>68</v>
      </c>
      <c r="T102" t="s">
        <v>97</v>
      </c>
      <c r="U102">
        <v>0.11151391291783615</v>
      </c>
      <c r="V102" t="s">
        <v>40</v>
      </c>
      <c r="Y102" t="s">
        <v>108</v>
      </c>
      <c r="Z102" t="s">
        <v>68</v>
      </c>
    </row>
    <row r="103" spans="9:26" x14ac:dyDescent="0.35">
      <c r="I103" t="s">
        <v>66</v>
      </c>
      <c r="J103" t="s">
        <v>98</v>
      </c>
      <c r="K103">
        <v>1.2958816654800859E-2</v>
      </c>
      <c r="L103" t="s">
        <v>40</v>
      </c>
      <c r="N103" t="s">
        <v>67</v>
      </c>
      <c r="O103" t="s">
        <v>98</v>
      </c>
      <c r="P103">
        <v>0.11777530862955292</v>
      </c>
      <c r="Q103" t="s">
        <v>40</v>
      </c>
      <c r="S103" t="s">
        <v>68</v>
      </c>
      <c r="T103" t="s">
        <v>98</v>
      </c>
      <c r="U103">
        <v>0.11062553350565904</v>
      </c>
      <c r="V103" t="s">
        <v>40</v>
      </c>
      <c r="Y103" t="s">
        <v>108</v>
      </c>
      <c r="Z103" t="s">
        <v>68</v>
      </c>
    </row>
    <row r="104" spans="9:26" x14ac:dyDescent="0.35">
      <c r="I104" t="s">
        <v>66</v>
      </c>
      <c r="J104" t="s">
        <v>99</v>
      </c>
      <c r="K104">
        <v>3.3746773172483729E-2</v>
      </c>
      <c r="L104" t="s">
        <v>40</v>
      </c>
      <c r="N104" t="s">
        <v>67</v>
      </c>
      <c r="O104" t="s">
        <v>99</v>
      </c>
      <c r="P104">
        <v>2.1128161076743861E-2</v>
      </c>
      <c r="Q104" t="s">
        <v>40</v>
      </c>
      <c r="S104" t="s">
        <v>68</v>
      </c>
      <c r="T104" t="s">
        <v>99</v>
      </c>
      <c r="U104">
        <v>2.0357355210697727E-2</v>
      </c>
      <c r="V104" t="s">
        <v>40</v>
      </c>
      <c r="Y104" t="s">
        <v>108</v>
      </c>
      <c r="Z104" t="s">
        <v>68</v>
      </c>
    </row>
    <row r="105" spans="9:26" x14ac:dyDescent="0.35">
      <c r="I105" t="s">
        <v>66</v>
      </c>
      <c r="J105" t="s">
        <v>100</v>
      </c>
      <c r="K105">
        <v>0.34938181661706941</v>
      </c>
      <c r="L105" t="s">
        <v>40</v>
      </c>
      <c r="N105" t="s">
        <v>67</v>
      </c>
      <c r="O105" t="s">
        <v>100</v>
      </c>
      <c r="P105">
        <v>6.9630153205998191E-2</v>
      </c>
      <c r="Q105" t="s">
        <v>40</v>
      </c>
      <c r="S105" t="s">
        <v>68</v>
      </c>
      <c r="T105" t="s">
        <v>100</v>
      </c>
      <c r="U105">
        <v>7.9319803306361777E-2</v>
      </c>
      <c r="V105" t="s">
        <v>40</v>
      </c>
      <c r="Y105" t="s">
        <v>108</v>
      </c>
      <c r="Z105" t="s">
        <v>68</v>
      </c>
    </row>
    <row r="106" spans="9:26" x14ac:dyDescent="0.35">
      <c r="I106" t="s">
        <v>66</v>
      </c>
      <c r="J106" t="s">
        <v>101</v>
      </c>
      <c r="K106">
        <v>3.5005730754924899E-2</v>
      </c>
      <c r="L106" t="s">
        <v>40</v>
      </c>
      <c r="N106" t="s">
        <v>67</v>
      </c>
      <c r="O106" t="s">
        <v>101</v>
      </c>
      <c r="P106">
        <v>7.567705618236456E-2</v>
      </c>
      <c r="Q106" t="s">
        <v>40</v>
      </c>
      <c r="S106" t="s">
        <v>68</v>
      </c>
      <c r="T106" t="s">
        <v>101</v>
      </c>
      <c r="U106">
        <v>8.104053391824248E-2</v>
      </c>
      <c r="V106" t="s">
        <v>40</v>
      </c>
      <c r="Y106" t="s">
        <v>108</v>
      </c>
      <c r="Z106" t="s">
        <v>68</v>
      </c>
    </row>
    <row r="107" spans="9:26" x14ac:dyDescent="0.35">
      <c r="I107" t="s">
        <v>66</v>
      </c>
      <c r="J107" t="s">
        <v>102</v>
      </c>
      <c r="K107">
        <v>4.5873641820294388E-2</v>
      </c>
      <c r="L107" t="s">
        <v>40</v>
      </c>
      <c r="N107" t="s">
        <v>67</v>
      </c>
      <c r="O107" t="s">
        <v>102</v>
      </c>
      <c r="P107">
        <v>1.405419420329863E-2</v>
      </c>
      <c r="Q107" t="s">
        <v>40</v>
      </c>
      <c r="S107" t="s">
        <v>68</v>
      </c>
      <c r="T107" t="s">
        <v>102</v>
      </c>
      <c r="U107">
        <v>1.5152995180316965E-2</v>
      </c>
      <c r="V107" t="s">
        <v>40</v>
      </c>
      <c r="Y107" t="s">
        <v>108</v>
      </c>
      <c r="Z107" t="s">
        <v>68</v>
      </c>
    </row>
    <row r="108" spans="9:26" x14ac:dyDescent="0.35">
      <c r="I108" t="s">
        <v>66</v>
      </c>
      <c r="J108" t="s">
        <v>103</v>
      </c>
      <c r="K108">
        <v>4.4759317459311727E-2</v>
      </c>
      <c r="L108" t="s">
        <v>40</v>
      </c>
      <c r="N108" t="s">
        <v>67</v>
      </c>
      <c r="O108" t="s">
        <v>103</v>
      </c>
      <c r="P108">
        <v>0.14235751042892741</v>
      </c>
      <c r="Q108" t="s">
        <v>40</v>
      </c>
      <c r="S108" t="s">
        <v>68</v>
      </c>
      <c r="T108" t="s">
        <v>103</v>
      </c>
      <c r="U108">
        <v>0.14104084598799538</v>
      </c>
      <c r="V108" t="s">
        <v>40</v>
      </c>
      <c r="Y108" t="s">
        <v>108</v>
      </c>
      <c r="Z108" t="s">
        <v>68</v>
      </c>
    </row>
    <row r="109" spans="9:26" x14ac:dyDescent="0.35">
      <c r="I109" t="s">
        <v>66</v>
      </c>
      <c r="J109" t="s">
        <v>104</v>
      </c>
      <c r="K109">
        <v>0</v>
      </c>
      <c r="L109" t="s">
        <v>40</v>
      </c>
      <c r="N109" t="s">
        <v>67</v>
      </c>
      <c r="O109" t="s">
        <v>104</v>
      </c>
      <c r="P109">
        <v>0.13917553905188212</v>
      </c>
      <c r="Q109" t="s">
        <v>40</v>
      </c>
      <c r="S109" t="s">
        <v>68</v>
      </c>
      <c r="T109" t="s">
        <v>104</v>
      </c>
      <c r="U109">
        <v>0.13898725953801011</v>
      </c>
      <c r="V109" t="s">
        <v>40</v>
      </c>
      <c r="Y109" t="s">
        <v>108</v>
      </c>
      <c r="Z109" t="s">
        <v>68</v>
      </c>
    </row>
    <row r="110" spans="9:26" x14ac:dyDescent="0.35">
      <c r="I110" t="s">
        <v>66</v>
      </c>
      <c r="J110" t="s">
        <v>105</v>
      </c>
      <c r="K110">
        <v>2.184998883840245E-4</v>
      </c>
      <c r="L110" t="s">
        <v>40</v>
      </c>
      <c r="N110" t="s">
        <v>67</v>
      </c>
      <c r="O110" t="s">
        <v>105</v>
      </c>
      <c r="P110">
        <v>2.6274365490724042E-2</v>
      </c>
      <c r="Q110" t="s">
        <v>40</v>
      </c>
      <c r="S110" t="s">
        <v>68</v>
      </c>
      <c r="T110" t="s">
        <v>105</v>
      </c>
      <c r="U110">
        <v>2.5746117035898256E-2</v>
      </c>
      <c r="V110" t="s">
        <v>40</v>
      </c>
      <c r="Y110" t="s">
        <v>108</v>
      </c>
      <c r="Z110" t="s">
        <v>68</v>
      </c>
    </row>
    <row r="111" spans="9:26" x14ac:dyDescent="0.35">
      <c r="I111" t="s">
        <v>69</v>
      </c>
      <c r="J111" t="s">
        <v>89</v>
      </c>
      <c r="K111">
        <v>0.13922781277973365</v>
      </c>
      <c r="L111" t="s">
        <v>40</v>
      </c>
      <c r="N111" t="s">
        <v>70</v>
      </c>
      <c r="O111" t="s">
        <v>89</v>
      </c>
      <c r="P111">
        <v>0.12733260672506325</v>
      </c>
      <c r="Q111" t="s">
        <v>40</v>
      </c>
      <c r="S111" t="s">
        <v>71</v>
      </c>
      <c r="T111" t="s">
        <v>89</v>
      </c>
      <c r="U111">
        <v>0.12594751915143254</v>
      </c>
      <c r="V111" t="s">
        <v>40</v>
      </c>
      <c r="Y111" t="s">
        <v>108</v>
      </c>
      <c r="Z111" t="s">
        <v>71</v>
      </c>
    </row>
    <row r="112" spans="9:26" x14ac:dyDescent="0.35">
      <c r="I112" t="s">
        <v>69</v>
      </c>
      <c r="J112" t="s">
        <v>92</v>
      </c>
      <c r="K112">
        <v>3.2459343820410072E-5</v>
      </c>
      <c r="L112" t="s">
        <v>40</v>
      </c>
      <c r="N112" t="s">
        <v>70</v>
      </c>
      <c r="O112" t="s">
        <v>92</v>
      </c>
      <c r="P112">
        <v>0.14173308433155787</v>
      </c>
      <c r="Q112" t="s">
        <v>40</v>
      </c>
      <c r="S112" t="s">
        <v>71</v>
      </c>
      <c r="T112" t="s">
        <v>92</v>
      </c>
      <c r="U112">
        <v>0.13067799487984125</v>
      </c>
      <c r="V112" t="s">
        <v>40</v>
      </c>
      <c r="Y112" t="s">
        <v>108</v>
      </c>
      <c r="Z112" t="s">
        <v>71</v>
      </c>
    </row>
    <row r="113" spans="9:26" x14ac:dyDescent="0.35">
      <c r="I113" t="s">
        <v>69</v>
      </c>
      <c r="J113" t="s">
        <v>95</v>
      </c>
      <c r="K113">
        <v>5.9820562363117596E-3</v>
      </c>
      <c r="L113" t="s">
        <v>40</v>
      </c>
      <c r="N113" t="s">
        <v>70</v>
      </c>
      <c r="O113" t="s">
        <v>95</v>
      </c>
      <c r="P113">
        <v>2.5244253728599505E-2</v>
      </c>
      <c r="Q113" t="s">
        <v>40</v>
      </c>
      <c r="S113" t="s">
        <v>71</v>
      </c>
      <c r="T113" t="s">
        <v>95</v>
      </c>
      <c r="U113">
        <v>2.4901503527877254E-2</v>
      </c>
      <c r="V113" t="s">
        <v>40</v>
      </c>
      <c r="Y113" t="s">
        <v>108</v>
      </c>
      <c r="Z113" t="s">
        <v>71</v>
      </c>
    </row>
    <row r="114" spans="9:26" x14ac:dyDescent="0.35">
      <c r="I114" t="s">
        <v>69</v>
      </c>
      <c r="J114" t="s">
        <v>97</v>
      </c>
      <c r="K114">
        <v>0.34434183574985155</v>
      </c>
      <c r="L114" t="s">
        <v>40</v>
      </c>
      <c r="N114" t="s">
        <v>70</v>
      </c>
      <c r="O114" t="s">
        <v>97</v>
      </c>
      <c r="P114">
        <v>0.10375622367614544</v>
      </c>
      <c r="Q114" t="s">
        <v>40</v>
      </c>
      <c r="S114" t="s">
        <v>71</v>
      </c>
      <c r="T114" t="s">
        <v>97</v>
      </c>
      <c r="U114">
        <v>0.10284574176169634</v>
      </c>
      <c r="V114" t="s">
        <v>40</v>
      </c>
      <c r="Y114" t="s">
        <v>108</v>
      </c>
      <c r="Z114" t="s">
        <v>71</v>
      </c>
    </row>
    <row r="115" spans="9:26" x14ac:dyDescent="0.35">
      <c r="I115" t="s">
        <v>69</v>
      </c>
      <c r="J115" t="s">
        <v>98</v>
      </c>
      <c r="K115">
        <v>1.2758174343801717E-2</v>
      </c>
      <c r="L115" t="s">
        <v>40</v>
      </c>
      <c r="N115" t="s">
        <v>70</v>
      </c>
      <c r="O115" t="s">
        <v>98</v>
      </c>
      <c r="P115">
        <v>0.12028123022816023</v>
      </c>
      <c r="Q115" t="s">
        <v>40</v>
      </c>
      <c r="S115" t="s">
        <v>71</v>
      </c>
      <c r="T115" t="s">
        <v>98</v>
      </c>
      <c r="U115">
        <v>0.10828860141798145</v>
      </c>
      <c r="V115" t="s">
        <v>40</v>
      </c>
      <c r="Y115" t="s">
        <v>108</v>
      </c>
      <c r="Z115" t="s">
        <v>71</v>
      </c>
    </row>
    <row r="116" spans="9:26" x14ac:dyDescent="0.35">
      <c r="I116" t="s">
        <v>69</v>
      </c>
      <c r="J116" t="s">
        <v>99</v>
      </c>
      <c r="K116">
        <v>3.189142205120217E-2</v>
      </c>
      <c r="L116" t="s">
        <v>40</v>
      </c>
      <c r="N116" t="s">
        <v>70</v>
      </c>
      <c r="O116" t="s">
        <v>99</v>
      </c>
      <c r="P116">
        <v>2.1737932659842332E-2</v>
      </c>
      <c r="Q116" t="s">
        <v>40</v>
      </c>
      <c r="S116" t="s">
        <v>71</v>
      </c>
      <c r="T116" t="s">
        <v>99</v>
      </c>
      <c r="U116">
        <v>2.0556576325748206E-2</v>
      </c>
      <c r="V116" t="s">
        <v>40</v>
      </c>
      <c r="Y116" t="s">
        <v>108</v>
      </c>
      <c r="Z116" t="s">
        <v>71</v>
      </c>
    </row>
    <row r="117" spans="9:26" x14ac:dyDescent="0.35">
      <c r="I117" t="s">
        <v>69</v>
      </c>
      <c r="J117" t="s">
        <v>100</v>
      </c>
      <c r="K117">
        <v>0.34274457192434349</v>
      </c>
      <c r="L117" t="s">
        <v>40</v>
      </c>
      <c r="N117" t="s">
        <v>70</v>
      </c>
      <c r="O117" t="s">
        <v>100</v>
      </c>
      <c r="P117">
        <v>6.3532964121559052E-2</v>
      </c>
      <c r="Q117" t="s">
        <v>40</v>
      </c>
      <c r="S117" t="s">
        <v>71</v>
      </c>
      <c r="T117" t="s">
        <v>100</v>
      </c>
      <c r="U117">
        <v>7.7883070934806939E-2</v>
      </c>
      <c r="V117" t="s">
        <v>40</v>
      </c>
      <c r="Y117" t="s">
        <v>108</v>
      </c>
      <c r="Z117" t="s">
        <v>71</v>
      </c>
    </row>
    <row r="118" spans="9:26" x14ac:dyDescent="0.35">
      <c r="I118" t="s">
        <v>69</v>
      </c>
      <c r="J118" t="s">
        <v>101</v>
      </c>
      <c r="K118">
        <v>3.6784391902611284E-2</v>
      </c>
      <c r="L118" t="s">
        <v>40</v>
      </c>
      <c r="N118" t="s">
        <v>70</v>
      </c>
      <c r="O118" t="s">
        <v>101</v>
      </c>
      <c r="P118">
        <v>7.6382750604245514E-2</v>
      </c>
      <c r="Q118" t="s">
        <v>40</v>
      </c>
      <c r="S118" t="s">
        <v>71</v>
      </c>
      <c r="T118" t="s">
        <v>101</v>
      </c>
      <c r="U118">
        <v>8.5439837550152109E-2</v>
      </c>
      <c r="V118" t="s">
        <v>40</v>
      </c>
      <c r="Y118" t="s">
        <v>108</v>
      </c>
      <c r="Z118" t="s">
        <v>71</v>
      </c>
    </row>
    <row r="119" spans="9:26" x14ac:dyDescent="0.35">
      <c r="I119" t="s">
        <v>69</v>
      </c>
      <c r="J119" t="s">
        <v>102</v>
      </c>
      <c r="K119">
        <v>4.1302924302350365E-2</v>
      </c>
      <c r="L119" t="s">
        <v>40</v>
      </c>
      <c r="N119" t="s">
        <v>70</v>
      </c>
      <c r="O119" t="s">
        <v>102</v>
      </c>
      <c r="P119">
        <v>1.2385615422098289E-2</v>
      </c>
      <c r="Q119" t="s">
        <v>40</v>
      </c>
      <c r="S119" t="s">
        <v>71</v>
      </c>
      <c r="T119" t="s">
        <v>102</v>
      </c>
      <c r="U119">
        <v>1.6291379670146322E-2</v>
      </c>
      <c r="V119" t="s">
        <v>40</v>
      </c>
      <c r="Y119" t="s">
        <v>108</v>
      </c>
      <c r="Z119" t="s">
        <v>71</v>
      </c>
    </row>
    <row r="120" spans="9:26" x14ac:dyDescent="0.35">
      <c r="I120" t="s">
        <v>69</v>
      </c>
      <c r="J120" t="s">
        <v>103</v>
      </c>
      <c r="K120">
        <v>4.4911935384215486E-2</v>
      </c>
      <c r="L120" t="s">
        <v>40</v>
      </c>
      <c r="N120" t="s">
        <v>70</v>
      </c>
      <c r="O120" t="s">
        <v>103</v>
      </c>
      <c r="P120">
        <v>0.14263676093132049</v>
      </c>
      <c r="Q120" t="s">
        <v>40</v>
      </c>
      <c r="S120" t="s">
        <v>71</v>
      </c>
      <c r="T120" t="s">
        <v>103</v>
      </c>
      <c r="U120">
        <v>0.14212507009010286</v>
      </c>
      <c r="V120" t="s">
        <v>40</v>
      </c>
      <c r="Y120" t="s">
        <v>108</v>
      </c>
      <c r="Z120" t="s">
        <v>71</v>
      </c>
    </row>
    <row r="121" spans="9:26" x14ac:dyDescent="0.35">
      <c r="I121" t="s">
        <v>69</v>
      </c>
      <c r="J121" t="s">
        <v>104</v>
      </c>
      <c r="K121">
        <v>0</v>
      </c>
      <c r="L121" t="s">
        <v>40</v>
      </c>
      <c r="N121" t="s">
        <v>70</v>
      </c>
      <c r="O121" t="s">
        <v>104</v>
      </c>
      <c r="P121">
        <v>0.1385722979114157</v>
      </c>
      <c r="Q121" t="s">
        <v>40</v>
      </c>
      <c r="S121" t="s">
        <v>71</v>
      </c>
      <c r="T121" t="s">
        <v>104</v>
      </c>
      <c r="U121">
        <v>0.13947244725593388</v>
      </c>
      <c r="V121" t="s">
        <v>40</v>
      </c>
      <c r="Y121" t="s">
        <v>108</v>
      </c>
      <c r="Z121" t="s">
        <v>71</v>
      </c>
    </row>
    <row r="122" spans="9:26" x14ac:dyDescent="0.35">
      <c r="I122" t="s">
        <v>69</v>
      </c>
      <c r="J122" t="s">
        <v>105</v>
      </c>
      <c r="K122">
        <v>2.2415981755578517E-5</v>
      </c>
      <c r="L122" t="s">
        <v>40</v>
      </c>
      <c r="N122" t="s">
        <v>70</v>
      </c>
      <c r="O122" t="s">
        <v>105</v>
      </c>
      <c r="P122">
        <v>2.6404279659992709E-2</v>
      </c>
      <c r="Q122" t="s">
        <v>40</v>
      </c>
      <c r="S122" t="s">
        <v>71</v>
      </c>
      <c r="T122" t="s">
        <v>105</v>
      </c>
      <c r="U122">
        <v>2.5570257434281173E-2</v>
      </c>
      <c r="V122" t="s">
        <v>40</v>
      </c>
      <c r="Y122" t="s">
        <v>108</v>
      </c>
      <c r="Z122" t="s">
        <v>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124</v>
      </c>
    </row>
    <row r="3" spans="1:8" x14ac:dyDescent="0.35">
      <c r="B3" t="s">
        <v>114</v>
      </c>
    </row>
    <row r="4" spans="1:8" x14ac:dyDescent="0.35">
      <c r="A4" t="s">
        <v>9</v>
      </c>
      <c r="B4" t="s">
        <v>115</v>
      </c>
      <c r="C4" t="s">
        <v>37</v>
      </c>
      <c r="D4" t="s">
        <v>116</v>
      </c>
      <c r="E4" t="s">
        <v>117</v>
      </c>
      <c r="F4">
        <v>2025</v>
      </c>
      <c r="G4">
        <v>2040</v>
      </c>
      <c r="H4">
        <v>0</v>
      </c>
    </row>
    <row r="5" spans="1:8" x14ac:dyDescent="0.35">
      <c r="A5" t="s">
        <v>118</v>
      </c>
      <c r="B5" t="s">
        <v>121</v>
      </c>
      <c r="C5" t="s">
        <v>118</v>
      </c>
      <c r="D5" t="s">
        <v>119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125</v>
      </c>
      <c r="B6" t="s">
        <v>127</v>
      </c>
      <c r="C6" t="s">
        <v>125</v>
      </c>
      <c r="D6" t="s">
        <v>119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126</v>
      </c>
      <c r="B7" t="s">
        <v>128</v>
      </c>
      <c r="C7" t="s">
        <v>126</v>
      </c>
      <c r="D7" t="s">
        <v>119</v>
      </c>
      <c r="E7">
        <v>1</v>
      </c>
      <c r="F7">
        <v>1</v>
      </c>
      <c r="G7">
        <v>1.2</v>
      </c>
    </row>
    <row r="8" spans="1:8" x14ac:dyDescent="0.35">
      <c r="A8" t="s">
        <v>44</v>
      </c>
      <c r="B8" t="s">
        <v>122</v>
      </c>
      <c r="C8" t="s">
        <v>44</v>
      </c>
      <c r="D8" t="s">
        <v>119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120</v>
      </c>
      <c r="B9" t="s">
        <v>123</v>
      </c>
      <c r="C9" t="s">
        <v>120</v>
      </c>
      <c r="D9" t="s">
        <v>119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74</v>
      </c>
    </row>
    <row r="4" spans="1:3" x14ac:dyDescent="0.35">
      <c r="A4" t="s">
        <v>2</v>
      </c>
      <c r="B4" t="s">
        <v>77</v>
      </c>
      <c r="C4" t="s">
        <v>12</v>
      </c>
    </row>
    <row r="5" spans="1:3" x14ac:dyDescent="0.35">
      <c r="A5" t="s">
        <v>129</v>
      </c>
      <c r="B5">
        <v>2100</v>
      </c>
      <c r="C5" t="s">
        <v>130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K7" sqref="K7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tabSelected="1" workbookViewId="0">
      <selection activeCell="J17" sqref="J17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132</v>
      </c>
    </row>
    <row r="6" spans="2:24" x14ac:dyDescent="0.35">
      <c r="B6" t="s">
        <v>18</v>
      </c>
    </row>
    <row r="7" spans="2:24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20</v>
      </c>
      <c r="C8" t="s">
        <v>20</v>
      </c>
      <c r="D8" s="2">
        <v>35.145058821884028</v>
      </c>
      <c r="E8" s="2">
        <v>35.145058821884028</v>
      </c>
      <c r="F8">
        <f>E8-(E8*0.02)</f>
        <v>34.442157645446351</v>
      </c>
      <c r="G8">
        <f>F8-(F8*0.02)</f>
        <v>33.75331449253742</v>
      </c>
      <c r="H8">
        <f>G8+(G8*0.02)</f>
        <v>34.428380782388167</v>
      </c>
      <c r="I8">
        <f t="shared" ref="I8:J8" si="0">H8+(H8*0.02)</f>
        <v>35.11694839803593</v>
      </c>
      <c r="J8">
        <f t="shared" si="0"/>
        <v>35.819287365996651</v>
      </c>
    </row>
    <row r="9" spans="2:24" x14ac:dyDescent="0.35">
      <c r="B9" t="s">
        <v>21</v>
      </c>
      <c r="C9" t="s">
        <v>21</v>
      </c>
      <c r="D9" s="2">
        <v>96.367112810707454</v>
      </c>
      <c r="E9" s="2">
        <v>96.367112810707454</v>
      </c>
      <c r="F9">
        <f>E9-(E9*$F$13)</f>
        <v>94.439770554493307</v>
      </c>
      <c r="G9">
        <f t="shared" ref="G9:J9" si="1">F9-(F9*$F$13)</f>
        <v>92.550975143403434</v>
      </c>
      <c r="H9">
        <f t="shared" si="1"/>
        <v>90.699955640535364</v>
      </c>
      <c r="I9">
        <f t="shared" si="1"/>
        <v>88.885956527724659</v>
      </c>
      <c r="J9">
        <f t="shared" si="1"/>
        <v>87.108237397170171</v>
      </c>
    </row>
    <row r="10" spans="2:24" x14ac:dyDescent="0.35">
      <c r="B10" t="s">
        <v>22</v>
      </c>
      <c r="C10" t="s">
        <v>22</v>
      </c>
      <c r="D10" s="2">
        <v>46.470588235294123</v>
      </c>
      <c r="E10" s="2">
        <v>46.470588235294123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4" x14ac:dyDescent="0.35">
      <c r="B11" t="s">
        <v>23</v>
      </c>
      <c r="C11" t="s">
        <v>23</v>
      </c>
      <c r="D11" s="2">
        <v>45.792000000000002</v>
      </c>
      <c r="E11" s="2">
        <v>45.792000000000002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  <row r="13" spans="2:24" x14ac:dyDescent="0.35">
      <c r="F13">
        <v>0.02</v>
      </c>
    </row>
    <row r="16" spans="2:24" x14ac:dyDescent="0.35">
      <c r="L16" t="s">
        <v>147</v>
      </c>
      <c r="M16" t="s">
        <v>146</v>
      </c>
      <c r="N16" t="s">
        <v>141</v>
      </c>
      <c r="O16" t="s">
        <v>142</v>
      </c>
      <c r="P16" t="s">
        <v>144</v>
      </c>
      <c r="R16" t="s">
        <v>137</v>
      </c>
      <c r="T16" t="s">
        <v>134</v>
      </c>
      <c r="U16" t="s">
        <v>135</v>
      </c>
      <c r="V16" t="s">
        <v>140</v>
      </c>
      <c r="W16" t="s">
        <v>143</v>
      </c>
      <c r="X16" t="s">
        <v>136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133</v>
      </c>
      <c r="R17">
        <v>3412142</v>
      </c>
      <c r="T17" t="s">
        <v>22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138</v>
      </c>
      <c r="R18" s="1">
        <v>588235</v>
      </c>
      <c r="T18" t="s">
        <v>145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139</v>
      </c>
      <c r="R19">
        <v>150000</v>
      </c>
      <c r="T19" t="s">
        <v>21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148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</vt:lpstr>
      <vt:lpstr>timeslices</vt:lpstr>
      <vt:lpstr>build rates</vt:lpstr>
      <vt:lpstr>necessary_for_some_reason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2026-02-18T14:22:59Z</dcterms:modified>
</cp:coreProperties>
</file>