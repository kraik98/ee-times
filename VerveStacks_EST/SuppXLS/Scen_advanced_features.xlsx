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8A12AD6A-D737-4BF3-B036-4C152CFA18BD}" xr6:coauthVersionLast="47" xr6:coauthVersionMax="47" xr10:uidLastSave="{00000000-0000-0000-0000-000000000000}"/>
  <bookViews>
    <workbookView xWindow="-10470" yWindow="10890" windowWidth="19420" windowHeight="11500"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H5" i="1" l="1"/>
  <c r="H6" i="1"/>
  <c r="H7" i="1"/>
  <c r="H8" i="1"/>
  <c r="H9" i="1"/>
  <c r="H10" i="1"/>
  <c r="H11" i="1"/>
  <c r="H12" i="1"/>
  <c r="H13" i="1"/>
  <c r="H14" i="1"/>
  <c r="H15" i="1"/>
  <c r="H16" i="1"/>
  <c r="H17" i="1"/>
  <c r="H4" i="1"/>
  <c r="D16" i="1"/>
  <c r="P16" i="1" s="1"/>
  <c r="D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sharedStrings.xml><?xml version="1.0" encoding="utf-8"?>
<sst xmlns="http://schemas.openxmlformats.org/spreadsheetml/2006/main" count="393" uniqueCount="250">
  <si>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</si>
  <si>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</si>
  <si>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</si>
  <si>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</si>
  <si>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</si>
  <si>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</si>
  <si>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</si>
  <si>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</si>
  <si>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</si>
  <si>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</si>
  <si>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</si>
  <si>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</si>
  <si>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</si>
  <si>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</si>
  <si>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</si>
  <si>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</si>
  <si>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</si>
  <si>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</si>
  <si>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</si>
  <si>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</si>
  <si>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</si>
  <si>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</si>
  <si>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</si>
  <si>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</si>
  <si>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</si>
  <si>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</si>
  <si>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</si>
  <si>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</si>
  <si>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</si>
  <si>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</si>
  <si>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</si>
  <si>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</si>
  <si>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</si>
  <si>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</si>
  <si>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</si>
  <si>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</si>
  <si>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</si>
  <si>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</si>
  <si>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</si>
  <si>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</si>
  <si>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</si>
  <si>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</si>
  <si>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</si>
  <si>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</si>
  <si>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</si>
  <si>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</si>
  <si>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</si>
  <si>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</si>
  <si>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</si>
  <si>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</si>
  <si>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</si>
  <si>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</si>
  <si>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</si>
  <si>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</si>
  <si>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</si>
  <si>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</si>
  <si>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</si>
  <si>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</si>
  <si>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</si>
  <si>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</si>
  <si>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</si>
  <si>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</si>
  <si>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</si>
  <si>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</si>
  <si>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</si>
  <si>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</si>
  <si>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</si>
  <si>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</si>
  <si>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</si>
  <si>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</si>
  <si>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</si>
  <si>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</si>
  <si>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</si>
  <si>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</si>
  <si>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</si>
  <si>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</si>
  <si>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</si>
  <si>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</si>
  <si>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</si>
  <si>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</si>
  <si>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</si>
  <si>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</si>
  <si>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</si>
  <si>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</si>
  <si>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</si>
  <si>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</si>
  <si>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</si>
  <si>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</si>
  <si>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Supercritical Coal, IGCC</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</si>
  <si>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</si>
  <si>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</si>
  <si>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</si>
  <si>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</si>
  <si>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</si>
  <si>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</si>
  <si>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</si>
  <si>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</si>
  <si>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</si>
  <si>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</si>
  <si>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</si>
  <si>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</si>
  <si>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</si>
  <si>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</si>
  <si>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</si>
  <si>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</si>
  <si>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</si>
  <si>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</si>
  <si>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</si>
  <si>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</si>
  <si>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</si>
  <si>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</si>
  <si>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</si>
  <si>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</si>
  <si>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</si>
  <si>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</si>
  <si>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</si>
  <si>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</si>
  <si>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</si>
  <si>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</si>
  <si>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</si>
  <si>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</si>
  <si>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</si>
  <si>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</si>
  <si>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</si>
  <si>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</si>
  <si>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</si>
  <si>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</si>
  <si>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</si>
  <si>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</si>
  <si>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</si>
  <si>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</si>
  <si>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</si>
  <si>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</si>
  <si>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</si>
  <si>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</si>
  <si>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</si>
  <si>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</si>
  <si>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</si>
  <si>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</si>
  <si>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</si>
  <si>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</si>
  <si>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</si>
  <si>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</si>
  <si>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</si>
  <si>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</si>
  <si>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</si>
  <si>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</si>
  <si>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</si>
  <si>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</si>
  <si>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</si>
  <si>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</si>
  <si>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</si>
  <si>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</si>
  <si>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</si>
  <si>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</si>
  <si>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</si>
  <si>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</si>
  <si>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</si>
  <si>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</si>
  <si>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</si>
  <si>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</si>
  <si>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</si>
  <si>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</si>
  <si>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</si>
  <si>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</si>
  <si>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</si>
  <si>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</si>
  <si>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</si>
  <si>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</si>
  <si>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</si>
  <si>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</si>
  <si>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</si>
  <si>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</si>
  <si>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</si>
  <si>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</si>
  <si>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</si>
  <si>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</si>
  <si>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</si>
  <si>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</si>
  <si>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</si>
  <si>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</si>
  <si>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</si>
  <si>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</si>
  <si>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</si>
  <si>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</si>
  <si>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</si>
  <si>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</si>
  <si>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</si>
  <si>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</si>
  <si>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</si>
  <si>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</si>
  <si>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</si>
  <si>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</si>
  <si>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</si>
  <si>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</si>
  <si>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r>
      <t>Sources:</t>
    </r>
    <r>
      <rPr>
        <sz val="11"/>
        <color theme="1"/>
        <rFont val="Calibri"/>
        <family val="2"/>
        <scheme val="minor"/>
      </rPr>
      <t xml:space="preserve">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</si>
  <si>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</si>
  <si>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</si>
  <si>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</si>
  <si>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</si>
  <si>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</si>
  <si>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</si>
  <si>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</si>
  <si>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</si>
  <si>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</si>
  <si>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</si>
  <si>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</si>
  <si>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</si>
  <si>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</si>
  <si>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</si>
  <si>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</si>
  <si>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</si>
  <si>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</si>
  <si>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</si>
  <si>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</si>
  <si>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</si>
  <si>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</si>
  <si>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</si>
  <si>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</si>
  <si>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</si>
  <si>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</si>
  <si>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</si>
  <si>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</si>
  <si>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</si>
  <si>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</si>
  <si>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</si>
  <si>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</si>
  <si>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</si>
  <si>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</si>
  <si>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</si>
  <si>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</si>
  <si>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</si>
  <si>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</si>
  <si>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</si>
  <si>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</si>
  <si>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</si>
  <si>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</si>
  <si>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</si>
  <si>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</si>
  <si>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</si>
  <si>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</si>
  <si>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</si>
  <si>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</si>
  <si>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</si>
  <si>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</si>
  <si>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</si>
  <si>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Bio Power</t>
  </si>
  <si>
    <t>Subcritical Coal, Bio Power</t>
  </si>
  <si>
    <t>TFM_INS-TS</t>
  </si>
  <si>
    <t>TFM_INS-AT: limtype=LO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</si>
</sst>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3">
    <fill>
      <patternFill patternType="none"/>
    </fill>
    <fill>
      <patternFill patternType="gray125"/>
    </fill>
    <fill>
      <patternFill patternType="solid">
        <fgColor rgb="FFC6EFCE"/>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164" fontId="0" fillId="0" borderId="0" xfId="0" applyNumberForma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39"/>
  <sheetViews>
    <sheetView tabSelected="1" topLeftCell="A2" workbookViewId="0">
      <selection activeCell="H8" sqref="H8"/>
    </sheetView>
  </sheetViews>
  <sheetFormatPr defaultRowHeight="15" x14ac:dyDescent="0.25"/>
  <cols>
    <col min="1" max="1" width="2.7109375" bestFit="1" customWidth="1"/>
    <col min="2" max="2" width="14.42578125" bestFit="1" customWidth="1"/>
    <col min="3" max="3" width="10.140625" bestFit="1" customWidth="1"/>
    <col min="4" max="4" width="17" customWidth="1"/>
    <col min="5" max="5" width="24.85546875" bestFit="1" customWidth="1"/>
    <col min="6" max="6" width="9" bestFit="1" customWidth="1"/>
    <col min="7" max="7" width="11.140625" bestFit="1" customWidth="1"/>
    <col min="8" max="8" width="24.85546875" bestFit="1" customWidth="1"/>
    <col min="9" max="9" width="10.140625" bestFit="1" customWidth="1"/>
    <col min="10" max="10" width="8" bestFit="1" customWidth="1"/>
    <col min="11" max="11" width="12.5703125" bestFit="1" customWidth="1"/>
    <col min="12" max="12" width="10" bestFit="1" customWidth="1"/>
    <col min="13" max="13" width="8" customWidth="1"/>
    <col min="14" max="14" width="8.85546875" bestFit="1" customWidth="1"/>
    <col min="15" max="15" width="9" bestFit="1" customWidth="1"/>
    <col min="16" max="16" width="24.85546875" bestFit="1" customWidth="1"/>
    <col min="17" max="17" width="10.140625" bestFit="1" customWidth="1"/>
    <col min="18" max="18" width="8.85546875" bestFit="1" customWidth="1"/>
    <col min="19" max="19" width="7.28515625" bestFit="1" customWidth="1"/>
  </cols>
  <sheetData>
    <row r="2" spans="2:19" ht="18" thickBot="1" x14ac:dyDescent="0.35">
      <c r="D2" s="2" t="s">
        <v>197</v>
      </c>
      <c r="N2" s="2" t="s">
        <v>249</v>
      </c>
    </row>
    <row r="3" spans="2:19" ht="16.5" thickTop="1" thickBot="1" x14ac:dyDescent="0.3">
      <c r="B3" t="s">
        <v>86</v>
      </c>
      <c r="C3" t="s">
        <v>87</v>
      </c>
      <c r="D3" s="3" t="s">
        <v>4</v>
      </c>
      <c r="E3" s="3" t="s">
        <v>74</v>
      </c>
      <c r="F3" s="3" t="s">
        <v>75</v>
      </c>
      <c r="G3" s="3" t="s">
        <v>82</v>
      </c>
      <c r="H3" s="3" t="s">
        <v>198</v>
      </c>
      <c r="M3" s="9"/>
      <c r="N3" s="3" t="s">
        <v>2</v>
      </c>
      <c r="O3" s="3" t="s">
        <v>3</v>
      </c>
      <c r="P3" s="3" t="s">
        <v>4</v>
      </c>
      <c r="Q3" s="9" t="s">
        <v>74</v>
      </c>
      <c r="R3" s="9" t="s">
        <v>75</v>
      </c>
      <c r="S3" s="9" t="s">
        <v>82</v>
      </c>
    </row>
    <row r="4" spans="2:19" x14ac:dyDescent="0.25">
      <c r="B4" t="s">
        <v>15</v>
      </c>
      <c r="C4" t="s">
        <v>21</v>
      </c>
      <c r="D4" t="s">
        <v>15</v>
      </c>
      <c r="G4" s="1" t="s">
        <v>83</v>
      </c>
      <c r="H4" s="1">
        <f>dcost_data!C2</f>
        <v>50</v>
      </c>
      <c r="N4">
        <v>1.5</v>
      </c>
      <c r="O4">
        <v>0.8</v>
      </c>
      <c r="P4" t="str">
        <f>D4</f>
        <v>OCGT (Peaker)</v>
      </c>
      <c r="Q4" t="str">
        <f>IF(E4="","",E4)</f>
        <v/>
      </c>
      <c r="R4" t="str">
        <f>IF(F4="","",F4)</f>
        <v/>
      </c>
      <c r="S4" t="str">
        <f>IF(G4="","",G4)</f>
        <v>-aggregated*</v>
      </c>
    </row>
    <row r="5" spans="2:19" x14ac:dyDescent="0.25">
      <c r="B5" t="s">
        <v>15</v>
      </c>
      <c r="C5" t="s">
        <v>20</v>
      </c>
      <c r="D5" t="s">
        <v>15</v>
      </c>
      <c r="E5" t="s">
        <v>76</v>
      </c>
      <c r="F5" t="s">
        <v>77</v>
      </c>
      <c r="G5" s="1" t="s">
        <v>83</v>
      </c>
      <c r="H5" s="1">
        <f>dcost_data!C3</f>
        <v>40</v>
      </c>
      <c r="N5">
        <v>1</v>
      </c>
      <c r="O5">
        <v>1</v>
      </c>
      <c r="P5" t="str">
        <f>D5</f>
        <v>OCGT (Peaker)</v>
      </c>
      <c r="Q5" t="str">
        <f>IF(E5="","",E5)</f>
        <v>PASTI</v>
      </c>
      <c r="R5" t="str">
        <f>IF(F5="","",F5)</f>
        <v>&lt;.2</v>
      </c>
      <c r="S5" t="str">
        <f>IF(G5="","",G5)</f>
        <v>-aggregated*</v>
      </c>
    </row>
    <row r="6" spans="2:19" x14ac:dyDescent="0.25">
      <c r="B6" t="s">
        <v>15</v>
      </c>
      <c r="C6" t="s">
        <v>19</v>
      </c>
      <c r="D6" t="s">
        <v>15</v>
      </c>
      <c r="E6" t="s">
        <v>76</v>
      </c>
      <c r="F6" t="s">
        <v>85</v>
      </c>
      <c r="G6" s="1" t="s">
        <v>83</v>
      </c>
      <c r="H6" s="1">
        <f>dcost_data!C4</f>
        <v>30</v>
      </c>
      <c r="N6">
        <v>0.5</v>
      </c>
      <c r="O6">
        <v>1.2</v>
      </c>
      <c r="P6" t="str">
        <f>D6</f>
        <v>OCGT (Peaker)</v>
      </c>
      <c r="Q6" t="str">
        <f>IF(E6="","",E6)</f>
        <v>PASTI</v>
      </c>
      <c r="R6" t="str">
        <f>IF(F6="","",F6)</f>
        <v>&lt;.05</v>
      </c>
      <c r="S6" t="str">
        <f>IF(G6="","",G6)</f>
        <v>-aggregated*</v>
      </c>
    </row>
    <row r="7" spans="2:19" x14ac:dyDescent="0.25">
      <c r="B7" t="s">
        <v>22</v>
      </c>
      <c r="C7" t="s">
        <v>24</v>
      </c>
      <c r="D7" t="s">
        <v>22</v>
      </c>
      <c r="G7" s="1" t="s">
        <v>83</v>
      </c>
      <c r="H7" s="1">
        <f>dcost_data!C5</f>
        <v>60</v>
      </c>
      <c r="N7">
        <v>4</v>
      </c>
      <c r="O7">
        <v>0.45</v>
      </c>
      <c r="P7" t="str">
        <f>D7</f>
        <v>CCGT</v>
      </c>
      <c r="Q7" t="str">
        <f>IF(E7="","",E7)</f>
        <v/>
      </c>
      <c r="R7" t="str">
        <f>IF(F7="","",F7)</f>
        <v/>
      </c>
      <c r="S7" t="str">
        <f>IF(G7="","",G7)</f>
        <v>-aggregated*</v>
      </c>
    </row>
    <row r="8" spans="2:19" x14ac:dyDescent="0.25">
      <c r="B8" t="s">
        <v>22</v>
      </c>
      <c r="C8" t="s">
        <v>23</v>
      </c>
      <c r="D8" t="s">
        <v>22</v>
      </c>
      <c r="E8" t="s">
        <v>76</v>
      </c>
      <c r="F8" t="s">
        <v>78</v>
      </c>
      <c r="G8" s="1" t="s">
        <v>83</v>
      </c>
      <c r="H8" s="1">
        <f>dcost_data!C6</f>
        <v>50</v>
      </c>
      <c r="N8">
        <v>2</v>
      </c>
      <c r="O8">
        <v>0.6</v>
      </c>
      <c r="P8" t="str">
        <f>D8</f>
        <v>CCGT</v>
      </c>
      <c r="Q8" t="str">
        <f>IF(E8="","",E8)</f>
        <v>PASTI</v>
      </c>
      <c r="R8" t="str">
        <f>IF(F8="","",F8)</f>
        <v>&lt;.3</v>
      </c>
      <c r="S8" t="str">
        <f>IF(G8="","",G8)</f>
        <v>-aggregated*</v>
      </c>
    </row>
    <row r="9" spans="2:19" x14ac:dyDescent="0.25">
      <c r="B9" t="s">
        <v>25</v>
      </c>
      <c r="C9" t="s">
        <v>21</v>
      </c>
      <c r="D9" t="s">
        <v>80</v>
      </c>
      <c r="G9" s="1" t="s">
        <v>83</v>
      </c>
      <c r="H9" s="1">
        <f>dcost_data!C7</f>
        <v>70</v>
      </c>
      <c r="N9">
        <v>5</v>
      </c>
      <c r="O9">
        <v>0.3</v>
      </c>
      <c r="P9" t="str">
        <f>D9</f>
        <v>Gas_Oil Steam</v>
      </c>
      <c r="Q9" t="str">
        <f>IF(E9="","",E9)</f>
        <v/>
      </c>
      <c r="R9" t="str">
        <f>IF(F9="","",F9)</f>
        <v/>
      </c>
      <c r="S9" t="str">
        <f>IF(G9="","",G9)</f>
        <v>-aggregated*</v>
      </c>
    </row>
    <row r="10" spans="2:19" x14ac:dyDescent="0.25">
      <c r="B10" t="s">
        <v>25</v>
      </c>
      <c r="C10" t="s">
        <v>26</v>
      </c>
      <c r="D10" t="s">
        <v>80</v>
      </c>
      <c r="E10" t="s">
        <v>76</v>
      </c>
      <c r="F10" t="s">
        <v>77</v>
      </c>
      <c r="G10" s="1" t="s">
        <v>83</v>
      </c>
      <c r="H10" s="1">
        <f>dcost_data!C8</f>
        <v>60</v>
      </c>
      <c r="N10">
        <v>3</v>
      </c>
      <c r="O10">
        <v>0.4</v>
      </c>
      <c r="P10" t="str">
        <f>D10</f>
        <v>Gas_Oil Steam</v>
      </c>
      <c r="Q10" t="str">
        <f>IF(E10="","",E10)</f>
        <v>PASTI</v>
      </c>
      <c r="R10" t="str">
        <f>IF(F10="","",F10)</f>
        <v>&lt;.2</v>
      </c>
      <c r="S10" t="str">
        <f>IF(G10="","",G10)</f>
        <v>-aggregated*</v>
      </c>
    </row>
    <row r="11" spans="2:19" x14ac:dyDescent="0.25">
      <c r="B11" t="s">
        <v>16</v>
      </c>
      <c r="C11" t="s">
        <v>73</v>
      </c>
      <c r="D11" t="s">
        <v>81</v>
      </c>
      <c r="G11" s="1" t="s">
        <v>83</v>
      </c>
      <c r="H11" s="1">
        <f>dcost_data!C9</f>
        <v>40</v>
      </c>
      <c r="N11">
        <v>2</v>
      </c>
      <c r="O11">
        <v>0.6</v>
      </c>
      <c r="P11" t="str">
        <f>D11</f>
        <v>Int Comb</v>
      </c>
      <c r="Q11" t="str">
        <f>IF(E11="","",E11)</f>
        <v/>
      </c>
      <c r="R11" t="str">
        <f>IF(F11="","",F11)</f>
        <v/>
      </c>
      <c r="S11" t="str">
        <f>IF(G11="","",G11)</f>
        <v>-aggregated*</v>
      </c>
    </row>
    <row r="12" spans="2:19" x14ac:dyDescent="0.25">
      <c r="B12" t="s">
        <v>16</v>
      </c>
      <c r="C12" t="s">
        <v>27</v>
      </c>
      <c r="D12" t="s">
        <v>81</v>
      </c>
      <c r="E12" t="s">
        <v>76</v>
      </c>
      <c r="F12" t="s">
        <v>84</v>
      </c>
      <c r="G12" s="1" t="s">
        <v>83</v>
      </c>
      <c r="H12" s="1">
        <f>dcost_data!C10</f>
        <v>30</v>
      </c>
      <c r="N12">
        <v>1</v>
      </c>
      <c r="O12">
        <v>1.2</v>
      </c>
      <c r="P12" t="str">
        <f>D12</f>
        <v>Int Comb</v>
      </c>
      <c r="Q12" t="str">
        <f>IF(E12="","",E12)</f>
        <v>PASTI</v>
      </c>
      <c r="R12" t="str">
        <f>IF(F12="","",F12)</f>
        <v>&lt;.02</v>
      </c>
      <c r="S12" t="str">
        <f>IF(G12="","",G12)</f>
        <v>-aggregated*</v>
      </c>
    </row>
    <row r="13" spans="2:19" x14ac:dyDescent="0.25">
      <c r="B13" t="s">
        <v>13</v>
      </c>
      <c r="C13" t="s">
        <v>24</v>
      </c>
      <c r="D13" t="s">
        <v>247</v>
      </c>
      <c r="G13" s="1" t="s">
        <v>83</v>
      </c>
      <c r="H13" s="1">
        <f>dcost_data!C11</f>
        <v>100</v>
      </c>
      <c r="N13">
        <v>7</v>
      </c>
      <c r="O13">
        <v>0.2</v>
      </c>
      <c r="P13" t="str">
        <f>D13</f>
        <v>Subcritical Coal, Bio Power</v>
      </c>
      <c r="Q13" t="str">
        <f>IF(E13="","",E13)</f>
        <v/>
      </c>
      <c r="R13" t="str">
        <f>IF(F13="","",F13)</f>
        <v/>
      </c>
      <c r="S13" t="str">
        <f>IF(G13="","",G13)</f>
        <v>-aggregated*</v>
      </c>
    </row>
    <row r="14" spans="2:19" x14ac:dyDescent="0.25">
      <c r="B14" t="s">
        <v>13</v>
      </c>
      <c r="C14" t="s">
        <v>23</v>
      </c>
      <c r="D14" t="str">
        <f>D13</f>
        <v>Subcritical Coal, Bio Power</v>
      </c>
      <c r="E14" t="s">
        <v>76</v>
      </c>
      <c r="F14" t="s">
        <v>78</v>
      </c>
      <c r="G14" s="1" t="s">
        <v>83</v>
      </c>
      <c r="H14" s="1">
        <f>dcost_data!C12</f>
        <v>90</v>
      </c>
      <c r="N14">
        <v>5</v>
      </c>
      <c r="O14">
        <v>0.3</v>
      </c>
      <c r="P14" t="str">
        <f>D14</f>
        <v>Subcritical Coal, Bio Power</v>
      </c>
      <c r="Q14" t="str">
        <f>IF(E14="","",E14)</f>
        <v>PASTI</v>
      </c>
      <c r="R14" t="str">
        <f>IF(F14="","",F14)</f>
        <v>&lt;.3</v>
      </c>
      <c r="S14" t="str">
        <f>IF(G14="","",G14)</f>
        <v>-aggregated*</v>
      </c>
    </row>
    <row r="15" spans="2:19" x14ac:dyDescent="0.25">
      <c r="B15" t="s">
        <v>14</v>
      </c>
      <c r="C15" t="s">
        <v>29</v>
      </c>
      <c r="D15" t="s">
        <v>88</v>
      </c>
      <c r="G15" s="1" t="s">
        <v>83</v>
      </c>
      <c r="H15" s="1">
        <f>dcost_data!C13</f>
        <v>110</v>
      </c>
      <c r="N15">
        <v>8</v>
      </c>
      <c r="O15">
        <v>0.15</v>
      </c>
      <c r="P15" t="str">
        <f>D15</f>
        <v>Supercritical Coal, IGCC</v>
      </c>
      <c r="Q15" t="str">
        <f>IF(E15="","",E15)</f>
        <v/>
      </c>
      <c r="R15" t="str">
        <f>IF(F15="","",F15)</f>
        <v/>
      </c>
      <c r="S15" t="str">
        <f>IF(G15="","",G15)</f>
        <v>-aggregated*</v>
      </c>
    </row>
    <row r="16" spans="2:19" x14ac:dyDescent="0.25">
      <c r="B16" t="s">
        <v>14</v>
      </c>
      <c r="C16" t="s">
        <v>28</v>
      </c>
      <c r="D16" t="str">
        <f>D15</f>
        <v>Supercritical Coal, IGCC</v>
      </c>
      <c r="E16" t="s">
        <v>76</v>
      </c>
      <c r="F16" t="s">
        <v>79</v>
      </c>
      <c r="G16" s="1" t="s">
        <v>83</v>
      </c>
      <c r="H16" s="1">
        <f>dcost_data!C14</f>
        <v>100</v>
      </c>
      <c r="N16">
        <v>6</v>
      </c>
      <c r="O16">
        <v>0.25</v>
      </c>
      <c r="P16" t="str">
        <f>D16</f>
        <v>Supercritical Coal, IGCC</v>
      </c>
      <c r="Q16" t="str">
        <f>IF(E16="","",E16)</f>
        <v>PASTI</v>
      </c>
      <c r="R16" t="str">
        <f>IF(F16="","",F16)</f>
        <v>&lt;.5</v>
      </c>
      <c r="S16" t="str">
        <f>IF(G16="","",G16)</f>
        <v>-aggregated*</v>
      </c>
    </row>
    <row r="17" spans="2:19" x14ac:dyDescent="0.25">
      <c r="B17" t="s">
        <v>5</v>
      </c>
      <c r="C17" t="s">
        <v>30</v>
      </c>
      <c r="D17" t="s">
        <v>245</v>
      </c>
      <c r="G17" s="1" t="s">
        <v>83</v>
      </c>
      <c r="H17" s="1">
        <f>dcost_data!C15</f>
        <v>500</v>
      </c>
      <c r="N17">
        <v>24</v>
      </c>
      <c r="O17">
        <v>0.05</v>
      </c>
      <c r="P17" t="str">
        <f>D17</f>
        <v>Nuclear P</v>
      </c>
      <c r="Q17" t="str">
        <f>IF(E17="","",E17)</f>
        <v/>
      </c>
      <c r="R17" t="str">
        <f>IF(F17="","",F17)</f>
        <v/>
      </c>
      <c r="S17" t="str">
        <f>IF(G17="","",G17)</f>
        <v>-aggregated*</v>
      </c>
    </row>
    <row r="25" spans="2:19" ht="15.75" thickBot="1" x14ac:dyDescent="0.3">
      <c r="D25" s="3" t="s">
        <v>0</v>
      </c>
      <c r="E25" s="3" t="s">
        <v>2</v>
      </c>
      <c r="F25" s="3" t="s">
        <v>3</v>
      </c>
      <c r="G25" s="3" t="s">
        <v>1</v>
      </c>
    </row>
    <row r="26" spans="2:19" x14ac:dyDescent="0.25">
      <c r="D26">
        <v>0.35000000000000003</v>
      </c>
      <c r="E26">
        <v>1.5</v>
      </c>
      <c r="F26">
        <v>0.8</v>
      </c>
      <c r="G26">
        <v>0.02</v>
      </c>
    </row>
    <row r="27" spans="2:19" x14ac:dyDescent="0.25">
      <c r="D27">
        <v>0.3</v>
      </c>
      <c r="E27">
        <v>1</v>
      </c>
      <c r="F27">
        <v>1</v>
      </c>
      <c r="G27">
        <v>1.4999999999999999E-2</v>
      </c>
    </row>
    <row r="28" spans="2:19" x14ac:dyDescent="0.25">
      <c r="D28">
        <v>0.25</v>
      </c>
      <c r="E28">
        <v>0.5</v>
      </c>
      <c r="F28">
        <v>1.2</v>
      </c>
      <c r="G28">
        <v>0.01</v>
      </c>
    </row>
    <row r="29" spans="2:19" x14ac:dyDescent="0.25">
      <c r="D29">
        <v>0.55000000000000004</v>
      </c>
      <c r="E29">
        <v>4</v>
      </c>
      <c r="F29">
        <v>0.45</v>
      </c>
      <c r="G29">
        <v>0.04</v>
      </c>
    </row>
    <row r="30" spans="2:19" x14ac:dyDescent="0.25">
      <c r="D30">
        <v>0.5</v>
      </c>
      <c r="E30">
        <v>2</v>
      </c>
      <c r="F30">
        <v>0.6</v>
      </c>
      <c r="G30">
        <v>2.5000000000000001E-2</v>
      </c>
    </row>
    <row r="31" spans="2:19" x14ac:dyDescent="0.25">
      <c r="D31">
        <v>0.4</v>
      </c>
      <c r="E31">
        <v>5</v>
      </c>
      <c r="F31">
        <v>0.3</v>
      </c>
      <c r="G31">
        <v>3.5000000000000003E-2</v>
      </c>
    </row>
    <row r="32" spans="2:19" x14ac:dyDescent="0.25">
      <c r="D32">
        <v>0.35000000000000003</v>
      </c>
      <c r="E32">
        <v>3</v>
      </c>
      <c r="F32">
        <v>0.4</v>
      </c>
      <c r="G32">
        <v>2.5000000000000001E-2</v>
      </c>
    </row>
    <row r="33" spans="4:7" x14ac:dyDescent="0.25">
      <c r="D33">
        <v>0.35000000000000003</v>
      </c>
      <c r="E33">
        <v>2</v>
      </c>
      <c r="F33">
        <v>0.6</v>
      </c>
      <c r="G33">
        <v>0.02</v>
      </c>
    </row>
    <row r="34" spans="4:7" x14ac:dyDescent="0.25">
      <c r="D34">
        <v>0.3</v>
      </c>
      <c r="E34">
        <v>1</v>
      </c>
      <c r="F34">
        <v>1.2</v>
      </c>
      <c r="G34">
        <v>0.01</v>
      </c>
    </row>
    <row r="35" spans="4:7" x14ac:dyDescent="0.25">
      <c r="D35">
        <v>0.42</v>
      </c>
      <c r="E35">
        <v>7</v>
      </c>
      <c r="F35" s="19">
        <v>0.2</v>
      </c>
      <c r="G35">
        <v>0.06</v>
      </c>
    </row>
    <row r="36" spans="4:7" x14ac:dyDescent="0.25">
      <c r="D36">
        <v>0.38</v>
      </c>
      <c r="E36">
        <v>5</v>
      </c>
      <c r="F36">
        <v>0.3</v>
      </c>
      <c r="G36">
        <v>0.04</v>
      </c>
    </row>
    <row r="37" spans="4:7" x14ac:dyDescent="0.25">
      <c r="D37">
        <v>0.48</v>
      </c>
      <c r="E37">
        <v>8</v>
      </c>
      <c r="F37">
        <v>0.15</v>
      </c>
      <c r="G37">
        <v>7.0000000000000007E-2</v>
      </c>
    </row>
    <row r="38" spans="4:7" x14ac:dyDescent="0.25">
      <c r="D38">
        <v>0.45</v>
      </c>
      <c r="E38">
        <v>6</v>
      </c>
      <c r="F38">
        <v>0.25</v>
      </c>
      <c r="G38">
        <v>0.05</v>
      </c>
    </row>
    <row r="39" spans="4:7" x14ac:dyDescent="0.25">
      <c r="D39">
        <v>0.70000000000000007</v>
      </c>
      <c r="E39">
        <v>24</v>
      </c>
      <c r="F39">
        <v>0.05</v>
      </c>
      <c r="G39">
        <v>0.1</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topLeftCell="A2" zoomScale="88" workbookViewId="0">
      <selection activeCell="H21" sqref="H21"/>
    </sheetView>
  </sheetViews>
  <sheetFormatPr defaultColWidth="8.85546875" defaultRowHeight="15" x14ac:dyDescent="0.25"/>
  <cols>
    <col min="2" max="2" width="19.28515625" bestFit="1" customWidth="1"/>
    <col min="3" max="3" width="11.85546875" bestFit="1" customWidth="1"/>
    <col min="4" max="4" width="12.28515625" bestFit="1" customWidth="1"/>
    <col min="5" max="5" width="10.28515625" bestFit="1" customWidth="1"/>
    <col min="6" max="6" width="11.85546875" bestFit="1" customWidth="1"/>
    <col min="7" max="7" width="7.85546875" customWidth="1"/>
    <col min="8" max="8" width="12.85546875" bestFit="1" customWidth="1"/>
    <col min="9" max="9" width="19.140625" bestFit="1" customWidth="1"/>
    <col min="10" max="10" width="7.85546875" bestFit="1" customWidth="1"/>
    <col min="11" max="11" width="8.7109375" bestFit="1" customWidth="1"/>
    <col min="12" max="12" width="8.4257812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70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8" thickBot="1" x14ac:dyDescent="0.35">
      <c r="B2" s="16" t="s">
        <v>199</v>
      </c>
      <c r="AD2" s="2" t="s">
        <v>200</v>
      </c>
    </row>
    <row r="3" spans="2:50" ht="16.5" thickTop="1" thickBot="1" x14ac:dyDescent="0.3">
      <c r="B3" t="s">
        <v>201</v>
      </c>
      <c r="C3" t="s">
        <v>202</v>
      </c>
      <c r="D3" t="s">
        <v>203</v>
      </c>
      <c r="E3" t="s">
        <v>204</v>
      </c>
      <c r="F3" t="s">
        <v>205</v>
      </c>
      <c r="G3" t="s">
        <v>206</v>
      </c>
      <c r="H3" t="s">
        <v>207</v>
      </c>
      <c r="I3" t="s">
        <v>208</v>
      </c>
      <c r="J3" t="s">
        <v>209</v>
      </c>
      <c r="K3">
        <v>1</v>
      </c>
      <c r="L3">
        <v>39</v>
      </c>
      <c r="M3">
        <v>40</v>
      </c>
      <c r="N3">
        <v>41</v>
      </c>
      <c r="O3">
        <v>79</v>
      </c>
      <c r="P3">
        <v>80</v>
      </c>
      <c r="Q3">
        <v>81</v>
      </c>
      <c r="R3">
        <v>119</v>
      </c>
      <c r="S3">
        <v>120</v>
      </c>
      <c r="T3">
        <v>121</v>
      </c>
      <c r="U3">
        <v>159</v>
      </c>
      <c r="V3">
        <v>160</v>
      </c>
      <c r="W3">
        <v>161</v>
      </c>
      <c r="X3">
        <v>199</v>
      </c>
      <c r="Y3">
        <v>200</v>
      </c>
      <c r="AD3" s="3" t="s">
        <v>210</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25">
      <c r="B4" t="s">
        <v>211</v>
      </c>
      <c r="C4" t="s">
        <v>212</v>
      </c>
      <c r="D4" t="s">
        <v>213</v>
      </c>
      <c r="E4" t="s">
        <v>213</v>
      </c>
      <c r="F4" t="s">
        <v>214</v>
      </c>
      <c r="G4" s="17">
        <v>39.18</v>
      </c>
      <c r="H4" s="17" t="s">
        <v>215</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25">
      <c r="B5" t="s">
        <v>216</v>
      </c>
      <c r="C5" t="s">
        <v>213</v>
      </c>
      <c r="D5" t="s">
        <v>217</v>
      </c>
      <c r="E5" t="s">
        <v>213</v>
      </c>
      <c r="F5" t="s">
        <v>214</v>
      </c>
      <c r="G5" s="17">
        <v>19.34</v>
      </c>
      <c r="H5" s="17" t="s">
        <v>215</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8" thickBot="1" x14ac:dyDescent="0.35">
      <c r="AD7" s="2" t="s">
        <v>200</v>
      </c>
    </row>
    <row r="8" spans="2:50" ht="16.5" thickTop="1" thickBot="1" x14ac:dyDescent="0.3">
      <c r="B8" t="s">
        <v>201</v>
      </c>
      <c r="C8" t="s">
        <v>202</v>
      </c>
      <c r="D8" t="s">
        <v>203</v>
      </c>
      <c r="E8" t="s">
        <v>204</v>
      </c>
      <c r="F8" t="s">
        <v>205</v>
      </c>
      <c r="G8" t="s">
        <v>206</v>
      </c>
      <c r="H8" t="s">
        <v>209</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210</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25">
      <c r="B9" t="s">
        <v>218</v>
      </c>
      <c r="C9" t="s">
        <v>213</v>
      </c>
      <c r="D9" t="s">
        <v>213</v>
      </c>
      <c r="E9" t="s">
        <v>213</v>
      </c>
      <c r="F9" t="s">
        <v>219</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25">
      <c r="B10" t="s">
        <v>220</v>
      </c>
      <c r="C10" t="s">
        <v>213</v>
      </c>
      <c r="D10" t="s">
        <v>213</v>
      </c>
      <c r="E10" t="s">
        <v>213</v>
      </c>
      <c r="F10" t="s">
        <v>219</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25">
      <c r="B13" s="16" t="s">
        <v>221</v>
      </c>
    </row>
    <row r="14" spans="2:50" x14ac:dyDescent="0.25">
      <c r="B14" s="18" t="s">
        <v>222</v>
      </c>
      <c r="C14" s="18"/>
      <c r="D14" s="18"/>
    </row>
    <row r="15" spans="2:50" x14ac:dyDescent="0.25">
      <c r="B15" s="18" t="s">
        <v>223</v>
      </c>
      <c r="C15" s="18"/>
      <c r="D15" s="18"/>
    </row>
    <row r="16" spans="2:50" x14ac:dyDescent="0.25">
      <c r="B16" s="18" t="s">
        <v>224</v>
      </c>
      <c r="C16" s="18"/>
      <c r="D16" s="18"/>
    </row>
    <row r="18" spans="2:12" x14ac:dyDescent="0.25">
      <c r="B18" s="18" t="s">
        <v>225</v>
      </c>
      <c r="C18" s="18" t="s">
        <v>226</v>
      </c>
      <c r="D18" s="18" t="s">
        <v>227</v>
      </c>
    </row>
    <row r="19" spans="2:12" x14ac:dyDescent="0.25">
      <c r="B19" s="18" t="s">
        <v>228</v>
      </c>
      <c r="C19" s="18" t="s">
        <v>229</v>
      </c>
      <c r="D19" s="18">
        <v>253</v>
      </c>
    </row>
    <row r="20" spans="2:12" ht="18" thickBot="1" x14ac:dyDescent="0.35">
      <c r="B20" s="18" t="s">
        <v>230</v>
      </c>
      <c r="C20" s="18" t="s">
        <v>229</v>
      </c>
      <c r="D20" s="18">
        <v>203</v>
      </c>
      <c r="H20" s="2" t="s">
        <v>248</v>
      </c>
    </row>
    <row r="21" spans="2:12" ht="16.5" thickTop="1" thickBot="1" x14ac:dyDescent="0.3">
      <c r="B21" s="18" t="s">
        <v>231</v>
      </c>
      <c r="C21" s="18" t="s">
        <v>232</v>
      </c>
      <c r="D21" s="18">
        <v>82</v>
      </c>
      <c r="H21" s="3" t="s">
        <v>233</v>
      </c>
      <c r="I21" s="3" t="s">
        <v>234</v>
      </c>
      <c r="J21" s="3" t="s">
        <v>235</v>
      </c>
      <c r="K21" s="3">
        <v>2019</v>
      </c>
      <c r="L21" s="3">
        <v>0</v>
      </c>
    </row>
    <row r="22" spans="2:12" x14ac:dyDescent="0.25">
      <c r="B22" s="18" t="s">
        <v>236</v>
      </c>
      <c r="C22" s="18" t="s">
        <v>232</v>
      </c>
      <c r="D22" s="18">
        <v>242</v>
      </c>
      <c r="H22" t="s">
        <v>237</v>
      </c>
      <c r="I22" t="s">
        <v>243</v>
      </c>
      <c r="J22" t="s">
        <v>244</v>
      </c>
      <c r="K22">
        <f>AD4</f>
        <v>81</v>
      </c>
      <c r="L22">
        <v>2</v>
      </c>
    </row>
    <row r="23" spans="2:12" x14ac:dyDescent="0.25">
      <c r="B23" s="18" t="s">
        <v>238</v>
      </c>
      <c r="C23" s="18" t="s">
        <v>232</v>
      </c>
      <c r="D23" s="18">
        <v>226</v>
      </c>
      <c r="H23" t="s">
        <v>237</v>
      </c>
      <c r="I23" t="s">
        <v>80</v>
      </c>
      <c r="K23">
        <f>AD5</f>
        <v>82</v>
      </c>
      <c r="L23">
        <v>2</v>
      </c>
    </row>
    <row r="24" spans="2:12" x14ac:dyDescent="0.25">
      <c r="B24" s="18" t="s">
        <v>239</v>
      </c>
      <c r="C24" s="18" t="s">
        <v>229</v>
      </c>
      <c r="D24" s="18">
        <v>174</v>
      </c>
      <c r="H24" t="s">
        <v>237</v>
      </c>
      <c r="I24" t="s">
        <v>22</v>
      </c>
      <c r="K24">
        <f>AD9</f>
        <v>83</v>
      </c>
      <c r="L24">
        <v>2</v>
      </c>
    </row>
    <row r="25" spans="2:12" x14ac:dyDescent="0.25">
      <c r="B25" s="18" t="s">
        <v>240</v>
      </c>
      <c r="C25" s="18" t="s">
        <v>229</v>
      </c>
      <c r="D25" s="18">
        <v>258</v>
      </c>
      <c r="H25" t="s">
        <v>237</v>
      </c>
      <c r="I25" t="s">
        <v>15</v>
      </c>
      <c r="K25">
        <f>AD10</f>
        <v>84</v>
      </c>
      <c r="L25">
        <v>2</v>
      </c>
    </row>
    <row r="26" spans="2:12" x14ac:dyDescent="0.25">
      <c r="B26" s="18" t="s">
        <v>241</v>
      </c>
      <c r="C26" s="18" t="s">
        <v>242</v>
      </c>
      <c r="D26" s="18">
        <v>135</v>
      </c>
      <c r="H26" t="s">
        <v>237</v>
      </c>
      <c r="I26" t="s">
        <v>246</v>
      </c>
      <c r="K26">
        <v>81</v>
      </c>
      <c r="L26">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5" x14ac:dyDescent="0.25"/>
  <cols>
    <col min="2" max="2" width="14.42578125" bestFit="1" customWidth="1"/>
    <col min="3" max="3" width="10.140625" bestFit="1" customWidth="1"/>
    <col min="4" max="4" width="17.85546875" bestFit="1" customWidth="1"/>
    <col min="5" max="5" width="13.7109375" bestFit="1" customWidth="1"/>
    <col min="6" max="6" width="16" bestFit="1" customWidth="1"/>
    <col min="7" max="7" width="16.85546875" bestFit="1" customWidth="1"/>
    <col min="8" max="8" width="19.140625" bestFit="1" customWidth="1"/>
    <col min="9" max="9" width="13.5703125" bestFit="1" customWidth="1"/>
    <col min="10" max="10" width="17.28515625" bestFit="1" customWidth="1"/>
    <col min="11" max="11" width="19.42578125" bestFit="1" customWidth="1"/>
  </cols>
  <sheetData>
    <row r="2" spans="2:11" x14ac:dyDescent="0.25">
      <c r="B2" t="s">
        <v>71</v>
      </c>
      <c r="C2" t="s">
        <v>17</v>
      </c>
      <c r="D2" t="s">
        <v>18</v>
      </c>
      <c r="E2" t="s">
        <v>6</v>
      </c>
      <c r="F2" t="s">
        <v>7</v>
      </c>
      <c r="G2" t="s">
        <v>8</v>
      </c>
      <c r="H2" t="s">
        <v>9</v>
      </c>
      <c r="I2" t="s">
        <v>10</v>
      </c>
      <c r="J2" t="s">
        <v>11</v>
      </c>
      <c r="K2" t="s">
        <v>12</v>
      </c>
    </row>
    <row r="3" spans="2:11" x14ac:dyDescent="0.25">
      <c r="B3" t="s">
        <v>15</v>
      </c>
      <c r="C3" t="s">
        <v>19</v>
      </c>
      <c r="D3">
        <v>25</v>
      </c>
      <c r="E3">
        <v>0.5</v>
      </c>
      <c r="F3">
        <v>0.5</v>
      </c>
      <c r="G3">
        <v>120</v>
      </c>
      <c r="H3">
        <v>120</v>
      </c>
      <c r="I3">
        <v>0.5</v>
      </c>
      <c r="J3">
        <v>10</v>
      </c>
      <c r="K3">
        <v>2</v>
      </c>
    </row>
    <row r="4" spans="2:11" x14ac:dyDescent="0.25">
      <c r="B4" t="s">
        <v>15</v>
      </c>
      <c r="C4" t="s">
        <v>20</v>
      </c>
      <c r="D4">
        <v>30</v>
      </c>
      <c r="E4">
        <v>1</v>
      </c>
      <c r="F4">
        <v>1</v>
      </c>
      <c r="G4">
        <v>100</v>
      </c>
      <c r="H4">
        <v>100</v>
      </c>
      <c r="I4">
        <v>0.75</v>
      </c>
      <c r="J4">
        <v>15</v>
      </c>
      <c r="K4">
        <v>4</v>
      </c>
    </row>
    <row r="5" spans="2:11" x14ac:dyDescent="0.25">
      <c r="B5" t="s">
        <v>15</v>
      </c>
      <c r="C5" t="s">
        <v>21</v>
      </c>
      <c r="D5">
        <v>35</v>
      </c>
      <c r="E5">
        <v>1.5</v>
      </c>
      <c r="F5">
        <v>1.5</v>
      </c>
      <c r="G5">
        <v>80</v>
      </c>
      <c r="H5">
        <v>80</v>
      </c>
      <c r="I5">
        <v>1.25</v>
      </c>
      <c r="J5">
        <v>20</v>
      </c>
      <c r="K5">
        <v>6</v>
      </c>
    </row>
    <row r="6" spans="2:11" x14ac:dyDescent="0.25">
      <c r="B6" t="s">
        <v>22</v>
      </c>
      <c r="C6" t="s">
        <v>23</v>
      </c>
      <c r="D6">
        <v>50</v>
      </c>
      <c r="E6">
        <v>2</v>
      </c>
      <c r="F6">
        <v>2</v>
      </c>
      <c r="G6">
        <v>60</v>
      </c>
      <c r="H6">
        <v>60</v>
      </c>
      <c r="I6">
        <v>1.75</v>
      </c>
      <c r="J6">
        <v>25</v>
      </c>
      <c r="K6">
        <v>6</v>
      </c>
    </row>
    <row r="7" spans="2:11" x14ac:dyDescent="0.25">
      <c r="B7" t="s">
        <v>22</v>
      </c>
      <c r="C7" t="s">
        <v>24</v>
      </c>
      <c r="D7">
        <v>55</v>
      </c>
      <c r="E7">
        <v>4</v>
      </c>
      <c r="F7">
        <v>4</v>
      </c>
      <c r="G7">
        <v>45</v>
      </c>
      <c r="H7">
        <v>45</v>
      </c>
      <c r="I7">
        <v>3</v>
      </c>
      <c r="J7">
        <v>40</v>
      </c>
      <c r="K7">
        <v>9</v>
      </c>
    </row>
    <row r="8" spans="2:11" x14ac:dyDescent="0.25">
      <c r="B8" t="s">
        <v>25</v>
      </c>
      <c r="C8" t="s">
        <v>26</v>
      </c>
      <c r="D8">
        <v>35</v>
      </c>
      <c r="E8">
        <v>3</v>
      </c>
      <c r="F8">
        <v>3</v>
      </c>
      <c r="G8">
        <v>40</v>
      </c>
      <c r="H8">
        <v>40</v>
      </c>
      <c r="I8">
        <v>2</v>
      </c>
      <c r="J8">
        <v>25</v>
      </c>
      <c r="K8">
        <v>5</v>
      </c>
    </row>
    <row r="9" spans="2:11" x14ac:dyDescent="0.25">
      <c r="B9" t="s">
        <v>25</v>
      </c>
      <c r="C9" t="s">
        <v>21</v>
      </c>
      <c r="D9">
        <v>40</v>
      </c>
      <c r="E9">
        <v>5</v>
      </c>
      <c r="F9">
        <v>5</v>
      </c>
      <c r="G9">
        <v>30</v>
      </c>
      <c r="H9">
        <v>30</v>
      </c>
      <c r="I9">
        <v>3</v>
      </c>
      <c r="J9">
        <v>35</v>
      </c>
      <c r="K9">
        <v>7</v>
      </c>
    </row>
    <row r="10" spans="2:11" x14ac:dyDescent="0.25">
      <c r="B10" t="s">
        <v>16</v>
      </c>
      <c r="C10" t="s">
        <v>27</v>
      </c>
      <c r="D10">
        <v>30</v>
      </c>
      <c r="E10">
        <v>1</v>
      </c>
      <c r="F10">
        <v>1</v>
      </c>
      <c r="G10">
        <v>120</v>
      </c>
      <c r="H10">
        <v>120</v>
      </c>
      <c r="I10">
        <v>0.4</v>
      </c>
      <c r="J10">
        <v>10</v>
      </c>
      <c r="K10">
        <v>2</v>
      </c>
    </row>
    <row r="11" spans="2:11" x14ac:dyDescent="0.25">
      <c r="B11" t="s">
        <v>16</v>
      </c>
      <c r="C11" t="s">
        <v>73</v>
      </c>
      <c r="D11">
        <v>35</v>
      </c>
      <c r="E11">
        <v>2</v>
      </c>
      <c r="F11">
        <v>2</v>
      </c>
      <c r="G11">
        <v>60</v>
      </c>
      <c r="H11">
        <v>60</v>
      </c>
      <c r="I11">
        <v>1.5</v>
      </c>
      <c r="J11">
        <v>20</v>
      </c>
      <c r="K11">
        <v>6</v>
      </c>
    </row>
    <row r="12" spans="2:11" x14ac:dyDescent="0.25">
      <c r="B12" t="s">
        <v>13</v>
      </c>
      <c r="C12" t="s">
        <v>23</v>
      </c>
      <c r="D12">
        <v>38</v>
      </c>
      <c r="E12">
        <v>5</v>
      </c>
      <c r="F12">
        <v>5</v>
      </c>
      <c r="G12">
        <v>30</v>
      </c>
      <c r="H12">
        <v>30</v>
      </c>
      <c r="I12">
        <v>5</v>
      </c>
      <c r="J12">
        <v>40</v>
      </c>
      <c r="K12">
        <v>10</v>
      </c>
    </row>
    <row r="13" spans="2:11" x14ac:dyDescent="0.25">
      <c r="B13" t="s">
        <v>13</v>
      </c>
      <c r="C13" t="s">
        <v>24</v>
      </c>
      <c r="D13">
        <v>42</v>
      </c>
      <c r="E13">
        <v>7</v>
      </c>
      <c r="F13">
        <v>7</v>
      </c>
      <c r="G13">
        <v>20</v>
      </c>
      <c r="H13">
        <v>20</v>
      </c>
      <c r="I13">
        <v>8</v>
      </c>
      <c r="J13">
        <v>60</v>
      </c>
      <c r="K13">
        <v>14</v>
      </c>
    </row>
    <row r="14" spans="2:11" x14ac:dyDescent="0.25">
      <c r="B14" t="s">
        <v>14</v>
      </c>
      <c r="C14" t="s">
        <v>28</v>
      </c>
      <c r="D14">
        <v>45</v>
      </c>
      <c r="E14">
        <v>6</v>
      </c>
      <c r="F14">
        <v>6</v>
      </c>
      <c r="G14">
        <v>25</v>
      </c>
      <c r="H14">
        <v>25</v>
      </c>
      <c r="I14">
        <v>6</v>
      </c>
      <c r="J14">
        <v>50</v>
      </c>
      <c r="K14">
        <v>12</v>
      </c>
    </row>
    <row r="15" spans="2:11" x14ac:dyDescent="0.25">
      <c r="B15" t="s">
        <v>14</v>
      </c>
      <c r="C15" t="s">
        <v>29</v>
      </c>
      <c r="D15">
        <v>48</v>
      </c>
      <c r="E15">
        <v>8</v>
      </c>
      <c r="F15">
        <v>8</v>
      </c>
      <c r="G15">
        <v>15</v>
      </c>
      <c r="H15">
        <v>15</v>
      </c>
      <c r="I15">
        <v>9</v>
      </c>
      <c r="J15">
        <v>70</v>
      </c>
      <c r="K15">
        <v>16</v>
      </c>
    </row>
    <row r="16" spans="2:11" x14ac:dyDescent="0.25">
      <c r="B16" t="s">
        <v>5</v>
      </c>
      <c r="C16" t="s">
        <v>30</v>
      </c>
      <c r="D16">
        <v>70</v>
      </c>
      <c r="E16">
        <v>24</v>
      </c>
      <c r="F16">
        <v>24</v>
      </c>
      <c r="G16">
        <v>5</v>
      </c>
      <c r="H16">
        <v>5</v>
      </c>
      <c r="I16">
        <v>48</v>
      </c>
      <c r="J16">
        <v>100</v>
      </c>
      <c r="K16">
        <v>50</v>
      </c>
    </row>
    <row r="20" spans="2:4" ht="18" x14ac:dyDescent="0.25">
      <c r="B20" s="5" t="s">
        <v>31</v>
      </c>
    </row>
    <row r="22" spans="2:4" x14ac:dyDescent="0.25">
      <c r="B22" s="6" t="s">
        <v>32</v>
      </c>
      <c r="C22" s="6" t="s">
        <v>33</v>
      </c>
      <c r="D22" s="6" t="s">
        <v>34</v>
      </c>
    </row>
    <row r="23" spans="2:4" x14ac:dyDescent="0.25">
      <c r="B23" s="7" t="s">
        <v>35</v>
      </c>
      <c r="C23" s="4" t="s">
        <v>36</v>
      </c>
      <c r="D23" s="4" t="s">
        <v>37</v>
      </c>
    </row>
    <row r="24" spans="2:4" x14ac:dyDescent="0.25">
      <c r="B24" s="7" t="s">
        <v>38</v>
      </c>
      <c r="C24" s="4" t="s">
        <v>39</v>
      </c>
      <c r="D24" s="4" t="s">
        <v>40</v>
      </c>
    </row>
    <row r="25" spans="2:4" x14ac:dyDescent="0.25">
      <c r="B25" s="7" t="s">
        <v>41</v>
      </c>
      <c r="C25" s="4" t="s">
        <v>42</v>
      </c>
      <c r="D25" s="4" t="s">
        <v>43</v>
      </c>
    </row>
    <row r="26" spans="2:4" x14ac:dyDescent="0.25">
      <c r="B26" s="7" t="s">
        <v>44</v>
      </c>
      <c r="C26" s="4" t="s">
        <v>45</v>
      </c>
      <c r="D26" s="4" t="s">
        <v>46</v>
      </c>
    </row>
    <row r="27" spans="2:4" x14ac:dyDescent="0.25">
      <c r="B27" s="7" t="s">
        <v>47</v>
      </c>
      <c r="C27" s="4" t="s">
        <v>48</v>
      </c>
      <c r="D27" s="4" t="s">
        <v>49</v>
      </c>
    </row>
    <row r="28" spans="2:4" x14ac:dyDescent="0.25">
      <c r="B28" s="7" t="s">
        <v>50</v>
      </c>
      <c r="C28" s="4" t="s">
        <v>51</v>
      </c>
      <c r="D28" s="4" t="s">
        <v>52</v>
      </c>
    </row>
    <row r="29" spans="2:4" x14ac:dyDescent="0.25">
      <c r="B29" s="7" t="s">
        <v>53</v>
      </c>
      <c r="C29" s="4" t="s">
        <v>54</v>
      </c>
      <c r="D29" s="4" t="s">
        <v>55</v>
      </c>
    </row>
    <row r="30" spans="2:4" x14ac:dyDescent="0.25">
      <c r="B30" s="7" t="s">
        <v>56</v>
      </c>
      <c r="C30" s="4"/>
      <c r="D30" s="4"/>
    </row>
    <row r="31" spans="2:4" x14ac:dyDescent="0.25">
      <c r="B31" s="8"/>
    </row>
    <row r="32" spans="2:4" x14ac:dyDescent="0.25">
      <c r="B32" s="8" t="s">
        <v>57</v>
      </c>
    </row>
    <row r="33" spans="2:2" x14ac:dyDescent="0.25">
      <c r="B33" s="8"/>
    </row>
    <row r="34" spans="2:2" x14ac:dyDescent="0.25">
      <c r="B34" s="8" t="s">
        <v>58</v>
      </c>
    </row>
    <row r="35" spans="2:2" x14ac:dyDescent="0.25">
      <c r="B35" s="8"/>
    </row>
    <row r="36" spans="2:2" x14ac:dyDescent="0.25">
      <c r="B36" s="8" t="s">
        <v>59</v>
      </c>
    </row>
    <row r="40" spans="2:2" ht="18" x14ac:dyDescent="0.25">
      <c r="B40" s="5" t="s">
        <v>60</v>
      </c>
    </row>
    <row r="41" spans="2:2" x14ac:dyDescent="0.25">
      <c r="B41" s="8"/>
    </row>
    <row r="42" spans="2:2" x14ac:dyDescent="0.25">
      <c r="B42" s="8" t="s">
        <v>61</v>
      </c>
    </row>
    <row r="43" spans="2:2" x14ac:dyDescent="0.25">
      <c r="B43" s="8"/>
    </row>
    <row r="44" spans="2:2" x14ac:dyDescent="0.25">
      <c r="B44" s="8" t="s">
        <v>62</v>
      </c>
    </row>
    <row r="45" spans="2:2" x14ac:dyDescent="0.25">
      <c r="B45" s="8"/>
    </row>
    <row r="46" spans="2:2" x14ac:dyDescent="0.2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5" x14ac:dyDescent="0.25"/>
  <cols>
    <col min="1" max="1" width="14.42578125" bestFit="1" customWidth="1"/>
    <col min="2" max="2" width="8" bestFit="1" customWidth="1"/>
    <col min="3" max="3" width="17" bestFit="1" customWidth="1"/>
  </cols>
  <sheetData>
    <row r="1" spans="1:3" x14ac:dyDescent="0.25">
      <c r="A1" t="s">
        <v>71</v>
      </c>
      <c r="B1" t="s">
        <v>17</v>
      </c>
      <c r="C1" t="s">
        <v>196</v>
      </c>
    </row>
    <row r="2" spans="1:3" x14ac:dyDescent="0.25">
      <c r="A2" t="s">
        <v>15</v>
      </c>
      <c r="B2" t="s">
        <v>19</v>
      </c>
      <c r="C2">
        <v>50</v>
      </c>
    </row>
    <row r="3" spans="1:3" x14ac:dyDescent="0.25">
      <c r="A3" t="s">
        <v>15</v>
      </c>
      <c r="B3" t="s">
        <v>20</v>
      </c>
      <c r="C3">
        <v>40</v>
      </c>
    </row>
    <row r="4" spans="1:3" x14ac:dyDescent="0.25">
      <c r="A4" t="s">
        <v>15</v>
      </c>
      <c r="B4" t="s">
        <v>21</v>
      </c>
      <c r="C4">
        <v>30</v>
      </c>
    </row>
    <row r="5" spans="1:3" x14ac:dyDescent="0.25">
      <c r="A5" t="s">
        <v>22</v>
      </c>
      <c r="B5" t="s">
        <v>23</v>
      </c>
      <c r="C5">
        <v>60</v>
      </c>
    </row>
    <row r="6" spans="1:3" x14ac:dyDescent="0.25">
      <c r="A6" t="s">
        <v>22</v>
      </c>
      <c r="B6" t="s">
        <v>24</v>
      </c>
      <c r="C6">
        <v>50</v>
      </c>
    </row>
    <row r="7" spans="1:3" x14ac:dyDescent="0.25">
      <c r="A7" t="s">
        <v>25</v>
      </c>
      <c r="B7" t="s">
        <v>26</v>
      </c>
      <c r="C7">
        <v>70</v>
      </c>
    </row>
    <row r="8" spans="1:3" x14ac:dyDescent="0.25">
      <c r="A8" t="s">
        <v>25</v>
      </c>
      <c r="B8" t="s">
        <v>21</v>
      </c>
      <c r="C8">
        <v>60</v>
      </c>
    </row>
    <row r="9" spans="1:3" x14ac:dyDescent="0.25">
      <c r="A9" t="s">
        <v>16</v>
      </c>
      <c r="B9" t="s">
        <v>27</v>
      </c>
      <c r="C9">
        <v>40</v>
      </c>
    </row>
    <row r="10" spans="1:3" x14ac:dyDescent="0.25">
      <c r="A10" t="s">
        <v>16</v>
      </c>
      <c r="B10" t="s">
        <v>73</v>
      </c>
      <c r="C10">
        <v>30</v>
      </c>
    </row>
    <row r="11" spans="1:3" x14ac:dyDescent="0.25">
      <c r="A11" t="s">
        <v>13</v>
      </c>
      <c r="B11" t="s">
        <v>23</v>
      </c>
      <c r="C11">
        <v>100</v>
      </c>
    </row>
    <row r="12" spans="1:3" x14ac:dyDescent="0.25">
      <c r="A12" t="s">
        <v>13</v>
      </c>
      <c r="B12" t="s">
        <v>24</v>
      </c>
      <c r="C12">
        <v>90</v>
      </c>
    </row>
    <row r="13" spans="1:3" x14ac:dyDescent="0.25">
      <c r="A13" t="s">
        <v>14</v>
      </c>
      <c r="B13" t="s">
        <v>28</v>
      </c>
      <c r="C13">
        <v>110</v>
      </c>
    </row>
    <row r="14" spans="1:3" x14ac:dyDescent="0.25">
      <c r="A14" t="s">
        <v>14</v>
      </c>
      <c r="B14" t="s">
        <v>29</v>
      </c>
      <c r="C14">
        <v>100</v>
      </c>
    </row>
    <row r="15" spans="1:3" x14ac:dyDescent="0.2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5" x14ac:dyDescent="0.25"/>
  <cols>
    <col min="1" max="1" width="29.28515625" customWidth="1"/>
    <col min="2" max="5" width="51" customWidth="1"/>
  </cols>
  <sheetData>
    <row r="1" spans="1:5" ht="23.25" x14ac:dyDescent="0.25">
      <c r="A1" s="10" t="s">
        <v>89</v>
      </c>
    </row>
    <row r="3" spans="1:5" x14ac:dyDescent="0.25">
      <c r="A3" s="11" t="s">
        <v>90</v>
      </c>
      <c r="B3" s="11" t="s">
        <v>91</v>
      </c>
      <c r="C3" s="11" t="s">
        <v>92</v>
      </c>
      <c r="D3" s="11" t="s">
        <v>93</v>
      </c>
      <c r="E3" s="11" t="s">
        <v>94</v>
      </c>
    </row>
    <row r="4" spans="1:5" ht="90" x14ac:dyDescent="0.25">
      <c r="A4" s="12" t="s">
        <v>95</v>
      </c>
      <c r="B4" s="13" t="s">
        <v>96</v>
      </c>
      <c r="C4" s="14" t="s">
        <v>97</v>
      </c>
      <c r="D4" s="14" t="s">
        <v>98</v>
      </c>
      <c r="E4" s="14" t="s">
        <v>99</v>
      </c>
    </row>
    <row r="5" spans="1:5" ht="180" x14ac:dyDescent="0.25">
      <c r="A5" s="12" t="s">
        <v>100</v>
      </c>
      <c r="B5" s="14" t="s">
        <v>101</v>
      </c>
      <c r="C5" s="14" t="s">
        <v>102</v>
      </c>
      <c r="D5" s="14" t="s">
        <v>103</v>
      </c>
      <c r="E5" s="14" t="s">
        <v>104</v>
      </c>
    </row>
    <row r="6" spans="1:5" ht="135" x14ac:dyDescent="0.25">
      <c r="A6" s="12" t="s">
        <v>105</v>
      </c>
      <c r="B6" s="13" t="s">
        <v>106</v>
      </c>
      <c r="C6" s="14" t="s">
        <v>107</v>
      </c>
      <c r="D6" s="14" t="s">
        <v>108</v>
      </c>
      <c r="E6" s="14" t="s">
        <v>109</v>
      </c>
    </row>
    <row r="7" spans="1:5" ht="225" x14ac:dyDescent="0.25">
      <c r="A7" s="12" t="s">
        <v>110</v>
      </c>
      <c r="B7" s="12" t="s">
        <v>111</v>
      </c>
      <c r="C7" s="14" t="s">
        <v>112</v>
      </c>
      <c r="D7" s="12" t="s">
        <v>113</v>
      </c>
      <c r="E7" s="14" t="s">
        <v>114</v>
      </c>
    </row>
    <row r="8" spans="1:5" ht="165" x14ac:dyDescent="0.25">
      <c r="A8" s="12" t="s">
        <v>115</v>
      </c>
      <c r="B8" s="13" t="s">
        <v>116</v>
      </c>
      <c r="C8" s="14" t="s">
        <v>117</v>
      </c>
      <c r="D8" s="14" t="s">
        <v>118</v>
      </c>
      <c r="E8" s="14" t="s">
        <v>119</v>
      </c>
    </row>
    <row r="9" spans="1:5" ht="150" x14ac:dyDescent="0.25">
      <c r="A9" s="12" t="s">
        <v>120</v>
      </c>
      <c r="B9" s="12" t="s">
        <v>121</v>
      </c>
      <c r="C9" s="14" t="s">
        <v>122</v>
      </c>
      <c r="D9" s="14" t="s">
        <v>123</v>
      </c>
      <c r="E9" s="14" t="s">
        <v>124</v>
      </c>
    </row>
    <row r="10" spans="1:5" ht="150" x14ac:dyDescent="0.25">
      <c r="A10" s="12" t="s">
        <v>125</v>
      </c>
      <c r="B10" s="13" t="s">
        <v>126</v>
      </c>
      <c r="C10" s="14" t="s">
        <v>127</v>
      </c>
      <c r="D10" s="14" t="s">
        <v>128</v>
      </c>
      <c r="E10" s="14" t="s">
        <v>129</v>
      </c>
    </row>
    <row r="11" spans="1:5" ht="150" x14ac:dyDescent="0.25">
      <c r="A11" s="12" t="s">
        <v>130</v>
      </c>
      <c r="B11" s="12" t="s">
        <v>131</v>
      </c>
      <c r="C11" s="14" t="s">
        <v>132</v>
      </c>
      <c r="D11" s="14" t="s">
        <v>133</v>
      </c>
      <c r="E11" s="14" t="s">
        <v>134</v>
      </c>
    </row>
    <row r="12" spans="1:5" ht="165" x14ac:dyDescent="0.25">
      <c r="A12" s="12" t="s">
        <v>135</v>
      </c>
      <c r="B12" s="13" t="s">
        <v>136</v>
      </c>
      <c r="C12" s="14" t="s">
        <v>137</v>
      </c>
      <c r="D12" s="14" t="s">
        <v>138</v>
      </c>
      <c r="E12" s="14" t="s">
        <v>139</v>
      </c>
    </row>
    <row r="13" spans="1:5" ht="225" x14ac:dyDescent="0.25">
      <c r="A13" s="12" t="s">
        <v>140</v>
      </c>
      <c r="B13" s="13" t="s">
        <v>141</v>
      </c>
      <c r="C13" s="14" t="s">
        <v>142</v>
      </c>
      <c r="D13" s="14" t="s">
        <v>143</v>
      </c>
      <c r="E13" s="14" t="s">
        <v>144</v>
      </c>
    </row>
    <row r="14" spans="1:5" ht="270" x14ac:dyDescent="0.25">
      <c r="A14" s="12" t="s">
        <v>145</v>
      </c>
      <c r="B14" s="12" t="s">
        <v>146</v>
      </c>
      <c r="C14" s="14" t="s">
        <v>147</v>
      </c>
      <c r="D14" s="12" t="s">
        <v>148</v>
      </c>
      <c r="E14" s="14" t="s">
        <v>149</v>
      </c>
    </row>
    <row r="15" spans="1:5" ht="210" x14ac:dyDescent="0.25">
      <c r="A15" s="12" t="s">
        <v>150</v>
      </c>
      <c r="B15" s="13" t="s">
        <v>151</v>
      </c>
      <c r="C15" s="14" t="s">
        <v>152</v>
      </c>
      <c r="D15" s="14" t="s">
        <v>153</v>
      </c>
      <c r="E15" s="14" t="s">
        <v>154</v>
      </c>
    </row>
    <row r="16" spans="1:5" ht="195" x14ac:dyDescent="0.25">
      <c r="A16" s="12" t="s">
        <v>155</v>
      </c>
      <c r="B16" s="12" t="s">
        <v>156</v>
      </c>
      <c r="C16" s="14" t="s">
        <v>157</v>
      </c>
      <c r="D16" s="14" t="s">
        <v>158</v>
      </c>
      <c r="E16" s="14" t="s">
        <v>159</v>
      </c>
    </row>
    <row r="17" spans="1:5" ht="195" x14ac:dyDescent="0.25">
      <c r="A17" s="12" t="s">
        <v>160</v>
      </c>
      <c r="B17" s="12" t="s">
        <v>161</v>
      </c>
      <c r="C17" s="14" t="s">
        <v>162</v>
      </c>
      <c r="D17" s="14" t="s">
        <v>163</v>
      </c>
      <c r="E17" s="14" t="s">
        <v>164</v>
      </c>
    </row>
    <row r="18" spans="1:5" ht="210" x14ac:dyDescent="0.25">
      <c r="A18" s="12" t="s">
        <v>165</v>
      </c>
      <c r="B18" s="12" t="s">
        <v>166</v>
      </c>
      <c r="C18" s="14" t="s">
        <v>167</v>
      </c>
      <c r="D18" s="14" t="s">
        <v>168</v>
      </c>
      <c r="E18" s="14" t="s">
        <v>169</v>
      </c>
    </row>
    <row r="19" spans="1:5" ht="150" x14ac:dyDescent="0.25">
      <c r="A19" s="12" t="s">
        <v>170</v>
      </c>
      <c r="B19" s="13" t="s">
        <v>171</v>
      </c>
      <c r="C19" s="14" t="s">
        <v>172</v>
      </c>
      <c r="D19" s="14" t="s">
        <v>173</v>
      </c>
      <c r="E19" s="14" t="s">
        <v>174</v>
      </c>
    </row>
    <row r="20" spans="1:5" ht="180" x14ac:dyDescent="0.25">
      <c r="A20" s="12" t="s">
        <v>175</v>
      </c>
      <c r="B20" s="12" t="s">
        <v>176</v>
      </c>
      <c r="C20" s="14" t="s">
        <v>177</v>
      </c>
      <c r="D20" s="14" t="s">
        <v>178</v>
      </c>
      <c r="E20" s="14" t="s">
        <v>179</v>
      </c>
    </row>
    <row r="21" spans="1:5" ht="225" x14ac:dyDescent="0.25">
      <c r="A21" s="12" t="s">
        <v>180</v>
      </c>
      <c r="B21" s="12" t="s">
        <v>181</v>
      </c>
      <c r="C21" s="14" t="s">
        <v>182</v>
      </c>
      <c r="D21" s="14" t="s">
        <v>183</v>
      </c>
      <c r="E21" s="14" t="s">
        <v>184</v>
      </c>
    </row>
    <row r="22" spans="1:5" ht="225" x14ac:dyDescent="0.25">
      <c r="A22" s="12" t="s">
        <v>185</v>
      </c>
      <c r="B22" s="12" t="s">
        <v>186</v>
      </c>
      <c r="C22" s="14" t="s">
        <v>187</v>
      </c>
      <c r="D22" s="14" t="s">
        <v>188</v>
      </c>
      <c r="E22" s="14" t="s">
        <v>189</v>
      </c>
    </row>
    <row r="23" spans="1:5" ht="285" x14ac:dyDescent="0.25">
      <c r="A23" s="12" t="s">
        <v>190</v>
      </c>
      <c r="B23" s="12" t="s">
        <v>191</v>
      </c>
      <c r="C23" s="14" t="s">
        <v>192</v>
      </c>
      <c r="D23" s="14" t="s">
        <v>193</v>
      </c>
      <c r="E23" s="14" t="s">
        <v>194</v>
      </c>
    </row>
    <row r="25" spans="1:5" x14ac:dyDescent="0.25">
      <c r="A25" s="15" t="s">
        <v>195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5" x14ac:dyDescent="0.25"/>
  <cols>
    <col min="1" max="1" width="14.42578125" bestFit="1" customWidth="1"/>
  </cols>
  <sheetData>
    <row r="1" spans="1:2" x14ac:dyDescent="0.25">
      <c r="A1" t="s">
        <v>71</v>
      </c>
      <c r="B1" t="s">
        <v>72</v>
      </c>
    </row>
    <row r="2" spans="1:2" x14ac:dyDescent="0.25">
      <c r="A2" t="s">
        <v>22</v>
      </c>
      <c r="B2" t="s">
        <v>64</v>
      </c>
    </row>
    <row r="3" spans="1:2" x14ac:dyDescent="0.25">
      <c r="A3" t="s">
        <v>16</v>
      </c>
      <c r="B3" t="s">
        <v>65</v>
      </c>
    </row>
    <row r="4" spans="1:2" x14ac:dyDescent="0.25">
      <c r="A4" t="s">
        <v>25</v>
      </c>
      <c r="B4" t="s">
        <v>66</v>
      </c>
    </row>
    <row r="5" spans="1:2" x14ac:dyDescent="0.25">
      <c r="A5" t="s">
        <v>5</v>
      </c>
      <c r="B5" t="s">
        <v>67</v>
      </c>
    </row>
    <row r="6" spans="1:2" x14ac:dyDescent="0.25">
      <c r="A6" t="s">
        <v>15</v>
      </c>
      <c r="B6" t="s">
        <v>68</v>
      </c>
    </row>
    <row r="7" spans="1:2" x14ac:dyDescent="0.25">
      <c r="A7" t="s">
        <v>13</v>
      </c>
      <c r="B7" t="s">
        <v>69</v>
      </c>
    </row>
    <row r="8" spans="1:2" x14ac:dyDescent="0.25">
      <c r="A8" t="s">
        <v>14</v>
      </c>
      <c r="B8" t="s">
        <v>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veda input</vt:lpstr>
      <vt:lpstr>Thermal elec op costs</vt:lpstr>
      <vt:lpstr>uc_data</vt:lpstr>
      <vt:lpstr>dcost_data</vt:lpstr>
      <vt:lpstr>readme_dcost</vt:lpstr>
      <vt:lpstr>uc_tech_map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2022-06-29T12:43:09Z</dcterms:created>
  <dcterms:modified xsi:type="dcterms:W3CDTF">2026-03-09T09:11:29Z</dcterms:modified>
</cp:coreProperties>
</file>