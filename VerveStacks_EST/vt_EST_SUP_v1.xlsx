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C7B98A8F-AB7A-4D54-8199-819CF61BFE8B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Supply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tc={E038209F-90E0-4A15-8D63-AF2C49B09543}</author>
  </authors>
  <commentList>
    <comment ref="D4" authorId="0" shapeId="0" xr:uid="{E038209F-90E0-4A15-8D63-AF2C49B09543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add oil shale mining
Reply:
    refineries</t>
      </text>
    </comment>
  </commentList>
</comments>
</file>

<file path=xl/sharedStrings.xml><?xml version="1.0" encoding="utf-8"?>
<sst xmlns="http://schemas.openxmlformats.org/spreadsheetml/2006/main" count="111" uniqueCount="68">
  <si>
    <t>~FI_Process</t>
  </si>
  <si>
    <t>Sets</t>
  </si>
  <si>
    <t>TechName</t>
  </si>
  <si>
    <t>TechDesc</t>
  </si>
  <si>
    <t>Tslvl</t>
  </si>
  <si>
    <t>IMP</t>
  </si>
  <si>
    <t>TWh</t>
  </si>
  <si>
    <t>GW</t>
  </si>
  <si>
    <t>EXP</t>
  </si>
  <si>
    <t>Trd_electricity import_fi</t>
  </si>
  <si>
    <t>Trd_electricity import_lv</t>
  </si>
  <si>
    <t>Trd_electricity export_lv</t>
  </si>
  <si>
    <t>Trd_electricity export_fi</t>
  </si>
  <si>
    <t>Comm-IN</t>
  </si>
  <si>
    <t>Comm-OUT</t>
  </si>
  <si>
    <t>Cap2ACT</t>
  </si>
  <si>
    <t>flo_cost</t>
  </si>
  <si>
    <t>invcost</t>
  </si>
  <si>
    <t>life</t>
  </si>
  <si>
    <t>ELC</t>
  </si>
  <si>
    <t>ncap_pasti</t>
  </si>
  <si>
    <t>ncap_af</t>
  </si>
  <si>
    <t>daynite</t>
  </si>
  <si>
    <t>Annual</t>
  </si>
  <si>
    <t>Tact</t>
  </si>
  <si>
    <t>Tcap</t>
  </si>
  <si>
    <t>PrimaryCG</t>
  </si>
  <si>
    <t>Vintage</t>
  </si>
  <si>
    <t>*Process Set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</si>
  <si>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</si>
  <si>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</si>
  <si>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</si>
  <si>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</si>
  <si>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</si>
  <si>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</si>
  <si>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</si>
  <si>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* Units</t>
  </si>
  <si>
    <t>Yr</t>
  </si>
  <si>
    <t>~FI_T:EUR25</t>
  </si>
  <si>
    <t>fossil_supply</t>
  </si>
  <si>
    <t>generic fuel supply</t>
  </si>
  <si>
    <t>renewable</t>
  </si>
  <si>
    <t>hydro and geothermal</t>
  </si>
  <si>
    <t>nuclear_fuel</t>
  </si>
  <si>
    <t>Nuclear fuel supply</t>
  </si>
  <si>
    <t>solar_potential</t>
  </si>
  <si>
    <t>solar potential</t>
  </si>
  <si>
    <t>winon_potential</t>
  </si>
  <si>
    <t>wind onshore potential</t>
  </si>
  <si>
    <t>winoff_potential</t>
  </si>
  <si>
    <t>Electricity import from Finland</t>
  </si>
  <si>
    <t>Electricity import from Latvia</t>
  </si>
  <si>
    <t>Electricity export from Finland</t>
  </si>
  <si>
    <t>Electricity export from Latvia</t>
  </si>
  <si>
    <t>EFF</t>
  </si>
  <si>
    <t>coal</t>
  </si>
  <si>
    <t>gas</t>
  </si>
  <si>
    <t>oil</t>
  </si>
  <si>
    <t>geothermal</t>
  </si>
  <si>
    <t>hydro</t>
  </si>
  <si>
    <t>bioenergy</t>
  </si>
  <si>
    <t>nuclear</t>
  </si>
  <si>
    <t>solar</t>
  </si>
  <si>
    <t>windon</t>
  </si>
  <si>
    <t>windoff</t>
  </si>
  <si>
    <t>wind offshore potential</t>
  </si>
  <si>
    <t>ktoe</t>
  </si>
  <si>
    <t>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</si>
</sst>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\Te\x\t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186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7">
    <xf numFmtId="0" fontId="0" fillId="0" borderId="0"/>
    <xf numFmtId="0" fontId="2" fillId="0" borderId="1" applyNumberFormat="0" applyFill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6" borderId="0" applyNumberFormat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1" applyFill="1" applyBorder="1"/>
    <xf numFmtId="164" fontId="4" fillId="0" borderId="0" xfId="2" applyNumberFormat="1"/>
    <xf numFmtId="164" fontId="8" fillId="4" borderId="0" xfId="2" applyNumberFormat="1" applyFont="1" applyFill="1"/>
    <xf numFmtId="164" fontId="5" fillId="2" borderId="2" xfId="2" applyNumberFormat="1" applyFont="1" applyFill="1" applyBorder="1" applyAlignment="1">
      <alignment horizontal="center" vertical="center"/>
    </xf>
    <xf numFmtId="164" fontId="5" fillId="3" borderId="3" xfId="2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/>
    <xf numFmtId="0" fontId="10" fillId="0" borderId="0" xfId="16"/>
    <xf numFmtId="0" fontId="8" fillId="0" borderId="0" xfId="8" applyFont="1" applyAlignment="1">
      <alignment horizontal="left"/>
    </xf>
    <xf numFmtId="0" fontId="8" fillId="4" borderId="0" xfId="8" applyFont="1" applyFill="1" applyAlignment="1">
      <alignment horizontal="left"/>
    </xf>
    <xf numFmtId="164" fontId="6" fillId="5" borderId="4" xfId="9" applyNumberFormat="1" applyFont="1" applyFill="1" applyBorder="1" applyAlignment="1">
      <alignment horizontal="center" vertical="center" wrapText="1"/>
    </xf>
    <xf numFmtId="0" fontId="5" fillId="2" borderId="5" xfId="8" applyFont="1" applyFill="1" applyBorder="1" applyAlignment="1">
      <alignment horizontal="center" vertical="center"/>
    </xf>
    <xf numFmtId="0" fontId="5" fillId="3" borderId="5" xfId="8" applyFont="1" applyFill="1" applyBorder="1" applyAlignment="1">
      <alignment horizontal="center" vertical="center" wrapText="1"/>
    </xf>
    <xf numFmtId="164" fontId="6" fillId="5" borderId="5" xfId="9" applyNumberFormat="1" applyFont="1" applyFill="1" applyBorder="1" applyAlignment="1">
      <alignment horizontal="center" vertical="center" wrapText="1"/>
    </xf>
    <xf numFmtId="0" fontId="6" fillId="5" borderId="4" xfId="9" applyFont="1" applyFill="1" applyBorder="1" applyAlignment="1">
      <alignment horizontal="center" vertical="center" wrapText="1"/>
    </xf>
    <xf numFmtId="165" fontId="0" fillId="0" borderId="0" xfId="0" applyNumberFormat="1"/>
    <xf numFmtId="164" fontId="8" fillId="0" borderId="0" xfId="2" applyNumberFormat="1" applyFont="1"/>
    <xf numFmtId="0" fontId="0" fillId="0" borderId="0" xfId="0" applyFont="1"/>
    <xf numFmtId="2" fontId="0" fillId="0" borderId="0" xfId="0" applyNumberFormat="1"/>
  </cellXfs>
  <cellStyles count="17">
    <cellStyle name="40% - Accent2 2" xfId="11" xr:uid="{087B65A6-0941-47D0-A448-C10B046F140C}"/>
    <cellStyle name="Comma 2 3" xfId="12" xr:uid="{679960BF-62C8-4391-80A8-428DB704B822}"/>
    <cellStyle name="Heading 3" xfId="1" builtinId="18"/>
    <cellStyle name="Normal" xfId="0" builtinId="0"/>
    <cellStyle name="Normal 10" xfId="9" xr:uid="{C6D030BF-8B58-4B9F-939F-7DA5F32CE453}"/>
    <cellStyle name="Normal 10 3" xfId="10" xr:uid="{2B27D3AC-E893-4C0E-AAF8-1BEE1C1539EE}"/>
    <cellStyle name="Normal 13" xfId="4" xr:uid="{58C3B047-17CC-4D16-8EAD-719B309FA180}"/>
    <cellStyle name="Normal 15" xfId="15" xr:uid="{95714C7E-51A9-427F-A395-EB18D4778779}"/>
    <cellStyle name="Normal 2" xfId="6" xr:uid="{F7C61818-5297-47A1-AA09-349056DAF997}"/>
    <cellStyle name="Normal 2 2" xfId="3" xr:uid="{158E254C-5599-4E64-81E7-5F0F4663B581}"/>
    <cellStyle name="Normal 2 2 2" xfId="5" xr:uid="{314761BD-361D-4F54-9615-8C602E0DF10F}"/>
    <cellStyle name="Normal 3" xfId="7" xr:uid="{219CE21A-71B3-4F64-B8AC-3767C80284AB}"/>
    <cellStyle name="Normal 4" xfId="8" xr:uid="{3A697559-DA3B-4907-A151-DB438E21C737}"/>
    <cellStyle name="Normal 4 2" xfId="14" xr:uid="{371BB8F6-7860-491E-9556-006B9FA23413}"/>
    <cellStyle name="Normal 5" xfId="2" xr:uid="{66E33886-288E-4F9E-8AD4-05B7602A02FE}"/>
    <cellStyle name="Normal 6" xfId="16" xr:uid="{6A7D03EE-F027-4DE2-AB69-DED3604D4582}"/>
    <cellStyle name="Percent 2" xfId="13" xr:uid="{A129560F-6300-413C-B309-A128432DD7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29FE2BB-984B-46A4-91E1-AB3A16D849D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6-05-28T07:59:37.68" personId="{929FE2BB-984B-46A4-91E1-AB3A16D849D3}" id="{E038209F-90E0-4A15-8D63-AF2C49B09543}">
    <text>TODO: add oil shale mining</text>
  </threadedComment>
  <threadedComment ref="D4" dT="2026-05-28T08:00:29.37" personId="{929FE2BB-984B-46A4-91E1-AB3A16D849D3}" id="{FE89220A-8A49-4561-8962-F3D0F49B38B4}" parentId="{E038209F-90E0-4A15-8D63-AF2C49B09543}">
    <text>refineries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8FA58-8399-45BE-8875-71A71258D648}">
  <dimension ref="B2:W27"/>
  <sheetViews>
    <sheetView tabSelected="1" zoomScale="90" workbookViewId="0">
      <selection activeCell="P24" sqref="P24"/>
    </sheetView>
  </sheetViews>
  <sheetFormatPr defaultRowHeight="15" x14ac:dyDescent="0.25"/>
  <cols>
    <col min="2" max="2" width="23.140625" bestFit="1" customWidth="1"/>
    <col min="3" max="3" width="8.42578125" bestFit="1" customWidth="1"/>
    <col min="4" max="4" width="14" bestFit="1" customWidth="1"/>
    <col min="5" max="5" width="8.42578125" bestFit="1" customWidth="1"/>
    <col min="6" max="6" width="12.140625" customWidth="1"/>
    <col min="7" max="7" width="9.42578125" customWidth="1"/>
    <col min="8" max="8" width="7" bestFit="1" customWidth="1"/>
    <col min="9" max="9" width="8.42578125" customWidth="1"/>
    <col min="10" max="10" width="10.140625" bestFit="1" customWidth="1"/>
    <col min="11" max="11" width="11.7109375" customWidth="1"/>
    <col min="12" max="14" width="14.140625" customWidth="1"/>
    <col min="15" max="15" width="11.85546875" bestFit="1" customWidth="1"/>
    <col min="16" max="16" width="23.140625" bestFit="1" customWidth="1"/>
    <col min="17" max="18" width="28.42578125" bestFit="1" customWidth="1"/>
    <col min="19" max="19" width="11.28515625" bestFit="1" customWidth="1"/>
    <col min="20" max="20" width="12.85546875" bestFit="1" customWidth="1"/>
    <col min="21" max="21" width="10" bestFit="1" customWidth="1"/>
    <col min="22" max="22" width="14.140625" customWidth="1"/>
  </cols>
  <sheetData>
    <row r="2" spans="2:23" x14ac:dyDescent="0.25">
      <c r="K2" t="s">
        <v>66</v>
      </c>
      <c r="L2" t="s">
        <v>6</v>
      </c>
    </row>
    <row r="3" spans="2:23" x14ac:dyDescent="0.25">
      <c r="K3">
        <v>1</v>
      </c>
      <c r="L3">
        <v>1.163E-2</v>
      </c>
    </row>
    <row r="4" spans="2:23" x14ac:dyDescent="0.25">
      <c r="B4" s="9"/>
      <c r="C4" s="9"/>
      <c r="D4" s="11" t="s">
        <v>38</v>
      </c>
      <c r="E4" s="10"/>
      <c r="F4" s="10"/>
      <c r="G4" s="10"/>
      <c r="H4" s="10"/>
      <c r="I4" s="10"/>
      <c r="J4" s="10"/>
      <c r="K4" s="10"/>
      <c r="P4" s="4" t="s">
        <v>0</v>
      </c>
      <c r="Q4" s="18"/>
      <c r="R4" s="3"/>
      <c r="S4" s="3"/>
      <c r="T4" s="3"/>
      <c r="U4" s="3"/>
      <c r="V4" s="3"/>
    </row>
    <row r="5" spans="2:23" ht="15.75" thickBot="1" x14ac:dyDescent="0.3">
      <c r="B5" s="13" t="s">
        <v>2</v>
      </c>
      <c r="C5" s="13" t="s">
        <v>13</v>
      </c>
      <c r="D5" s="13" t="s">
        <v>14</v>
      </c>
      <c r="E5" s="14" t="s">
        <v>54</v>
      </c>
      <c r="F5" s="14" t="s">
        <v>15</v>
      </c>
      <c r="G5" s="14" t="s">
        <v>16</v>
      </c>
      <c r="H5" s="14">
        <v>0</v>
      </c>
      <c r="I5" s="14" t="s">
        <v>17</v>
      </c>
      <c r="J5" s="14" t="s">
        <v>18</v>
      </c>
      <c r="K5" s="14" t="s">
        <v>20</v>
      </c>
      <c r="L5" s="14" t="s">
        <v>21</v>
      </c>
      <c r="M5" s="14" t="s">
        <v>67</v>
      </c>
      <c r="P5" s="5" t="s">
        <v>1</v>
      </c>
      <c r="Q5" s="5" t="s">
        <v>2</v>
      </c>
      <c r="R5" s="5" t="s">
        <v>3</v>
      </c>
      <c r="S5" s="6" t="s">
        <v>24</v>
      </c>
      <c r="T5" s="6" t="s">
        <v>25</v>
      </c>
      <c r="U5" s="6" t="s">
        <v>4</v>
      </c>
      <c r="V5" s="6" t="s">
        <v>26</v>
      </c>
      <c r="W5" s="6" t="s">
        <v>27</v>
      </c>
    </row>
    <row r="6" spans="2:23" s="7" customFormat="1" ht="48.75" thickBot="1" x14ac:dyDescent="0.3">
      <c r="B6" s="12" t="s">
        <v>36</v>
      </c>
      <c r="C6" s="12"/>
      <c r="D6" s="12"/>
      <c r="E6" s="12"/>
      <c r="F6" s="12"/>
      <c r="G6" s="12" t="s">
        <v>37</v>
      </c>
      <c r="H6" s="12"/>
      <c r="I6" s="12"/>
      <c r="J6" s="16"/>
      <c r="K6" s="16"/>
      <c r="L6" s="16"/>
      <c r="M6" s="16"/>
      <c r="P6" s="12" t="s">
        <v>28</v>
      </c>
      <c r="Q6" s="12" t="s">
        <v>29</v>
      </c>
      <c r="R6" s="12" t="s">
        <v>30</v>
      </c>
      <c r="S6" s="15" t="s">
        <v>31</v>
      </c>
      <c r="T6" s="15" t="s">
        <v>32</v>
      </c>
      <c r="U6" s="15" t="s">
        <v>33</v>
      </c>
      <c r="V6" s="15" t="s">
        <v>34</v>
      </c>
      <c r="W6" s="15" t="s">
        <v>35</v>
      </c>
    </row>
    <row r="7" spans="2:23" x14ac:dyDescent="0.25">
      <c r="B7" t="s">
        <v>9</v>
      </c>
      <c r="D7" t="s">
        <v>19</v>
      </c>
      <c r="F7">
        <v>8.76</v>
      </c>
      <c r="G7" s="17">
        <v>40.49</v>
      </c>
      <c r="H7">
        <v>3</v>
      </c>
      <c r="I7">
        <v>1000</v>
      </c>
      <c r="J7">
        <v>50</v>
      </c>
      <c r="K7">
        <v>1.016</v>
      </c>
      <c r="L7">
        <v>0.8</v>
      </c>
      <c r="P7" t="s">
        <v>5</v>
      </c>
      <c r="Q7" t="s">
        <v>9</v>
      </c>
      <c r="R7" t="s">
        <v>50</v>
      </c>
      <c r="S7" s="1" t="s">
        <v>6</v>
      </c>
      <c r="T7" t="s">
        <v>7</v>
      </c>
      <c r="U7" t="s">
        <v>22</v>
      </c>
    </row>
    <row r="8" spans="2:23" x14ac:dyDescent="0.25">
      <c r="B8" t="s">
        <v>10</v>
      </c>
      <c r="D8" t="s">
        <v>19</v>
      </c>
      <c r="F8">
        <v>8.76</v>
      </c>
      <c r="G8" s="17">
        <v>0</v>
      </c>
      <c r="H8">
        <v>3</v>
      </c>
      <c r="I8">
        <v>1000</v>
      </c>
      <c r="J8">
        <v>50</v>
      </c>
      <c r="K8">
        <v>1.204</v>
      </c>
      <c r="P8" t="s">
        <v>5</v>
      </c>
      <c r="Q8" t="s">
        <v>10</v>
      </c>
      <c r="R8" t="s">
        <v>51</v>
      </c>
      <c r="S8" s="1" t="s">
        <v>6</v>
      </c>
      <c r="T8" t="s">
        <v>7</v>
      </c>
      <c r="U8" t="s">
        <v>23</v>
      </c>
    </row>
    <row r="9" spans="2:23" x14ac:dyDescent="0.25">
      <c r="B9" t="s">
        <v>12</v>
      </c>
      <c r="C9" t="s">
        <v>19</v>
      </c>
      <c r="F9">
        <v>8.76</v>
      </c>
      <c r="G9" s="17">
        <v>0</v>
      </c>
      <c r="H9">
        <v>3</v>
      </c>
      <c r="I9">
        <v>1000</v>
      </c>
      <c r="J9">
        <v>50</v>
      </c>
      <c r="K9">
        <v>1.016</v>
      </c>
      <c r="P9" t="s">
        <v>8</v>
      </c>
      <c r="Q9" t="s">
        <v>12</v>
      </c>
      <c r="R9" t="s">
        <v>52</v>
      </c>
      <c r="S9" s="1" t="s">
        <v>6</v>
      </c>
      <c r="T9" t="s">
        <v>7</v>
      </c>
      <c r="U9" t="s">
        <v>23</v>
      </c>
    </row>
    <row r="10" spans="2:23" x14ac:dyDescent="0.25">
      <c r="B10" t="s">
        <v>11</v>
      </c>
      <c r="C10" t="s">
        <v>19</v>
      </c>
      <c r="F10">
        <v>8.76</v>
      </c>
      <c r="G10" s="17">
        <v>0</v>
      </c>
      <c r="H10">
        <v>3</v>
      </c>
      <c r="I10">
        <v>1000</v>
      </c>
      <c r="J10">
        <v>50</v>
      </c>
      <c r="K10">
        <v>0.99850000000000005</v>
      </c>
      <c r="P10" t="s">
        <v>8</v>
      </c>
      <c r="Q10" t="s">
        <v>11</v>
      </c>
      <c r="R10" t="s">
        <v>53</v>
      </c>
      <c r="S10" s="1" t="s">
        <v>6</v>
      </c>
      <c r="T10" t="s">
        <v>7</v>
      </c>
      <c r="U10" t="s">
        <v>23</v>
      </c>
    </row>
    <row r="11" spans="2:23" x14ac:dyDescent="0.25">
      <c r="B11" t="s">
        <v>39</v>
      </c>
      <c r="D11" t="s">
        <v>55</v>
      </c>
      <c r="G11" s="17">
        <v>97.330783938814534</v>
      </c>
      <c r="P11" s="1" t="s">
        <v>5</v>
      </c>
      <c r="Q11" s="1" t="s">
        <v>39</v>
      </c>
      <c r="R11" s="1" t="s">
        <v>40</v>
      </c>
      <c r="S11" s="1" t="s">
        <v>6</v>
      </c>
      <c r="T11" t="s">
        <v>7</v>
      </c>
    </row>
    <row r="12" spans="2:23" x14ac:dyDescent="0.25">
      <c r="D12" t="s">
        <v>56</v>
      </c>
      <c r="G12" s="17">
        <v>35.496509410102867</v>
      </c>
      <c r="P12" s="1" t="s">
        <v>5</v>
      </c>
      <c r="Q12" s="1" t="s">
        <v>41</v>
      </c>
      <c r="R12" s="1" t="s">
        <v>42</v>
      </c>
      <c r="S12" s="1" t="s">
        <v>6</v>
      </c>
      <c r="T12" t="s">
        <v>7</v>
      </c>
    </row>
    <row r="13" spans="2:23" x14ac:dyDescent="0.25">
      <c r="D13" t="s">
        <v>57</v>
      </c>
      <c r="G13" s="17">
        <v>46.935294117647068</v>
      </c>
      <c r="M13" s="20">
        <f>90.7*L3</f>
        <v>1.0548409999999999</v>
      </c>
      <c r="P13" s="1" t="s">
        <v>5</v>
      </c>
      <c r="Q13" s="1" t="s">
        <v>43</v>
      </c>
      <c r="R13" s="1" t="s">
        <v>44</v>
      </c>
      <c r="S13" s="1" t="s">
        <v>6</v>
      </c>
      <c r="T13" t="s">
        <v>7</v>
      </c>
    </row>
    <row r="14" spans="2:23" x14ac:dyDescent="0.25">
      <c r="B14" t="s">
        <v>41</v>
      </c>
      <c r="D14" t="s">
        <v>58</v>
      </c>
      <c r="G14" s="17">
        <v>0.36000000000000004</v>
      </c>
      <c r="P14" s="1" t="s">
        <v>5</v>
      </c>
      <c r="Q14" s="1" t="s">
        <v>45</v>
      </c>
      <c r="R14" s="1" t="s">
        <v>46</v>
      </c>
      <c r="S14" s="1" t="s">
        <v>6</v>
      </c>
      <c r="T14" t="s">
        <v>7</v>
      </c>
    </row>
    <row r="15" spans="2:23" x14ac:dyDescent="0.25">
      <c r="D15" t="s">
        <v>59</v>
      </c>
      <c r="G15" s="17">
        <v>0.36000000000000004</v>
      </c>
      <c r="P15" s="1" t="s">
        <v>5</v>
      </c>
      <c r="Q15" t="s">
        <v>47</v>
      </c>
      <c r="R15" t="s">
        <v>48</v>
      </c>
      <c r="S15" s="1" t="s">
        <v>6</v>
      </c>
      <c r="T15" t="s">
        <v>7</v>
      </c>
    </row>
    <row r="16" spans="2:23" x14ac:dyDescent="0.25">
      <c r="D16" s="1" t="s">
        <v>60</v>
      </c>
      <c r="G16" s="17">
        <v>46.249920000000003</v>
      </c>
      <c r="P16" s="1" t="s">
        <v>5</v>
      </c>
      <c r="Q16" t="s">
        <v>49</v>
      </c>
      <c r="R16" t="s">
        <v>65</v>
      </c>
      <c r="S16" s="1" t="s">
        <v>6</v>
      </c>
      <c r="T16" t="s">
        <v>7</v>
      </c>
    </row>
    <row r="17" spans="2:20" x14ac:dyDescent="0.25">
      <c r="B17" t="s">
        <v>43</v>
      </c>
      <c r="D17" s="1" t="s">
        <v>61</v>
      </c>
      <c r="G17" s="17">
        <v>6</v>
      </c>
      <c r="P17" s="19"/>
      <c r="S17" s="19"/>
      <c r="T17" s="19"/>
    </row>
    <row r="18" spans="2:20" x14ac:dyDescent="0.25">
      <c r="B18" t="s">
        <v>45</v>
      </c>
      <c r="D18" t="s">
        <v>62</v>
      </c>
      <c r="G18">
        <v>0.36000000000000004</v>
      </c>
    </row>
    <row r="19" spans="2:20" x14ac:dyDescent="0.25">
      <c r="B19" t="s">
        <v>47</v>
      </c>
      <c r="D19" t="s">
        <v>63</v>
      </c>
      <c r="G19">
        <v>0.36000000000000004</v>
      </c>
    </row>
    <row r="20" spans="2:20" x14ac:dyDescent="0.25">
      <c r="B20" t="s">
        <v>49</v>
      </c>
      <c r="D20" t="s">
        <v>64</v>
      </c>
      <c r="G20">
        <v>0.36000000000000004</v>
      </c>
      <c r="K20" s="2"/>
      <c r="M20" s="1"/>
      <c r="N20" s="1"/>
      <c r="O20" s="1"/>
      <c r="P20" s="1"/>
    </row>
    <row r="21" spans="2:20" x14ac:dyDescent="0.25">
      <c r="K21" s="1"/>
      <c r="M21" s="1"/>
      <c r="N21" s="1"/>
      <c r="S21" s="8"/>
    </row>
    <row r="26" spans="2:20" x14ac:dyDescent="0.25">
      <c r="K26" s="2"/>
    </row>
    <row r="27" spans="2:20" x14ac:dyDescent="0.25">
      <c r="K27" s="1"/>
      <c r="M27" s="1"/>
      <c r="N27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2026-06-11T07:47:12Z</dcterms:modified>
</cp:coreProperties>
</file>