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621948D0-ADC5-4658-A15F-C4300F589B09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3" l="1"/>
  <c r="E15" i="3" s="1"/>
  <c r="I102" i="5" l="1"/>
  <c r="I101" i="5"/>
  <c r="H95" i="5"/>
  <c r="I51" i="5"/>
  <c r="G51" i="5"/>
  <c r="F51" i="5"/>
  <c r="G14" i="3"/>
  <c r="G15" i="3" s="1"/>
  <c r="G16" i="3" s="1"/>
  <c r="G17" i="3" s="1"/>
  <c r="G18" i="3" s="1"/>
  <c r="E16" i="3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<sst xmlns="http://schemas.openxmlformats.org/spreadsheetml/2006/main" count="738" uniqueCount="279">
  <si>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</si>
  <si>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</si>
  <si>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</si>
  <si>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</si>
  <si>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</si>
  <si>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</si>
  <si>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</si>
  <si>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</si>
  <si>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</si>
  <si>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</si>
  <si>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</si>
  <si>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</si>
  <si>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</si>
  <si>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</si>
  <si>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</si>
  <si>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</si>
  <si>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</si>
  <si>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</si>
  <si>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</si>
  <si>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</si>
  <si>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</si>
  <si>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</si>
  <si>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</si>
  <si>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</si>
  <si>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</si>
  <si>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</si>
  <si>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</si>
  <si>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</si>
  <si>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</si>
  <si>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</si>
  <si>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</si>
  <si>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</si>
  <si>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</si>
  <si>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</si>
  <si>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</si>
  <si>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</si>
  <si>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</si>
  <si>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</si>
  <si>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</si>
  <si>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</si>
  <si>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</si>
  <si>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</si>
  <si>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</si>
  <si>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</si>
  <si>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</si>
  <si>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</si>
  <si>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</si>
  <si>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</si>
  <si>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</si>
  <si>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</si>
  <si>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</si>
  <si>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</si>
  <si>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</si>
  <si>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</si>
  <si>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</si>
  <si>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</si>
  <si>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</si>
  <si>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</si>
  <si>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</si>
  <si>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</si>
  <si>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</si>
  <si>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</si>
  <si>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</si>
  <si>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</si>
  <si>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</si>
  <si>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</si>
  <si>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</si>
  <si>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</si>
  <si>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</si>
  <si>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</si>
  <si>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</si>
  <si>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</si>
  <si>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</si>
  <si>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</si>
  <si>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</si>
  <si>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</si>
  <si>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</si>
  <si>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</si>
  <si>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</si>
  <si>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</si>
  <si>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</si>
  <si>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</si>
  <si>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</si>
  <si>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</si>
  <si>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</si>
  <si>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</si>
  <si>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</si>
  <si>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</si>
  <si>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</si>
  <si>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</si>
  <si>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</si>
  <si>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</si>
  <si>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</si>
  <si>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</si>
  <si>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</si>
  <si>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</si>
  <si>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</si>
  <si>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</si>
  <si>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</si>
  <si>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</si>
  <si>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</si>
  <si>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</si>
  <si>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</si>
  <si>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</si>
  <si>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</si>
  <si>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</si>
  <si>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</si>
  <si>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</si>
  <si>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</si>
  <si>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</si>
  <si>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</si>
  <si>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</si>
  <si>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</si>
  <si>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</si>
  <si>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</si>
  <si>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</si>
  <si>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</si>
  <si>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</si>
  <si>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</si>
  <si>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</si>
  <si>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</si>
  <si>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</si>
  <si>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</si>
  <si>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</si>
  <si>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</si>
  <si>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</si>
  <si>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</si>
  <si>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</si>
  <si>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</si>
  <si>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</si>
  <si>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</si>
  <si>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</si>
  <si>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</si>
  <si>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</si>
  <si>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</si>
  <si>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</si>
  <si>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</si>
  <si>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</si>
  <si>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</si>
  <si>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</si>
  <si>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</si>
  <si>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</si>
  <si>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</si>
  <si>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</si>
  <si>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</si>
  <si>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</si>
  <si>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</si>
  <si>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</si>
  <si>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</si>
  <si>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</si>
  <si>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</si>
  <si>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</si>
  <si>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</si>
  <si>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</si>
  <si>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</si>
  <si>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</si>
  <si>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</si>
  <si>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</si>
  <si>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</si>
  <si>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</si>
  <si>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</si>
  <si>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</si>
  <si>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</si>
  <si>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</si>
  <si>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</si>
  <si>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</si>
  <si>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</si>
  <si>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</si>
  <si>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</si>
  <si>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</si>
  <si>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</si>
  <si>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</si>
  <si>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</si>
  <si>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</si>
  <si>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</si>
  <si>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</si>
  <si>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</si>
  <si>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</si>
  <si>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</si>
  <si>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</si>
  <si>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</si>
  <si>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</si>
  <si>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</si>
  <si>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</si>
  <si>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</si>
  <si>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</si>
  <si>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</si>
  <si>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</si>
  <si>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</si>
  <si>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</si>
  <si>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</si>
  <si>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</si>
  <si>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</si>
  <si>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</si>
  <si>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</si>
  <si>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</si>
  <si>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</si>
  <si>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</si>
  <si>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</si>
  <si>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</si>
  <si>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</si>
  <si>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</si>
  <si>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</si>
  <si>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</si>
  <si>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</si>
  <si>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</si>
  <si>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</si>
  <si>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</si>
  <si>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</si>
  <si>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</si>
  <si>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</si>
  <si>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</si>
  <si>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</si>
  <si>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</si>
  <si>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</si>
  <si>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</si>
  <si>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</si>
  <si>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</si>
  <si>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</si>
  <si>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</si>
  <si>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</si>
  <si>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</si>
  <si>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</si>
  <si>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</si>
  <si>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</si>
  <si>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</si>
  <si>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</si>
  <si>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</si>
  <si>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</si>
  <si>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</si>
  <si>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</si>
  <si>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</si>
  <si>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</si>
  <si>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</si>
  <si>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</si>
  <si>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</si>
  <si>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</si>
  <si>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</si>
  <si>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</si>
  <si>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</si>
  <si>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</si>
  <si>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</si>
  <si>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</si>
  <si>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</si>
  <si>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</si>
  <si>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</si>
  <si>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</si>
  <si>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</si>
  <si>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</si>
  <si>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</si>
  <si>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</si>
  <si>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</si>
  <si>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</si>
  <si>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</si>
  <si>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</si>
  <si>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</si>
  <si>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</si>
  <si>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</si>
  <si>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</si>
  <si>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</si>
  <si>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</si>
  <si>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</si>
  <si>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</si>
  <si>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</si>
  <si>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</si>
  <si>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</si>
  <si>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</si>
  <si>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</si>
  <si>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</si>
  <si>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</si>
  <si>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</si>
  <si>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</si>
  <si>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</si>
  <si>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</si>
  <si>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</si>
  <si>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PDef1</t>
  </si>
  <si>
    <t>elc_commercial</t>
  </si>
  <si>
    <t>electricity used in commercial and public sector</t>
  </si>
  <si>
    <t>msy6_2050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</si>
</sst>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W27" sqref="W27"/>
    </sheetView>
  </sheetViews>
  <sheetFormatPr defaultRowHeight="15"/>
  <cols>
    <col min="2" max="2" width="11.140625" bestFit="1" customWidth="1"/>
    <col min="3" max="3" width="16.85546875" bestFit="1" customWidth="1"/>
    <col min="4" max="4" width="39.710937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  <col min="14" max="14" width="12" bestFit="1" customWidth="1"/>
    <col min="15" max="15" width="45.7109375" bestFit="1" customWidth="1"/>
    <col min="16" max="16" width="14" bestFit="1" customWidth="1"/>
  </cols>
  <sheetData>
    <row r="3" spans="2:18" ht="18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18" ht="16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276</v>
      </c>
      <c r="D20" t="s">
        <v>277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192</v>
      </c>
      <c r="C24" t="s">
        <v>199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B25" t="s">
        <v>192</v>
      </c>
      <c r="C25" t="s">
        <v>200</v>
      </c>
      <c r="E25" t="s">
        <v>195</v>
      </c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tabSelected="1" zoomScale="70" workbookViewId="0">
      <selection activeCell="L27" sqref="L27"/>
    </sheetView>
  </sheetViews>
  <sheetFormatPr defaultColWidth="11.42578125" defaultRowHeight="12.75"/>
  <cols>
    <col min="1" max="1" width="9.140625" style="2" customWidth="1"/>
    <col min="2" max="2" width="11.85546875" style="2" bestFit="1" customWidth="1"/>
    <col min="3" max="3" width="11.42578125" style="2"/>
    <col min="4" max="4" width="14.140625" style="2" bestFit="1" customWidth="1"/>
    <col min="5" max="5" width="9.85546875" style="2" bestFit="1" customWidth="1"/>
    <col min="6" max="7" width="10.85546875" style="2" bestFit="1" customWidth="1"/>
    <col min="8" max="16384" width="11.42578125" style="2"/>
  </cols>
  <sheetData>
    <row r="3" spans="2:7">
      <c r="B3" s="2" t="s">
        <v>40</v>
      </c>
    </row>
    <row r="4" spans="2:7">
      <c r="B4" s="2">
        <v>2025</v>
      </c>
    </row>
    <row r="7" spans="2:7">
      <c r="B7" s="2" t="s">
        <v>41</v>
      </c>
    </row>
    <row r="8" spans="2:7">
      <c r="B8" s="2" t="s">
        <v>278</v>
      </c>
    </row>
    <row r="11" spans="2:7">
      <c r="B11" s="2" t="s">
        <v>42</v>
      </c>
      <c r="D11" s="2" t="s">
        <v>43</v>
      </c>
    </row>
    <row r="12" spans="2:7" ht="15">
      <c r="B12" s="3" t="s">
        <v>275</v>
      </c>
      <c r="D12" s="4" t="s">
        <v>44</v>
      </c>
      <c r="E12" s="4" t="str">
        <f>"msy"&amp;COUNT(E14:E46)&amp;"_"&amp;MAX(E14:E46)</f>
        <v>msy7_2053</v>
      </c>
      <c r="F12" s="4" t="str">
        <f>"msy"&amp;COUNT(F14:F45)&amp;"_"&amp;MAX(F14:F45)</f>
        <v>msy6_2050</v>
      </c>
      <c r="G12" s="4" t="str">
        <f t="shared" ref="G12" si="0">"msy"&amp;COUNT(G14:G45)&amp;"_"&amp;MAX(G14:G45)</f>
        <v>msy5_2053</v>
      </c>
    </row>
    <row r="13" spans="2:7" ht="15">
      <c r="B13" s="5">
        <v>1</v>
      </c>
      <c r="D13" s="2" t="s">
        <v>45</v>
      </c>
    </row>
    <row r="14" spans="2:7" ht="15">
      <c r="B14" s="5">
        <v>5</v>
      </c>
      <c r="D14" s="2" t="s">
        <v>46</v>
      </c>
      <c r="E14" s="2">
        <f>$B$4</f>
        <v>2025</v>
      </c>
      <c r="F14" s="2">
        <v>2025</v>
      </c>
      <c r="G14" s="2">
        <f t="shared" ref="G14" si="1">$B$4</f>
        <v>2025</v>
      </c>
    </row>
    <row r="15" spans="2:7" ht="15">
      <c r="B15" s="5">
        <v>5</v>
      </c>
      <c r="D15" s="2" t="s">
        <v>46</v>
      </c>
      <c r="E15" s="2">
        <f>E14+3</f>
        <v>2028</v>
      </c>
      <c r="F15" s="2">
        <v>2030</v>
      </c>
      <c r="G15" s="2">
        <f>G14+3</f>
        <v>2028</v>
      </c>
    </row>
    <row r="16" spans="2:7" ht="15">
      <c r="B16" s="5">
        <v>5</v>
      </c>
      <c r="D16" s="2" t="s">
        <v>46</v>
      </c>
      <c r="E16" s="2">
        <f>E15+5</f>
        <v>2033</v>
      </c>
      <c r="F16" s="2">
        <v>2035</v>
      </c>
      <c r="G16" s="2">
        <f>G15+5</f>
        <v>2033</v>
      </c>
    </row>
    <row r="17" spans="2:7" ht="15">
      <c r="B17" s="5">
        <v>5</v>
      </c>
      <c r="D17" s="2" t="s">
        <v>46</v>
      </c>
      <c r="E17" s="2">
        <f t="shared" ref="E17:E20" si="2">E16+5</f>
        <v>2038</v>
      </c>
      <c r="F17" s="2">
        <v>2040</v>
      </c>
      <c r="G17" s="2">
        <f>G16+10</f>
        <v>2043</v>
      </c>
    </row>
    <row r="18" spans="2:7" ht="15">
      <c r="B18" s="5">
        <v>5</v>
      </c>
      <c r="D18" s="2" t="s">
        <v>46</v>
      </c>
      <c r="E18" s="2">
        <f t="shared" si="2"/>
        <v>2043</v>
      </c>
      <c r="F18" s="2">
        <v>2045</v>
      </c>
      <c r="G18" s="2">
        <f t="shared" ref="G18" si="3">G17+10</f>
        <v>2053</v>
      </c>
    </row>
    <row r="19" spans="2:7" ht="15">
      <c r="B19" s="5">
        <v>5</v>
      </c>
      <c r="D19" s="2" t="s">
        <v>46</v>
      </c>
      <c r="E19" s="2">
        <f t="shared" si="2"/>
        <v>2048</v>
      </c>
      <c r="F19" s="2">
        <v>2050</v>
      </c>
    </row>
    <row r="20" spans="2:7" ht="15">
      <c r="B20" s="5"/>
      <c r="D20" s="2" t="s">
        <v>46</v>
      </c>
      <c r="E20" s="2">
        <f t="shared" si="2"/>
        <v>2053</v>
      </c>
    </row>
    <row r="21" spans="2:7" ht="15">
      <c r="B21" s="5"/>
      <c r="D21" s="2" t="s">
        <v>46</v>
      </c>
    </row>
    <row r="22" spans="2:7" ht="15">
      <c r="B22" s="5"/>
      <c r="D22" s="2" t="s">
        <v>46</v>
      </c>
    </row>
    <row r="23" spans="2:7" ht="15">
      <c r="B23" s="5"/>
      <c r="D23" s="2" t="s">
        <v>46</v>
      </c>
    </row>
    <row r="24" spans="2:7" ht="15">
      <c r="B24" s="5"/>
      <c r="D24" s="2" t="s">
        <v>46</v>
      </c>
    </row>
    <row r="25" spans="2:7" ht="15">
      <c r="B25" s="5"/>
      <c r="D25" s="2" t="s">
        <v>46</v>
      </c>
    </row>
    <row r="26" spans="2:7" ht="15">
      <c r="B26" s="5"/>
      <c r="D26" s="2" t="s">
        <v>46</v>
      </c>
    </row>
    <row r="27" spans="2:7" ht="15">
      <c r="B27" s="5"/>
      <c r="D27" s="2" t="s">
        <v>46</v>
      </c>
    </row>
    <row r="28" spans="2:7" ht="15">
      <c r="B28" s="5"/>
      <c r="D28" s="2" t="s">
        <v>46</v>
      </c>
    </row>
    <row r="29" spans="2:7" ht="15">
      <c r="B29" s="5"/>
      <c r="D29" s="2" t="s">
        <v>46</v>
      </c>
    </row>
    <row r="30" spans="2:7" ht="15">
      <c r="B30" s="5"/>
    </row>
    <row r="31" spans="2:7" ht="15">
      <c r="B31" s="5"/>
    </row>
    <row r="32" spans="2:7" ht="15">
      <c r="B32" s="5"/>
    </row>
    <row r="33" spans="2:2" ht="15">
      <c r="B3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7"/>
    <col min="2" max="2" width="8.7109375" style="7" bestFit="1" customWidth="1"/>
    <col min="3" max="3" width="6.140625" style="7" bestFit="1" customWidth="1"/>
    <col min="4" max="4" width="9.42578125" style="7" bestFit="1" customWidth="1"/>
    <col min="5" max="5" width="4.28515625" style="7" bestFit="1" customWidth="1"/>
    <col min="6" max="6" width="7.42578125" style="7" bestFit="1" customWidth="1"/>
    <col min="7" max="7" width="8" style="7" bestFit="1" customWidth="1"/>
    <col min="8" max="8" width="6" style="7" bestFit="1" customWidth="1"/>
    <col min="9" max="9" width="6.140625" style="7" bestFit="1" customWidth="1"/>
    <col min="10" max="10" width="6.28515625" style="7" bestFit="1" customWidth="1"/>
    <col min="11" max="11" width="5.5703125" style="7" bestFit="1" customWidth="1"/>
    <col min="12" max="12" width="5.7109375" style="7" bestFit="1" customWidth="1"/>
    <col min="13" max="16384" width="11.42578125" style="7"/>
  </cols>
  <sheetData>
    <row r="1" spans="2:12" ht="12.75">
      <c r="B1" s="2"/>
      <c r="C1" s="6"/>
    </row>
    <row r="2" spans="2:12" ht="12.75">
      <c r="B2" s="8"/>
      <c r="C2" s="9"/>
      <c r="D2" s="9"/>
      <c r="E2" s="9"/>
      <c r="F2" s="9"/>
      <c r="G2" s="9"/>
      <c r="H2" s="9"/>
      <c r="I2" s="9"/>
      <c r="J2" s="9"/>
    </row>
    <row r="3" spans="2:12" ht="12.7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4" spans="2:12">
      <c r="B14" s="10" t="s">
        <v>62</v>
      </c>
      <c r="G14" s="10"/>
      <c r="H14" s="10"/>
      <c r="I14" s="10"/>
    </row>
    <row r="15" spans="2: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75">
      <c r="B18" s="9"/>
      <c r="C18" s="9"/>
      <c r="D18" s="9"/>
      <c r="E18" s="9"/>
      <c r="F18" s="9"/>
      <c r="G18" s="9"/>
      <c r="H18" s="9"/>
      <c r="I18" s="9"/>
      <c r="J18" s="9"/>
    </row>
    <row r="19" spans="2:14" ht="12.75">
      <c r="B19" s="9"/>
      <c r="C19" s="9"/>
      <c r="D19" s="9"/>
      <c r="E19" s="9"/>
      <c r="F19" s="9"/>
      <c r="G19" s="9"/>
      <c r="H19" s="9"/>
      <c r="I19" s="9"/>
      <c r="J19" s="9"/>
    </row>
    <row r="20" spans="2:14" ht="12.75">
      <c r="B20" s="9"/>
      <c r="C20" s="9"/>
      <c r="D20" s="9"/>
      <c r="E20" s="9"/>
      <c r="F20" s="9"/>
      <c r="G20" s="9"/>
      <c r="H20" s="9"/>
      <c r="I20" s="9"/>
      <c r="J20" s="9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>
      <selection activeCell="L29" sqref="L29"/>
    </sheetView>
  </sheetViews>
  <sheetFormatPr defaultColWidth="11.42578125" defaultRowHeight="12"/>
  <cols>
    <col min="1" max="1" width="11.42578125" style="7"/>
    <col min="2" max="2" width="12.7109375" style="7" bestFit="1" customWidth="1"/>
    <col min="3" max="4" width="11.42578125" style="7"/>
    <col min="5" max="5" width="13.5703125" style="7" bestFit="1" customWidth="1"/>
    <col min="6" max="6" width="10.5703125" style="7" bestFit="1" customWidth="1"/>
    <col min="7" max="7" width="12.28515625" style="7" bestFit="1" customWidth="1"/>
    <col min="8" max="8" width="8.42578125" style="7" bestFit="1" customWidth="1"/>
    <col min="9" max="9" width="6" style="7" bestFit="1" customWidth="1"/>
    <col min="10" max="10" width="7.7109375" style="7" bestFit="1" customWidth="1"/>
    <col min="11" max="11" width="11.42578125" style="7"/>
    <col min="12" max="12" width="17.140625" style="7" bestFit="1" customWidth="1"/>
    <col min="13" max="13" width="7.7109375" style="7" bestFit="1" customWidth="1"/>
    <col min="14" max="14" width="9.7109375" style="7" bestFit="1" customWidth="1"/>
    <col min="15" max="16384" width="11.42578125" style="7"/>
  </cols>
  <sheetData>
    <row r="2" spans="1:14" ht="18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6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.5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.5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.5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.5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.5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.5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.5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.5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.5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.5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.5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.5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.5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.5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.5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.5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.5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.5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.5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.5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.5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.5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.5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.5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.5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.5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.5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.5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.5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.5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.5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.5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.5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.5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.5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.5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.5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.5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.5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.5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.5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.5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.5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.5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.5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.5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.5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.5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.5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.5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.5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8" thickBot="1">
      <c r="E99" s="16" t="s">
        <v>182</v>
      </c>
    </row>
    <row r="100" spans="5:10" ht="16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5">
      <c r="E102"/>
      <c r="F102" s="17" t="s">
        <v>191</v>
      </c>
      <c r="G102"/>
      <c r="H102" s="17" t="s">
        <v>73</v>
      </c>
      <c r="I102" s="18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5546875" defaultRowHeight="12.75"/>
  <cols>
    <col min="1" max="2" width="8.85546875" style="2"/>
    <col min="3" max="3" width="20.42578125" style="2" bestFit="1" customWidth="1"/>
    <col min="4" max="16384" width="8.85546875" style="2"/>
  </cols>
  <sheetData>
    <row r="3" spans="2:4" ht="18" thickBot="1">
      <c r="B3" s="16" t="s">
        <v>62</v>
      </c>
    </row>
    <row r="4" spans="2:4" ht="16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>
      <c r="B23" s="14" t="s">
        <v>170</v>
      </c>
    </row>
    <row r="25" spans="2:4" ht="18" thickBot="1">
      <c r="B25" s="16" t="s">
        <v>171</v>
      </c>
    </row>
    <row r="26" spans="2:4" ht="16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2026-02-20T14:07:34Z</dcterms:modified>
</cp:coreProperties>
</file>