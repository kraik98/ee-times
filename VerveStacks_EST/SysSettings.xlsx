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7901D393-71BC-4F76-843F-C7CFF15B21B4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5" i="2" l="1"/>
  <c r="V36" i="2"/>
  <c r="V29" i="2"/>
  <c r="U12" i="2"/>
  <c r="V37" i="2" s="1"/>
  <c r="U5" i="2"/>
  <c r="V30" i="2" s="1"/>
  <c r="U6" i="2"/>
  <c r="V31" i="2" s="1"/>
  <c r="U7" i="2"/>
  <c r="V32" i="2" s="1"/>
  <c r="U8" i="2"/>
  <c r="V33" i="2" s="1"/>
  <c r="U9" i="2"/>
  <c r="V34" i="2" s="1"/>
  <c r="U10" i="2"/>
  <c r="U11" i="2"/>
  <c r="U4" i="2"/>
  <c r="V20" i="2"/>
  <c r="V21" i="2"/>
  <c r="V22" i="2"/>
  <c r="V23" i="2"/>
  <c r="V24" i="2"/>
  <c r="V25" i="2"/>
  <c r="V26" i="2"/>
  <c r="V19" i="2"/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<sst xmlns="http://schemas.openxmlformats.org/spreadsheetml/2006/main" count="701" uniqueCount="273">
  <si>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</si>
  <si>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</si>
  <si>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</si>
  <si>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</si>
  <si>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</si>
  <si>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</si>
  <si>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</si>
  <si>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</si>
  <si>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</si>
  <si>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</si>
  <si>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</si>
  <si>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</si>
  <si>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</si>
  <si>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</si>
  <si>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</si>
  <si>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</si>
  <si>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</si>
  <si>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</si>
  <si>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</si>
  <si>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</si>
  <si>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</si>
  <si>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</si>
  <si>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</si>
  <si>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</si>
  <si>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</si>
  <si>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</si>
  <si>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</si>
  <si>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</si>
  <si>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</si>
  <si>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</si>
  <si>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</si>
  <si>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</si>
  <si>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</si>
  <si>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</si>
  <si>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</si>
  <si>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</si>
  <si>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</si>
  <si>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</si>
  <si>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</si>
  <si>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</si>
  <si>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</si>
  <si>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</si>
  <si>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</si>
  <si>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</si>
  <si>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</si>
  <si>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</si>
  <si>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</si>
  <si>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</si>
  <si>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</si>
  <si>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</si>
  <si>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</si>
  <si>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</si>
  <si>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</si>
  <si>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</si>
  <si>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</si>
  <si>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</si>
  <si>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</si>
  <si>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</si>
  <si>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</si>
  <si>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</si>
  <si>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</si>
  <si>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</si>
  <si>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</si>
  <si>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</si>
  <si>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</si>
  <si>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</si>
  <si>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</si>
  <si>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</si>
  <si>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</si>
  <si>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</si>
  <si>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</si>
  <si>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</si>
  <si>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</si>
  <si>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</si>
  <si>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</si>
  <si>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</si>
  <si>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</si>
  <si>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</si>
  <si>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</si>
  <si>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</si>
  <si>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</si>
  <si>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</si>
  <si>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</si>
  <si>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</si>
  <si>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</si>
  <si>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</si>
  <si>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</si>
  <si>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</si>
  <si>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</si>
  <si>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</si>
  <si>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</si>
  <si>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</si>
  <si>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</si>
  <si>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</si>
  <si>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</si>
  <si>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</si>
  <si>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</si>
  <si>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</si>
  <si>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</si>
  <si>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</si>
  <si>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</si>
  <si>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</si>
  <si>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</si>
  <si>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</si>
  <si>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</si>
  <si>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</si>
  <si>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</si>
  <si>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</si>
  <si>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</si>
  <si>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</si>
  <si>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</si>
  <si>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</si>
  <si>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</si>
  <si>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</si>
  <si>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</si>
  <si>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</si>
  <si>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</si>
  <si>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</si>
  <si>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</si>
  <si>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</si>
  <si>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</si>
  <si>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</si>
  <si>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</si>
  <si>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</si>
  <si>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</si>
  <si>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</si>
  <si>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</si>
  <si>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</si>
  <si>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</si>
  <si>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</si>
  <si>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</si>
  <si>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</si>
  <si>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</si>
  <si>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</si>
  <si>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</si>
  <si>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</si>
  <si>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</si>
  <si>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</si>
  <si>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</si>
  <si>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</si>
  <si>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</si>
  <si>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</si>
  <si>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</si>
  <si>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</si>
  <si>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</si>
  <si>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</si>
  <si>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</si>
  <si>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</si>
  <si>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</si>
  <si>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</si>
  <si>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</si>
  <si>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</si>
  <si>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</si>
  <si>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</si>
  <si>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</si>
  <si>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</si>
  <si>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</si>
  <si>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</si>
  <si>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</si>
  <si>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</si>
  <si>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</si>
  <si>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</si>
  <si>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</si>
  <si>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</si>
  <si>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</si>
  <si>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</si>
  <si>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</si>
  <si>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</si>
  <si>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</si>
  <si>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</si>
  <si>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</si>
  <si>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</si>
  <si>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</si>
  <si>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</si>
  <si>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</si>
  <si>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</si>
  <si>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</si>
  <si>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</si>
  <si>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</si>
  <si>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</si>
  <si>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</si>
  <si>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</si>
  <si>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</si>
  <si>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</si>
  <si>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</si>
  <si>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</si>
  <si>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</si>
  <si>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</si>
  <si>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</si>
  <si>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</si>
  <si>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</si>
  <si>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</si>
  <si>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</si>
  <si>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</si>
  <si>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</si>
  <si>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</si>
  <si>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</si>
  <si>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</si>
  <si>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</si>
  <si>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</si>
  <si>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</si>
  <si>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</si>
  <si>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</si>
  <si>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</si>
  <si>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</si>
  <si>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</si>
  <si>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</si>
  <si>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</si>
  <si>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</si>
  <si>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</si>
  <si>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</si>
  <si>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</si>
  <si>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</si>
  <si>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</si>
  <si>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</si>
  <si>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PDef1</t>
  </si>
  <si>
    <t>elc_commercial</t>
  </si>
  <si>
    <t>electricity used in commercial and public sector</t>
  </si>
  <si>
    <t>msy7_2050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</si>
  <si>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</si>
  <si>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</si>
  <si>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</si>
  <si>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</si>
  <si>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</si>
  <si>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</si>
  <si>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</si>
  <si>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</si>
  <si>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</si>
  <si>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elc_spv_ida_viru</t>
  </si>
  <si>
    <t>elc_spv_jarva</t>
  </si>
  <si>
    <t>elc_spv_jogeva</t>
  </si>
  <si>
    <t>elc_spv_polva</t>
  </si>
  <si>
    <t>elc_spv_valga</t>
  </si>
  <si>
    <t>solar electricity generation in Valga</t>
  </si>
  <si>
    <t>solar electricity generation in Viljandi</t>
  </si>
  <si>
    <t>solar electricity generation in Ida-Viru</t>
  </si>
  <si>
    <t>solar electricity generation in Jarva</t>
  </si>
  <si>
    <t>solar electricity generation in Jogeva</t>
  </si>
  <si>
    <t>solar electricity generation in Polva</t>
  </si>
  <si>
    <t>onshore wind electricity generation in Parnu</t>
  </si>
  <si>
    <t>Parnu</t>
  </si>
  <si>
    <t>Tartu</t>
  </si>
  <si>
    <t>Laane-Viru</t>
  </si>
  <si>
    <t>Ida-Viru</t>
  </si>
  <si>
    <t>Jarva</t>
  </si>
  <si>
    <t>Jogeva</t>
  </si>
  <si>
    <t>Polva</t>
  </si>
  <si>
    <t>Valga</t>
  </si>
  <si>
    <t>Viljandi</t>
  </si>
  <si>
    <t xml:space="preserve">onshore wind electricity generation in </t>
  </si>
  <si>
    <t>onshore wind electricity generation in Laane-Viru</t>
  </si>
  <si>
    <t>onshore wind electricity generation in Ida-Viru</t>
  </si>
  <si>
    <t>onshore wind electricity generation in Jarva</t>
  </si>
  <si>
    <t>elc_won_parnu</t>
  </si>
  <si>
    <t>elc_won_saaremaa</t>
  </si>
  <si>
    <t>onshore wind electricity generation in Saaremaa</t>
  </si>
  <si>
    <t>elc_won_laane_viru</t>
  </si>
  <si>
    <t>elc_won_ida_viru</t>
  </si>
  <si>
    <t>elc_won_laanemaa</t>
  </si>
  <si>
    <t>onshore wind electricity generation in Harju</t>
  </si>
  <si>
    <t>elc_won_harju</t>
  </si>
  <si>
    <t>elc_wof_parnu_laht</t>
  </si>
  <si>
    <t>wind offshore electricity generation in Gulf of Parnu</t>
  </si>
  <si>
    <t>elc_spv_voru</t>
  </si>
  <si>
    <t>elc_spv_saare</t>
  </si>
  <si>
    <t>elc_spv_rapla</t>
  </si>
  <si>
    <t>elv_spv_laane</t>
  </si>
  <si>
    <t>solar electricity generation in Voru</t>
  </si>
  <si>
    <t>solar electricity generation in Saare</t>
  </si>
  <si>
    <t>solar electricity generation in Rapla</t>
  </si>
  <si>
    <t>solar electricity generation in Laane</t>
  </si>
  <si>
    <t>solar electricity generation in hiiu</t>
  </si>
  <si>
    <t>elv_spv_hiiu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</si>
</sst>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W37"/>
  <sheetViews>
    <sheetView tabSelected="1" topLeftCell="J2" zoomScale="72" workbookViewId="0">
      <selection activeCell="AP41" sqref="AP41"/>
    </sheetView>
  </sheetViews>
  <sheetFormatPr defaultRowHeight="15"/>
  <cols>
    <col min="2" max="2" width="11.140625" bestFit="1" customWidth="1"/>
    <col min="3" max="3" width="16.85546875" bestFit="1" customWidth="1"/>
    <col min="4" max="4" width="44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7.7109375" bestFit="1" customWidth="1"/>
    <col min="15" max="15" width="45.7109375" bestFit="1" customWidth="1"/>
    <col min="16" max="16" width="14" bestFit="1" customWidth="1"/>
    <col min="20" max="20" width="16.5703125" bestFit="1" customWidth="1"/>
  </cols>
  <sheetData>
    <row r="3" spans="2:23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23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  <c r="U4" t="str">
        <f>LOWER(V4)</f>
        <v>parnu</v>
      </c>
      <c r="V4" t="s">
        <v>240</v>
      </c>
      <c r="W4" t="s">
        <v>249</v>
      </c>
    </row>
    <row r="5" spans="2:23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221</v>
      </c>
      <c r="P5" t="s">
        <v>25</v>
      </c>
      <c r="Q5" t="s">
        <v>35</v>
      </c>
      <c r="R5" t="s">
        <v>214</v>
      </c>
      <c r="U5" t="str">
        <f t="shared" ref="U5:U11" si="0">LOWER(V5)</f>
        <v>tartu</v>
      </c>
      <c r="V5" t="s">
        <v>241</v>
      </c>
    </row>
    <row r="6" spans="2:23">
      <c r="B6" t="s">
        <v>17</v>
      </c>
      <c r="C6" t="s">
        <v>208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214</v>
      </c>
      <c r="U6" t="str">
        <f t="shared" si="0"/>
        <v>laane-viru</v>
      </c>
      <c r="V6" t="s">
        <v>242</v>
      </c>
    </row>
    <row r="7" spans="2:23">
      <c r="B7" t="s">
        <v>17</v>
      </c>
      <c r="C7" t="s">
        <v>209</v>
      </c>
      <c r="E7" t="s">
        <v>18</v>
      </c>
      <c r="M7" t="s">
        <v>17</v>
      </c>
      <c r="N7" t="s">
        <v>223</v>
      </c>
      <c r="O7" t="s">
        <v>226</v>
      </c>
      <c r="P7" t="s">
        <v>25</v>
      </c>
      <c r="Q7" t="s">
        <v>35</v>
      </c>
      <c r="R7" t="s">
        <v>214</v>
      </c>
      <c r="U7" t="str">
        <f t="shared" si="0"/>
        <v>ida-viru</v>
      </c>
      <c r="V7" t="s">
        <v>243</v>
      </c>
    </row>
    <row r="8" spans="2:23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235</v>
      </c>
      <c r="P8" t="s">
        <v>25</v>
      </c>
      <c r="Q8" t="s">
        <v>35</v>
      </c>
      <c r="R8" t="s">
        <v>214</v>
      </c>
      <c r="U8" t="str">
        <f t="shared" si="0"/>
        <v>jarva</v>
      </c>
      <c r="V8" t="s">
        <v>244</v>
      </c>
    </row>
    <row r="9" spans="2:23">
      <c r="B9" t="s">
        <v>17</v>
      </c>
      <c r="C9" t="s">
        <v>22</v>
      </c>
      <c r="E9" t="s">
        <v>18</v>
      </c>
      <c r="M9" t="s">
        <v>17</v>
      </c>
      <c r="N9" t="s">
        <v>229</v>
      </c>
      <c r="O9" t="s">
        <v>236</v>
      </c>
      <c r="P9" t="s">
        <v>25</v>
      </c>
      <c r="Q9" t="s">
        <v>35</v>
      </c>
      <c r="R9" t="s">
        <v>214</v>
      </c>
      <c r="U9" t="str">
        <f t="shared" si="0"/>
        <v>jogeva</v>
      </c>
      <c r="V9" t="s">
        <v>245</v>
      </c>
    </row>
    <row r="10" spans="2:23">
      <c r="B10" t="s">
        <v>17</v>
      </c>
      <c r="C10" t="s">
        <v>20</v>
      </c>
      <c r="E10" t="s">
        <v>18</v>
      </c>
      <c r="M10" t="s">
        <v>17</v>
      </c>
      <c r="N10" t="s">
        <v>230</v>
      </c>
      <c r="O10" t="s">
        <v>237</v>
      </c>
      <c r="P10" t="s">
        <v>25</v>
      </c>
      <c r="Q10" t="s">
        <v>35</v>
      </c>
      <c r="R10" t="s">
        <v>214</v>
      </c>
      <c r="U10" t="str">
        <f t="shared" si="0"/>
        <v>polva</v>
      </c>
      <c r="V10" t="s">
        <v>246</v>
      </c>
    </row>
    <row r="11" spans="2:23">
      <c r="B11" t="s">
        <v>17</v>
      </c>
      <c r="C11" t="s">
        <v>23</v>
      </c>
      <c r="E11" t="s">
        <v>18</v>
      </c>
      <c r="M11" t="s">
        <v>17</v>
      </c>
      <c r="N11" t="s">
        <v>231</v>
      </c>
      <c r="O11" t="s">
        <v>238</v>
      </c>
      <c r="P11" t="s">
        <v>25</v>
      </c>
      <c r="Q11" t="s">
        <v>35</v>
      </c>
      <c r="R11" t="s">
        <v>214</v>
      </c>
      <c r="U11" t="str">
        <f t="shared" si="0"/>
        <v>valga</v>
      </c>
      <c r="V11" t="s">
        <v>247</v>
      </c>
    </row>
    <row r="12" spans="2:23">
      <c r="B12" t="s">
        <v>17</v>
      </c>
      <c r="C12" t="s">
        <v>210</v>
      </c>
      <c r="E12" t="s">
        <v>18</v>
      </c>
      <c r="M12" t="s">
        <v>17</v>
      </c>
      <c r="N12" t="s">
        <v>220</v>
      </c>
      <c r="O12" t="s">
        <v>219</v>
      </c>
      <c r="P12" t="s">
        <v>25</v>
      </c>
      <c r="Q12" t="s">
        <v>35</v>
      </c>
      <c r="R12" t="s">
        <v>214</v>
      </c>
      <c r="U12" t="str">
        <f>LOWER(V12)</f>
        <v>viljandi</v>
      </c>
      <c r="V12" t="s">
        <v>248</v>
      </c>
    </row>
    <row r="13" spans="2:23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214</v>
      </c>
    </row>
    <row r="14" spans="2:23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227</v>
      </c>
      <c r="O14" t="s">
        <v>234</v>
      </c>
      <c r="P14" t="s">
        <v>25</v>
      </c>
      <c r="Q14" t="s">
        <v>35</v>
      </c>
      <c r="R14" t="s">
        <v>214</v>
      </c>
    </row>
    <row r="15" spans="2:23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263</v>
      </c>
      <c r="O15" t="s">
        <v>267</v>
      </c>
      <c r="P15" t="s">
        <v>25</v>
      </c>
      <c r="Q15" t="s">
        <v>35</v>
      </c>
      <c r="R15" t="s">
        <v>214</v>
      </c>
    </row>
    <row r="16" spans="2:23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264</v>
      </c>
      <c r="O16" t="s">
        <v>268</v>
      </c>
      <c r="P16" t="s">
        <v>25</v>
      </c>
      <c r="Q16" t="s">
        <v>35</v>
      </c>
      <c r="R16" t="s">
        <v>214</v>
      </c>
    </row>
    <row r="17" spans="2:22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265</v>
      </c>
      <c r="O17" t="s">
        <v>269</v>
      </c>
      <c r="P17" t="s">
        <v>25</v>
      </c>
      <c r="Q17" t="s">
        <v>35</v>
      </c>
      <c r="R17" t="s">
        <v>214</v>
      </c>
    </row>
    <row r="18" spans="2:22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266</v>
      </c>
      <c r="O18" t="s">
        <v>270</v>
      </c>
      <c r="P18" t="s">
        <v>25</v>
      </c>
      <c r="Q18" t="s">
        <v>35</v>
      </c>
      <c r="R18" t="s">
        <v>214</v>
      </c>
    </row>
    <row r="19" spans="2:22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272</v>
      </c>
      <c r="O19" t="s">
        <v>271</v>
      </c>
      <c r="P19" t="s">
        <v>25</v>
      </c>
      <c r="Q19" t="s">
        <v>35</v>
      </c>
      <c r="R19" t="s">
        <v>214</v>
      </c>
      <c r="V19" t="str">
        <f t="shared" ref="V19:V24" si="1">"onshore wind electricity generation in " &amp;V5</f>
        <v>onshore wind electricity generation in Tartu</v>
      </c>
    </row>
    <row r="20" spans="2:22">
      <c r="B20" t="s">
        <v>34</v>
      </c>
      <c r="C20" t="s">
        <v>216</v>
      </c>
      <c r="D20" t="s">
        <v>217</v>
      </c>
      <c r="E20" t="s">
        <v>18</v>
      </c>
      <c r="M20" t="s">
        <v>17</v>
      </c>
      <c r="N20" t="s">
        <v>261</v>
      </c>
      <c r="O20" t="s">
        <v>262</v>
      </c>
      <c r="P20" t="s">
        <v>25</v>
      </c>
      <c r="Q20" t="s">
        <v>35</v>
      </c>
      <c r="R20" t="s">
        <v>214</v>
      </c>
      <c r="V20" t="str">
        <f t="shared" si="1"/>
        <v>onshore wind electricity generation in Laane-Viru</v>
      </c>
    </row>
    <row r="21" spans="2:22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253</v>
      </c>
      <c r="O21" t="s">
        <v>239</v>
      </c>
      <c r="P21" t="s">
        <v>25</v>
      </c>
      <c r="Q21" t="s">
        <v>35</v>
      </c>
      <c r="R21" t="s">
        <v>214</v>
      </c>
      <c r="V21" t="str">
        <f t="shared" si="1"/>
        <v>onshore wind electricity generation in Ida-Viru</v>
      </c>
    </row>
    <row r="22" spans="2:22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256</v>
      </c>
      <c r="O22" t="s">
        <v>250</v>
      </c>
      <c r="P22" t="s">
        <v>25</v>
      </c>
      <c r="Q22" t="s">
        <v>35</v>
      </c>
      <c r="R22" t="s">
        <v>214</v>
      </c>
      <c r="V22" t="str">
        <f t="shared" si="1"/>
        <v>onshore wind electricity generation in Jarva</v>
      </c>
    </row>
    <row r="23" spans="2:22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257</v>
      </c>
      <c r="O23" t="s">
        <v>251</v>
      </c>
      <c r="P23" t="s">
        <v>25</v>
      </c>
      <c r="Q23" t="s">
        <v>35</v>
      </c>
      <c r="R23" t="s">
        <v>214</v>
      </c>
      <c r="V23" t="str">
        <f t="shared" si="1"/>
        <v>onshore wind electricity generation in Jogeva</v>
      </c>
    </row>
    <row r="24" spans="2:22">
      <c r="B24" t="s">
        <v>192</v>
      </c>
      <c r="C24" t="s">
        <v>199</v>
      </c>
      <c r="E24" t="s">
        <v>195</v>
      </c>
      <c r="M24" t="s">
        <v>17</v>
      </c>
      <c r="N24" t="s">
        <v>258</v>
      </c>
      <c r="O24" t="s">
        <v>252</v>
      </c>
      <c r="P24" t="s">
        <v>25</v>
      </c>
      <c r="Q24" t="s">
        <v>35</v>
      </c>
      <c r="R24" t="s">
        <v>214</v>
      </c>
      <c r="V24" t="str">
        <f t="shared" si="1"/>
        <v>onshore wind electricity generation in Polva</v>
      </c>
    </row>
    <row r="25" spans="2:22">
      <c r="B25" t="s">
        <v>192</v>
      </c>
      <c r="C25" t="s">
        <v>200</v>
      </c>
      <c r="E25" t="s">
        <v>195</v>
      </c>
      <c r="M25" t="s">
        <v>17</v>
      </c>
      <c r="N25" t="s">
        <v>254</v>
      </c>
      <c r="O25" t="s">
        <v>255</v>
      </c>
      <c r="P25" t="s">
        <v>25</v>
      </c>
      <c r="Q25" t="s">
        <v>35</v>
      </c>
      <c r="R25" t="s">
        <v>214</v>
      </c>
      <c r="V25" t="str">
        <f t="shared" ref="V25:V26" si="2">"onshore wind electricity generation in " &amp;V11</f>
        <v>onshore wind electricity generation in Valga</v>
      </c>
    </row>
    <row r="26" spans="2:22">
      <c r="M26" t="s">
        <v>17</v>
      </c>
      <c r="N26" t="s">
        <v>260</v>
      </c>
      <c r="O26" t="s">
        <v>259</v>
      </c>
      <c r="P26" t="s">
        <v>25</v>
      </c>
      <c r="Q26" t="s">
        <v>35</v>
      </c>
      <c r="R26" t="s">
        <v>214</v>
      </c>
      <c r="V26" t="str">
        <f t="shared" si="2"/>
        <v>onshore wind electricity generation in Viljandi</v>
      </c>
    </row>
    <row r="29" spans="2:22">
      <c r="V29" t="str">
        <f>"elc_won_"&amp;U4</f>
        <v>elc_won_parnu</v>
      </c>
    </row>
    <row r="30" spans="2:22">
      <c r="V30" t="str">
        <f t="shared" ref="V30:V36" si="3">"elc_won_"&amp;U5</f>
        <v>elc_won_tartu</v>
      </c>
    </row>
    <row r="31" spans="2:22">
      <c r="V31" t="str">
        <f t="shared" si="3"/>
        <v>elc_won_laane-viru</v>
      </c>
    </row>
    <row r="32" spans="2:22">
      <c r="V32" t="str">
        <f t="shared" si="3"/>
        <v>elc_won_ida-viru</v>
      </c>
    </row>
    <row r="33" spans="22:22">
      <c r="V33" t="str">
        <f t="shared" si="3"/>
        <v>elc_won_jarva</v>
      </c>
    </row>
    <row r="34" spans="22:22">
      <c r="V34" t="str">
        <f t="shared" si="3"/>
        <v>elc_won_jogeva</v>
      </c>
    </row>
    <row r="35" spans="22:22">
      <c r="V35" t="str">
        <f t="shared" si="3"/>
        <v>elc_won_polva</v>
      </c>
    </row>
    <row r="36" spans="22:22">
      <c r="V36" t="str">
        <f t="shared" si="3"/>
        <v>elc_won_valga</v>
      </c>
    </row>
    <row r="37" spans="22:22">
      <c r="V37" t="str">
        <f>"elc_won_"&amp;U12</f>
        <v>elc_won_viljandi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218</v>
      </c>
    </row>
    <row r="11" spans="2:7">
      <c r="B11" s="2" t="s">
        <v>42</v>
      </c>
      <c r="D11" s="2" t="s">
        <v>43</v>
      </c>
    </row>
    <row r="12" spans="2:7" ht="15">
      <c r="B12" s="3" t="s">
        <v>215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5">
      <c r="B20" s="5"/>
      <c r="D20" s="2" t="s">
        <v>46</v>
      </c>
      <c r="E20" s="2">
        <f t="shared" si="2"/>
        <v>2050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7" workbookViewId="0">
      <selection activeCell="L29" sqref="L29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2026-03-24T08:09:53Z</dcterms:modified>
</cp:coreProperties>
</file>