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Admin\PycharmProjects\ee-times\VerveStacks_EST\"/>
    </mc:Choice>
  </mc:AlternateContent>
  <xr:revisionPtr revIDLastSave="0" documentId="13_ncr:1_{9CA1E127-73C2-4AAB-BC92-02A55278D390}" xr6:coauthVersionLast="47" xr6:coauthVersionMax="47" xr10:uidLastSave="{00000000-0000-0000-0000-000000000000}"/>
  <bookViews>
    <workbookView xWindow="-38520" yWindow="-5220" windowWidth="38640" windowHeight="21120" activeTab="1" xr2:uid="{00000000-000D-0000-FFFF-FFFF00000000}"/>
  </bookViews>
  <sheets>
    <sheet name="system_settings" sheetId="1" r:id="rId1"/>
    <sheet name="fuels" sheetId="2" r:id="rId2"/>
    <sheet name="TimePeriods" sheetId="3" r:id="rId3"/>
    <sheet name="System Settings" sheetId="4" r:id="rId4"/>
    <sheet name="Constants" sheetId="5" r:id="rId5"/>
    <sheet name="reporting op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<sst xmlns="http://schemas.openxmlformats.org/spreadsheetml/2006/main" count="735" uniqueCount="277">
  <si>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</si>
  <si>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</si>
  <si>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</si>
  <si>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</si>
  <si>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</si>
  <si>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</si>
  <si>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</si>
  <si>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</si>
  <si>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</si>
  <si>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</si>
  <si>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</si>
  <si>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</si>
  <si>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</si>
  <si>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</si>
  <si>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</si>
  <si>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</si>
  <si>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</si>
  <si>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</si>
  <si>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</si>
  <si>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</si>
  <si>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</si>
  <si>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</si>
  <si>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</si>
  <si>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</si>
  <si>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</si>
  <si>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</si>
  <si>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</si>
  <si>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</si>
  <si>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</si>
  <si>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</si>
  <si>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</si>
  <si>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</si>
  <si>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</si>
  <si>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</si>
  <si>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</si>
  <si>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</si>
  <si>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</si>
  <si>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</si>
  <si>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</si>
  <si>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</si>
  <si>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</si>
  <si>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</si>
  <si>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</si>
  <si>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</si>
  <si>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</si>
  <si>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</si>
  <si>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</si>
  <si>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</si>
  <si>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</si>
  <si>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</si>
  <si>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</si>
  <si>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</si>
  <si>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</si>
  <si>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</si>
  <si>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</si>
  <si>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</si>
  <si>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</si>
  <si>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</si>
  <si>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</si>
  <si>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</si>
  <si>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</si>
  <si>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</si>
  <si>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</si>
  <si>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</si>
  <si>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</si>
  <si>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</si>
  <si>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</si>
  <si>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</si>
  <si>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</si>
  <si>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</si>
  <si>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</si>
  <si>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</si>
  <si>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</si>
  <si>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</si>
  <si>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</si>
  <si>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</si>
  <si>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</si>
  <si>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</si>
  <si>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</si>
  <si>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</si>
  <si>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</si>
  <si>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</si>
  <si>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</si>
  <si>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</si>
  <si>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</si>
  <si>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</si>
  <si>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</si>
  <si>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</si>
  <si>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</si>
  <si>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</si>
  <si>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</si>
  <si>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</si>
  <si>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</si>
  <si>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</si>
  <si>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</si>
  <si>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</si>
  <si>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</si>
  <si>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</si>
  <si>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</si>
  <si>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</si>
  <si>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</si>
  <si>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</si>
  <si>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</si>
  <si>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</si>
  <si>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</si>
  <si>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</si>
  <si>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</si>
  <si>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</si>
  <si>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</si>
  <si>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</si>
  <si>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</si>
  <si>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</si>
  <si>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</si>
  <si>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</si>
  <si>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</si>
  <si>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</si>
  <si>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</si>
  <si>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</si>
  <si>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</si>
  <si>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</si>
  <si>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</si>
  <si>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</si>
  <si>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</si>
  <si>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</si>
  <si>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</si>
  <si>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</si>
  <si>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</si>
  <si>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</si>
  <si>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</si>
  <si>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</si>
  <si>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</si>
  <si>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</si>
  <si>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</si>
  <si>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</si>
  <si>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</si>
  <si>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</si>
  <si>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</si>
  <si>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</si>
  <si>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</si>
  <si>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</si>
  <si>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</si>
  <si>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</si>
  <si>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</si>
  <si>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</si>
  <si>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</si>
  <si>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</si>
  <si>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</si>
  <si>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</si>
  <si>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</si>
  <si>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</si>
  <si>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</si>
  <si>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</si>
  <si>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</si>
  <si>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</si>
  <si>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</si>
  <si>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</si>
  <si>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</si>
  <si>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</si>
  <si>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</si>
  <si>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</si>
  <si>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</si>
  <si>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</si>
  <si>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</si>
  <si>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</si>
  <si>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</si>
  <si>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</si>
  <si>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</si>
  <si>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</si>
  <si>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</si>
  <si>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</si>
  <si>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</si>
  <si>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</si>
  <si>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</si>
  <si>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</si>
  <si>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</si>
  <si>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</si>
  <si>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</si>
  <si>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</si>
  <si>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</si>
  <si>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</si>
  <si>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</si>
  <si>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</si>
  <si>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</si>
  <si>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</si>
  <si>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</si>
  <si>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</si>
  <si>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</si>
  <si>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</si>
  <si>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</si>
  <si>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</si>
  <si>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</si>
  <si>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</si>
  <si>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</si>
  <si>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</si>
  <si>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</si>
  <si>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</si>
  <si>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</si>
  <si>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</si>
  <si>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</si>
  <si>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</si>
  <si>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</si>
  <si>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</si>
  <si>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</si>
  <si>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</si>
  <si>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</si>
  <si>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</si>
  <si>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</si>
  <si>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</si>
  <si>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</si>
  <si>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</si>
  <si>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</si>
  <si>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</si>
  <si>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EST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</si>
  <si>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</si>
  <si>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</si>
  <si>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</si>
  <si>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</si>
  <si>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</si>
  <si>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</si>
  <si>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</si>
  <si>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</si>
  <si>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</si>
  <si>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</si>
  <si>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</si>
  <si>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</si>
  <si>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</si>
  <si>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</si>
  <si>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</si>
  <si>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</si>
  <si>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</si>
  <si>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</si>
  <si>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</si>
  <si>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</si>
  <si>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</si>
  <si>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</si>
  <si>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</si>
  <si>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</si>
  <si>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</si>
  <si>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</si>
  <si>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</si>
  <si>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</si>
  <si>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</si>
  <si>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</si>
  <si>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</si>
  <si>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</si>
  <si>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</si>
  <si>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</si>
  <si>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</si>
  <si>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</si>
  <si>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</si>
  <si>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</si>
  <si>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</si>
  <si>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</si>
  <si>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</si>
  <si>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</si>
  <si>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</si>
  <si>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</si>
  <si>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</si>
  <si>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</si>
  <si>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</si>
  <si>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</si>
  <si>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</si>
  <si>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</si>
  <si>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</si>
  <si>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</si>
  <si>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</si>
  <si>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</si>
  <si>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</si>
  <si>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</si>
  <si>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</si>
  <si>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</si>
  <si>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</si>
  <si>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</si>
  <si>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</si>
  <si>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</si>
  <si>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msy7_2050</t>
  </si>
  <si>
    <t>PDef1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</si>
</sst>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 * #,##0_ ;_ * \-#,##0_ ;_ * &quot;-&quot;_ ;_ @_ "/>
    <numFmt numFmtId="165" formatCode="_ * #,##0.00_ ;_ * \-#,##0.00_ ;_ * &quot;-&quot;??_ ;_ @_ "/>
    <numFmt numFmtId="166" formatCode="_(&quot;£&quot;* #,##0.00_);_(&quot;£&quot;* \(#,##0.00\);_(&quot;£&quot;* &quot;-&quot;??_);_(@_)"/>
    <numFmt numFmtId="167" formatCode="_-* #,##0.00_-;\-* #,##0.00_-;_-* \-??_-;_-@_-"/>
    <numFmt numFmtId="168" formatCode="_ &quot;kr&quot;\ * #,##0_ ;_ &quot;kr&quot;\ * \-#,##0_ ;_ &quot;kr&quot;\ * &quot;-&quot;_ ;_ @_ "/>
    <numFmt numFmtId="169" formatCode="_ &quot;kr&quot;\ * #,##0.00_ ;_ &quot;kr&quot;\ * \-#,##0.00_ ;_ &quot;kr&quot;\ * &quot;-&quot;??_ ;_ @_ "/>
    <numFmt numFmtId="170" formatCode="_([$€]* #,##0.00_);_([$€]* \(#,##0.00\);_([$€]* &quot;-&quot;??_);_(@_)"/>
    <numFmt numFmtId="171" formatCode="[&gt;0.5]#,##0;[&lt;-0.5]\-#,##0;\-"/>
    <numFmt numFmtId="172" formatCode="_-[$€-2]* #,##0.00_-;\-[$€-2]* #,##0.00_-;_-[$€-2]* &quot;-&quot;??_-"/>
    <numFmt numFmtId="173" formatCode="_-* #,##0\ &quot;F&quot;_-;\-* #,##0\ &quot;F&quot;_-;_-* &quot;-&quot;\ &quot;F&quot;_-;_-@_-"/>
    <numFmt numFmtId="174" formatCode="_-* #,##0\ _F_-;\-* #,##0\ _F_-;_-* &quot;-&quot;\ _F_-;_-@_-"/>
    <numFmt numFmtId="175" formatCode="_-* #,##0.00\ &quot;F&quot;_-;\-* #,##0.00\ &quot;F&quot;_-;_-* &quot;-&quot;??\ &quot;F&quot;_-;_-@_-"/>
    <numFmt numFmtId="176" formatCode="_-* #,##0.00\ _F_-;\-* #,##0.00\ _F_-;_-* &quot;-&quot;??\ _F_-;_-@_-"/>
    <numFmt numFmtId="177" formatCode="#,##0.0;\-#,##0.0;&quot;-&quot;"/>
    <numFmt numFmtId="178" formatCode="\Te\x\t"/>
  </numFmts>
  <fonts count="6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  <family val="2"/>
      <charset val="186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8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7" fontId="6" fillId="0" borderId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7" fontId="6" fillId="0" borderId="0" applyFill="0" applyBorder="0" applyAlignment="0" applyProtection="0"/>
    <xf numFmtId="167" fontId="6" fillId="0" borderId="0" applyFill="0" applyBorder="0" applyAlignment="0" applyProtection="0"/>
    <xf numFmtId="165" fontId="30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2" fillId="0" borderId="0" applyFont="0" applyFill="0" applyBorder="0" applyAlignment="0" applyProtection="0"/>
    <xf numFmtId="165" fontId="42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71" fontId="36" fillId="0" borderId="0">
      <alignment horizontal="left" vertical="center"/>
    </xf>
    <xf numFmtId="171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4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5" fontId="33" fillId="0" borderId="0" applyFont="0" applyFill="0" applyBorder="0" applyAlignment="0" applyProtection="0"/>
    <xf numFmtId="171" fontId="35" fillId="0" borderId="0" applyFill="0" applyBorder="0" applyAlignment="0" applyProtection="0"/>
    <xf numFmtId="164" fontId="33" fillId="0" borderId="0" applyFont="0" applyFill="0" applyBorder="0" applyAlignment="0" applyProtection="0"/>
    <xf numFmtId="168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9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  <xf numFmtId="0" fontId="59" fillId="0" borderId="0"/>
  </cellStyleXfs>
  <cellXfs count="25">
    <xf numFmtId="0" fontId="0" fillId="0" borderId="0" xfId="0"/>
    <xf numFmtId="0" fontId="3" fillId="0" borderId="2" xfId="2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  <xf numFmtId="0" fontId="0" fillId="0" borderId="0" xfId="0"/>
    <xf numFmtId="0" fontId="6" fillId="0" borderId="0" xfId="3"/>
    <xf numFmtId="178" fontId="6" fillId="0" borderId="0" xfId="3" applyNumberFormat="1"/>
    <xf numFmtId="178" fontId="2" fillId="0" borderId="1" xfId="1" applyNumberFormat="1"/>
    <xf numFmtId="0" fontId="3" fillId="0" borderId="2" xfId="2"/>
    <xf numFmtId="178" fontId="3" fillId="0" borderId="2" xfId="2" applyNumberFormat="1"/>
  </cellXfs>
  <cellStyles count="438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40 2" xfId="437" xr:uid="{5B3315BB-D69E-4BFE-8495-7B35572ADC6C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4"/>
  <sheetViews>
    <sheetView workbookViewId="0">
      <selection activeCell="C5" sqref="C5"/>
    </sheetView>
  </sheetViews>
  <sheetFormatPr defaultRowHeight="15"/>
  <cols>
    <col min="2" max="2" width="16" bestFit="1" customWidth="1"/>
    <col min="3" max="3" width="6" bestFit="1" customWidth="1"/>
    <col min="6" max="6" width="10.140625" bestFit="1" customWidth="1"/>
    <col min="7" max="7" width="6.28515625" bestFit="1" customWidth="1"/>
    <col min="8" max="8" width="7" bestFit="1" customWidth="1"/>
    <col min="9" max="9" width="10.5703125" bestFit="1" customWidth="1"/>
    <col min="10" max="11" width="7.4257812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212</v>
      </c>
      <c r="C4" t="s">
        <v>212</v>
      </c>
      <c r="F4" t="s">
        <v>36</v>
      </c>
      <c r="H4" t="s">
        <v>39</v>
      </c>
    </row>
    <row r="5" spans="2:8">
      <c r="F5" t="s">
        <v>37</v>
      </c>
      <c r="H5" t="s">
        <v>38</v>
      </c>
    </row>
    <row r="14" spans="2:8">
      <c r="B14" t="s">
        <v>7</v>
      </c>
      <c r="C14" t="s">
        <v>212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34"/>
  <sheetViews>
    <sheetView tabSelected="1" topLeftCell="A3" workbookViewId="0">
      <selection activeCell="O35" sqref="O35"/>
    </sheetView>
  </sheetViews>
  <sheetFormatPr defaultRowHeight="15"/>
  <cols>
    <col min="2" max="2" width="11.140625" bestFit="1" customWidth="1"/>
    <col min="3" max="3" width="11" bestFit="1" customWidth="1"/>
    <col min="4" max="4" width="22.140625" bestFit="1" customWidth="1"/>
    <col min="5" max="5" width="3.85546875" bestFit="1" customWidth="1"/>
    <col min="6" max="6" width="12" bestFit="1" customWidth="1"/>
    <col min="7" max="7" width="13.140625" bestFit="1" customWidth="1"/>
    <col min="8" max="8" width="6.7109375" bestFit="1" customWidth="1"/>
    <col min="9" max="9" width="12" bestFit="1" customWidth="1"/>
    <col min="14" max="14" width="11.140625" bestFit="1" customWidth="1"/>
    <col min="15" max="15" width="41.5703125" bestFit="1" customWidth="1"/>
    <col min="16" max="16" width="14" bestFit="1" customWidth="1"/>
  </cols>
  <sheetData>
    <row r="3" spans="2:18" ht="18" thickBot="1">
      <c r="B3" s="22" t="s">
        <v>8</v>
      </c>
      <c r="C3" s="21"/>
      <c r="D3" s="21"/>
      <c r="E3" s="21"/>
      <c r="F3" s="21"/>
      <c r="G3" s="21"/>
      <c r="H3" s="20"/>
      <c r="I3" s="20"/>
      <c r="J3" s="19"/>
      <c r="K3" s="19"/>
      <c r="L3" s="19"/>
      <c r="M3" s="22" t="s">
        <v>8</v>
      </c>
      <c r="N3" s="21"/>
      <c r="O3" s="21"/>
      <c r="P3" s="21"/>
      <c r="Q3" s="21"/>
      <c r="R3" s="19"/>
    </row>
    <row r="4" spans="2:18" ht="16.5" thickTop="1" thickBot="1">
      <c r="B4" s="24" t="s">
        <v>9</v>
      </c>
      <c r="C4" s="24" t="s">
        <v>10</v>
      </c>
      <c r="D4" s="24" t="s">
        <v>11</v>
      </c>
      <c r="E4" s="24" t="s">
        <v>12</v>
      </c>
      <c r="F4" s="24" t="s">
        <v>13</v>
      </c>
      <c r="G4" s="24" t="s">
        <v>14</v>
      </c>
      <c r="H4" s="24" t="s">
        <v>15</v>
      </c>
      <c r="I4" s="23" t="s">
        <v>16</v>
      </c>
      <c r="J4" s="19"/>
      <c r="K4" s="19"/>
      <c r="L4" s="19"/>
      <c r="M4" s="24" t="s">
        <v>213</v>
      </c>
      <c r="N4" s="24" t="s">
        <v>10</v>
      </c>
      <c r="O4" s="24" t="s">
        <v>11</v>
      </c>
      <c r="P4" s="24" t="s">
        <v>14</v>
      </c>
      <c r="Q4" s="24" t="s">
        <v>13</v>
      </c>
      <c r="R4" s="19" t="s">
        <v>12</v>
      </c>
    </row>
    <row r="5" spans="2:18">
      <c r="B5" s="19" t="s">
        <v>17</v>
      </c>
      <c r="C5" s="19" t="s">
        <v>19</v>
      </c>
      <c r="D5" s="19"/>
      <c r="E5" s="19" t="s">
        <v>18</v>
      </c>
      <c r="F5" s="19"/>
      <c r="G5" s="19"/>
      <c r="H5" s="19"/>
      <c r="I5" s="19"/>
      <c r="J5" s="19"/>
      <c r="K5" s="19"/>
      <c r="L5" s="19"/>
      <c r="M5" s="19" t="s">
        <v>17</v>
      </c>
      <c r="N5" s="19" t="s">
        <v>214</v>
      </c>
      <c r="O5" s="19" t="s">
        <v>215</v>
      </c>
      <c r="P5" s="19" t="s">
        <v>25</v>
      </c>
      <c r="Q5" s="19" t="s">
        <v>35</v>
      </c>
      <c r="R5" s="19" t="s">
        <v>216</v>
      </c>
    </row>
    <row r="6" spans="2:18">
      <c r="B6" s="19" t="s">
        <v>17</v>
      </c>
      <c r="C6" s="19" t="s">
        <v>208</v>
      </c>
      <c r="D6" s="19"/>
      <c r="E6" s="19" t="s">
        <v>18</v>
      </c>
      <c r="F6" s="19"/>
      <c r="G6" s="19"/>
      <c r="H6" s="19"/>
      <c r="I6" s="19"/>
      <c r="J6" s="19"/>
      <c r="K6" s="19"/>
      <c r="L6" s="19"/>
      <c r="M6" s="19" t="s">
        <v>17</v>
      </c>
      <c r="N6" s="19" t="s">
        <v>217</v>
      </c>
      <c r="O6" s="19" t="s">
        <v>218</v>
      </c>
      <c r="P6" s="19" t="s">
        <v>25</v>
      </c>
      <c r="Q6" s="19" t="s">
        <v>35</v>
      </c>
      <c r="R6" s="19" t="s">
        <v>216</v>
      </c>
    </row>
    <row r="7" spans="2:18">
      <c r="B7" s="19" t="s">
        <v>17</v>
      </c>
      <c r="C7" s="19" t="s">
        <v>209</v>
      </c>
      <c r="D7" s="19"/>
      <c r="E7" s="19" t="s">
        <v>18</v>
      </c>
      <c r="F7" s="19"/>
      <c r="G7" s="19"/>
      <c r="H7" s="19"/>
      <c r="I7" s="19"/>
      <c r="J7" s="19"/>
      <c r="K7" s="19"/>
      <c r="L7" s="19"/>
      <c r="M7" s="19" t="s">
        <v>17</v>
      </c>
      <c r="N7" s="19" t="s">
        <v>219</v>
      </c>
      <c r="O7" s="19" t="s">
        <v>220</v>
      </c>
      <c r="P7" s="19" t="s">
        <v>25</v>
      </c>
      <c r="Q7" s="19" t="s">
        <v>35</v>
      </c>
      <c r="R7" s="19" t="s">
        <v>216</v>
      </c>
    </row>
    <row r="8" spans="2:18">
      <c r="B8" s="19" t="s">
        <v>17</v>
      </c>
      <c r="C8" s="19" t="s">
        <v>21</v>
      </c>
      <c r="D8" s="19"/>
      <c r="E8" s="19" t="s">
        <v>18</v>
      </c>
      <c r="F8" s="19"/>
      <c r="G8" s="19"/>
      <c r="H8" s="19"/>
      <c r="I8" s="19"/>
      <c r="J8" s="19"/>
      <c r="K8" s="19"/>
      <c r="L8" s="19"/>
      <c r="M8" s="19" t="s">
        <v>17</v>
      </c>
      <c r="N8" s="19" t="s">
        <v>221</v>
      </c>
      <c r="O8" s="19" t="s">
        <v>222</v>
      </c>
      <c r="P8" s="19" t="s">
        <v>25</v>
      </c>
      <c r="Q8" s="19" t="s">
        <v>35</v>
      </c>
      <c r="R8" s="19" t="s">
        <v>216</v>
      </c>
    </row>
    <row r="9" spans="2:18">
      <c r="B9" s="19" t="s">
        <v>17</v>
      </c>
      <c r="C9" s="19" t="s">
        <v>22</v>
      </c>
      <c r="D9" s="19"/>
      <c r="E9" s="19" t="s">
        <v>18</v>
      </c>
      <c r="F9" s="19"/>
      <c r="G9" s="19"/>
      <c r="H9" s="19"/>
      <c r="I9" s="19"/>
      <c r="J9" s="19"/>
      <c r="K9" s="19"/>
      <c r="L9" s="19"/>
      <c r="M9" s="19" t="s">
        <v>17</v>
      </c>
      <c r="N9" s="19" t="s">
        <v>223</v>
      </c>
      <c r="O9" s="19" t="s">
        <v>224</v>
      </c>
      <c r="P9" s="19" t="s">
        <v>25</v>
      </c>
      <c r="Q9" s="19" t="s">
        <v>35</v>
      </c>
      <c r="R9" s="19" t="s">
        <v>216</v>
      </c>
    </row>
    <row r="10" spans="2:18">
      <c r="B10" s="19" t="s">
        <v>17</v>
      </c>
      <c r="C10" s="19" t="s">
        <v>20</v>
      </c>
      <c r="D10" s="19"/>
      <c r="E10" s="19" t="s">
        <v>18</v>
      </c>
      <c r="F10" s="19"/>
      <c r="G10" s="19"/>
      <c r="H10" s="19"/>
      <c r="I10" s="19"/>
      <c r="J10" s="19"/>
      <c r="K10" s="19"/>
      <c r="L10" s="19"/>
      <c r="M10" s="19" t="s">
        <v>17</v>
      </c>
      <c r="N10" s="19" t="s">
        <v>225</v>
      </c>
      <c r="O10" s="19" t="s">
        <v>226</v>
      </c>
      <c r="P10" s="19" t="s">
        <v>25</v>
      </c>
      <c r="Q10" s="19" t="s">
        <v>35</v>
      </c>
      <c r="R10" s="19" t="s">
        <v>216</v>
      </c>
    </row>
    <row r="11" spans="2:18">
      <c r="B11" s="19" t="s">
        <v>17</v>
      </c>
      <c r="C11" s="19" t="s">
        <v>23</v>
      </c>
      <c r="D11" s="19"/>
      <c r="E11" s="19" t="s">
        <v>18</v>
      </c>
      <c r="F11" s="19"/>
      <c r="G11" s="19"/>
      <c r="H11" s="19"/>
      <c r="I11" s="19"/>
      <c r="J11" s="19"/>
      <c r="K11" s="19"/>
      <c r="L11" s="19"/>
      <c r="M11" s="19" t="s">
        <v>17</v>
      </c>
      <c r="N11" s="19" t="s">
        <v>227</v>
      </c>
      <c r="O11" s="19" t="s">
        <v>228</v>
      </c>
      <c r="P11" s="19" t="s">
        <v>25</v>
      </c>
      <c r="Q11" s="19" t="s">
        <v>35</v>
      </c>
      <c r="R11" s="19" t="s">
        <v>216</v>
      </c>
    </row>
    <row r="12" spans="2:18">
      <c r="B12" s="19" t="s">
        <v>17</v>
      </c>
      <c r="C12" s="19" t="s">
        <v>210</v>
      </c>
      <c r="D12" s="19"/>
      <c r="E12" s="19" t="s">
        <v>18</v>
      </c>
      <c r="F12" s="19"/>
      <c r="G12" s="19"/>
      <c r="H12" s="19"/>
      <c r="I12" s="19"/>
      <c r="J12" s="19"/>
      <c r="K12" s="19"/>
      <c r="L12" s="19"/>
      <c r="M12" s="19" t="s">
        <v>17</v>
      </c>
      <c r="N12" s="19" t="s">
        <v>229</v>
      </c>
      <c r="O12" s="19" t="s">
        <v>230</v>
      </c>
      <c r="P12" s="19" t="s">
        <v>25</v>
      </c>
      <c r="Q12" s="19" t="s">
        <v>35</v>
      </c>
      <c r="R12" s="19" t="s">
        <v>216</v>
      </c>
    </row>
    <row r="13" spans="2:18">
      <c r="B13" s="19" t="s">
        <v>17</v>
      </c>
      <c r="C13" s="19" t="s">
        <v>24</v>
      </c>
      <c r="D13" s="19"/>
      <c r="E13" s="19" t="s">
        <v>18</v>
      </c>
      <c r="F13" s="19"/>
      <c r="G13" s="19"/>
      <c r="H13" s="19"/>
      <c r="I13" s="19"/>
      <c r="J13" s="19"/>
      <c r="K13" s="19"/>
      <c r="L13" s="19"/>
      <c r="M13" s="19" t="s">
        <v>17</v>
      </c>
      <c r="N13" s="19" t="s">
        <v>231</v>
      </c>
      <c r="O13" s="19" t="s">
        <v>232</v>
      </c>
      <c r="P13" s="19" t="s">
        <v>25</v>
      </c>
      <c r="Q13" s="19" t="s">
        <v>35</v>
      </c>
      <c r="R13" s="19" t="s">
        <v>216</v>
      </c>
    </row>
    <row r="14" spans="2:18">
      <c r="B14" s="19" t="s">
        <v>17</v>
      </c>
      <c r="C14" s="19" t="s">
        <v>204</v>
      </c>
      <c r="D14" s="19" t="s">
        <v>206</v>
      </c>
      <c r="E14" s="19" t="s">
        <v>18</v>
      </c>
      <c r="F14" s="19"/>
      <c r="G14" s="19"/>
      <c r="H14" s="19"/>
      <c r="I14" s="19"/>
      <c r="J14" s="19"/>
      <c r="K14" s="19"/>
      <c r="L14" s="19"/>
      <c r="M14" s="19" t="s">
        <v>17</v>
      </c>
      <c r="N14" s="19" t="s">
        <v>233</v>
      </c>
      <c r="O14" s="19" t="s">
        <v>234</v>
      </c>
      <c r="P14" s="19" t="s">
        <v>25</v>
      </c>
      <c r="Q14" s="19" t="s">
        <v>35</v>
      </c>
      <c r="R14" s="19" t="s">
        <v>216</v>
      </c>
    </row>
    <row r="15" spans="2:18">
      <c r="B15" s="19" t="s">
        <v>17</v>
      </c>
      <c r="C15" s="19" t="s">
        <v>205</v>
      </c>
      <c r="D15" s="19" t="s">
        <v>207</v>
      </c>
      <c r="E15" s="19" t="s">
        <v>18</v>
      </c>
      <c r="F15" s="19"/>
      <c r="G15" s="19"/>
      <c r="H15" s="19"/>
      <c r="I15" s="19"/>
      <c r="J15" s="19"/>
      <c r="K15" s="19"/>
      <c r="L15" s="19"/>
      <c r="M15" s="19" t="s">
        <v>17</v>
      </c>
      <c r="N15" s="19" t="s">
        <v>235</v>
      </c>
      <c r="O15" s="19" t="s">
        <v>236</v>
      </c>
      <c r="P15" s="19" t="s">
        <v>25</v>
      </c>
      <c r="Q15" s="19" t="s">
        <v>35</v>
      </c>
      <c r="R15" s="19" t="s">
        <v>216</v>
      </c>
    </row>
    <row r="16" spans="2:18">
      <c r="B16" s="19" t="s">
        <v>17</v>
      </c>
      <c r="C16" s="19" t="s">
        <v>25</v>
      </c>
      <c r="D16" s="19" t="s">
        <v>30</v>
      </c>
      <c r="E16" s="19" t="s">
        <v>18</v>
      </c>
      <c r="F16" s="19" t="s">
        <v>35</v>
      </c>
      <c r="G16" s="19" t="s">
        <v>25</v>
      </c>
      <c r="H16" s="19"/>
      <c r="I16" s="19" t="s">
        <v>26</v>
      </c>
      <c r="J16" s="19"/>
      <c r="K16" s="19"/>
      <c r="L16" s="19"/>
      <c r="M16" s="19" t="s">
        <v>17</v>
      </c>
      <c r="N16" s="19" t="s">
        <v>237</v>
      </c>
      <c r="O16" s="19" t="s">
        <v>238</v>
      </c>
      <c r="P16" s="19" t="s">
        <v>25</v>
      </c>
      <c r="Q16" s="19" t="s">
        <v>35</v>
      </c>
      <c r="R16" s="19" t="s">
        <v>216</v>
      </c>
    </row>
    <row r="17" spans="2:18">
      <c r="B17" s="19" t="s">
        <v>34</v>
      </c>
      <c r="C17" s="19" t="s">
        <v>202</v>
      </c>
      <c r="D17" s="19" t="s">
        <v>203</v>
      </c>
      <c r="E17" s="19" t="s">
        <v>18</v>
      </c>
      <c r="F17" s="19"/>
      <c r="G17" s="19"/>
      <c r="H17" s="19"/>
      <c r="I17" s="19"/>
      <c r="J17" s="19"/>
      <c r="K17" s="19"/>
      <c r="L17" s="19"/>
      <c r="M17" s="19" t="s">
        <v>17</v>
      </c>
      <c r="N17" s="19" t="s">
        <v>239</v>
      </c>
      <c r="O17" s="19" t="s">
        <v>240</v>
      </c>
      <c r="P17" s="19" t="s">
        <v>25</v>
      </c>
      <c r="Q17" s="19" t="s">
        <v>35</v>
      </c>
      <c r="R17" s="19" t="s">
        <v>216</v>
      </c>
    </row>
    <row r="18" spans="2:18">
      <c r="B18" s="19" t="s">
        <v>34</v>
      </c>
      <c r="C18" s="19" t="s">
        <v>27</v>
      </c>
      <c r="D18" s="19" t="s">
        <v>31</v>
      </c>
      <c r="E18" s="19" t="s">
        <v>18</v>
      </c>
      <c r="F18" s="19"/>
      <c r="G18" s="19"/>
      <c r="H18" s="19"/>
      <c r="I18" s="19"/>
      <c r="J18" s="19"/>
      <c r="K18" s="19"/>
      <c r="L18" s="19"/>
      <c r="M18" s="19" t="s">
        <v>17</v>
      </c>
      <c r="N18" s="19" t="s">
        <v>241</v>
      </c>
      <c r="O18" s="19" t="s">
        <v>242</v>
      </c>
      <c r="P18" s="19" t="s">
        <v>25</v>
      </c>
      <c r="Q18" s="19" t="s">
        <v>35</v>
      </c>
      <c r="R18" s="19" t="s">
        <v>216</v>
      </c>
    </row>
    <row r="19" spans="2:18">
      <c r="B19" s="19" t="s">
        <v>34</v>
      </c>
      <c r="C19" s="19" t="s">
        <v>28</v>
      </c>
      <c r="D19" s="19" t="s">
        <v>32</v>
      </c>
      <c r="E19" s="19" t="s">
        <v>18</v>
      </c>
      <c r="F19" s="19"/>
      <c r="G19" s="19"/>
      <c r="H19" s="19"/>
      <c r="I19" s="19"/>
      <c r="J19" s="19"/>
      <c r="K19" s="19"/>
      <c r="L19" s="19"/>
      <c r="M19" s="19" t="s">
        <v>17</v>
      </c>
      <c r="N19" s="19" t="s">
        <v>243</v>
      </c>
      <c r="O19" s="19" t="s">
        <v>244</v>
      </c>
      <c r="P19" s="19" t="s">
        <v>25</v>
      </c>
      <c r="Q19" s="19" t="s">
        <v>35</v>
      </c>
      <c r="R19" s="19" t="s">
        <v>216</v>
      </c>
    </row>
    <row r="20" spans="2:18">
      <c r="B20" s="19" t="s">
        <v>34</v>
      </c>
      <c r="C20" s="19" t="s">
        <v>29</v>
      </c>
      <c r="D20" s="19" t="s">
        <v>33</v>
      </c>
      <c r="E20" s="19" t="s">
        <v>18</v>
      </c>
      <c r="F20" s="19"/>
      <c r="G20" s="19"/>
      <c r="H20" s="19"/>
      <c r="I20" s="19"/>
      <c r="J20" s="19"/>
      <c r="K20" s="19"/>
      <c r="L20" s="19"/>
      <c r="M20" s="19" t="s">
        <v>17</v>
      </c>
      <c r="N20" s="19" t="s">
        <v>245</v>
      </c>
      <c r="O20" s="19" t="s">
        <v>246</v>
      </c>
      <c r="P20" s="19" t="s">
        <v>25</v>
      </c>
      <c r="Q20" s="19" t="s">
        <v>35</v>
      </c>
      <c r="R20" s="19" t="s">
        <v>216</v>
      </c>
    </row>
    <row r="21" spans="2:18">
      <c r="B21" s="19" t="s">
        <v>17</v>
      </c>
      <c r="C21" s="19" t="s">
        <v>196</v>
      </c>
      <c r="D21" s="19" t="s">
        <v>197</v>
      </c>
      <c r="E21" s="19" t="s">
        <v>18</v>
      </c>
      <c r="F21" s="19" t="s">
        <v>35</v>
      </c>
      <c r="G21" s="19" t="s">
        <v>25</v>
      </c>
      <c r="H21" s="19"/>
      <c r="I21" s="19"/>
      <c r="J21" s="19"/>
      <c r="K21" s="19"/>
      <c r="L21" s="19"/>
      <c r="M21" s="19" t="s">
        <v>17</v>
      </c>
      <c r="N21" s="19" t="s">
        <v>247</v>
      </c>
      <c r="O21" s="19" t="s">
        <v>248</v>
      </c>
      <c r="P21" s="19" t="s">
        <v>25</v>
      </c>
      <c r="Q21" s="19" t="s">
        <v>35</v>
      </c>
      <c r="R21" s="19" t="s">
        <v>216</v>
      </c>
    </row>
    <row r="22" spans="2:18">
      <c r="B22" s="19" t="s">
        <v>192</v>
      </c>
      <c r="C22" s="19" t="s">
        <v>193</v>
      </c>
      <c r="D22" s="19" t="s">
        <v>194</v>
      </c>
      <c r="E22" s="19" t="s">
        <v>195</v>
      </c>
      <c r="F22" s="19"/>
      <c r="G22" s="19"/>
      <c r="H22" s="19"/>
      <c r="I22" s="19"/>
      <c r="J22" s="19"/>
      <c r="K22" s="19"/>
      <c r="L22" s="19"/>
      <c r="M22" s="19" t="s">
        <v>17</v>
      </c>
      <c r="N22" s="19" t="s">
        <v>249</v>
      </c>
      <c r="O22" s="19" t="s">
        <v>250</v>
      </c>
      <c r="P22" s="19" t="s">
        <v>25</v>
      </c>
      <c r="Q22" s="19" t="s">
        <v>35</v>
      </c>
      <c r="R22" s="19" t="s">
        <v>216</v>
      </c>
    </row>
    <row r="23" spans="2:18">
      <c r="B23" s="19" t="s">
        <v>192</v>
      </c>
      <c r="C23" s="19" t="s">
        <v>199</v>
      </c>
      <c r="D23" s="19"/>
      <c r="E23" s="19" t="s">
        <v>195</v>
      </c>
      <c r="F23" s="19"/>
      <c r="G23" s="19"/>
      <c r="H23" s="19"/>
      <c r="I23" s="19"/>
      <c r="J23" s="19"/>
      <c r="K23" s="19"/>
      <c r="L23" s="19"/>
      <c r="M23" s="19" t="s">
        <v>17</v>
      </c>
      <c r="N23" s="19" t="s">
        <v>251</v>
      </c>
      <c r="O23" s="19" t="s">
        <v>252</v>
      </c>
      <c r="P23" s="19" t="s">
        <v>25</v>
      </c>
      <c r="Q23" s="19" t="s">
        <v>35</v>
      </c>
      <c r="R23" s="19" t="s">
        <v>216</v>
      </c>
    </row>
    <row r="24" spans="2:18">
      <c r="B24" s="19" t="s">
        <v>192</v>
      </c>
      <c r="C24" s="19" t="s">
        <v>200</v>
      </c>
      <c r="D24" s="19"/>
      <c r="E24" s="19" t="s">
        <v>195</v>
      </c>
      <c r="F24" s="19"/>
      <c r="G24" s="19"/>
      <c r="H24" s="19"/>
      <c r="I24" s="19"/>
      <c r="J24" s="19"/>
      <c r="K24" s="19"/>
      <c r="L24" s="19"/>
      <c r="M24" s="19" t="s">
        <v>17</v>
      </c>
      <c r="N24" s="19" t="s">
        <v>253</v>
      </c>
      <c r="O24" s="19" t="s">
        <v>254</v>
      </c>
      <c r="P24" s="19" t="s">
        <v>25</v>
      </c>
      <c r="Q24" s="19" t="s">
        <v>35</v>
      </c>
      <c r="R24" s="19" t="s">
        <v>216</v>
      </c>
    </row>
    <row r="25" spans="2:18"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 t="s">
        <v>17</v>
      </c>
      <c r="N25" s="19" t="s">
        <v>255</v>
      </c>
      <c r="O25" s="19" t="s">
        <v>256</v>
      </c>
      <c r="P25" s="19" t="s">
        <v>25</v>
      </c>
      <c r="Q25" s="19" t="s">
        <v>35</v>
      </c>
      <c r="R25" s="19" t="s">
        <v>216</v>
      </c>
    </row>
    <row r="26" spans="2:18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 t="s">
        <v>17</v>
      </c>
      <c r="N26" s="19" t="s">
        <v>257</v>
      </c>
      <c r="O26" s="19" t="s">
        <v>258</v>
      </c>
      <c r="P26" s="19" t="s">
        <v>25</v>
      </c>
      <c r="Q26" s="19" t="s">
        <v>35</v>
      </c>
      <c r="R26" s="19" t="s">
        <v>216</v>
      </c>
    </row>
    <row r="27" spans="2:18"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 t="s">
        <v>17</v>
      </c>
      <c r="N27" s="19" t="s">
        <v>259</v>
      </c>
      <c r="O27" s="19" t="s">
        <v>260</v>
      </c>
      <c r="P27" s="19" t="s">
        <v>25</v>
      </c>
      <c r="Q27" s="19" t="s">
        <v>35</v>
      </c>
      <c r="R27" s="19" t="s">
        <v>216</v>
      </c>
    </row>
    <row r="28" spans="2:18"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 t="s">
        <v>17</v>
      </c>
      <c r="N28" s="19" t="s">
        <v>261</v>
      </c>
      <c r="O28" s="19" t="s">
        <v>262</v>
      </c>
      <c r="P28" s="19" t="s">
        <v>25</v>
      </c>
      <c r="Q28" s="19" t="s">
        <v>35</v>
      </c>
      <c r="R28" s="19" t="s">
        <v>216</v>
      </c>
    </row>
    <row r="29" spans="2:18"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 t="s">
        <v>17</v>
      </c>
      <c r="N29" s="19" t="s">
        <v>263</v>
      </c>
      <c r="O29" s="19" t="s">
        <v>264</v>
      </c>
      <c r="P29" s="19" t="s">
        <v>25</v>
      </c>
      <c r="Q29" s="19" t="s">
        <v>35</v>
      </c>
      <c r="R29" s="19" t="s">
        <v>216</v>
      </c>
    </row>
    <row r="30" spans="2:18"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 t="s">
        <v>17</v>
      </c>
      <c r="N30" s="19" t="s">
        <v>265</v>
      </c>
      <c r="O30" s="19" t="s">
        <v>266</v>
      </c>
      <c r="P30" s="19" t="s">
        <v>25</v>
      </c>
      <c r="Q30" s="19" t="s">
        <v>35</v>
      </c>
      <c r="R30" s="19" t="s">
        <v>216</v>
      </c>
    </row>
    <row r="31" spans="2:18"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 t="s">
        <v>17</v>
      </c>
      <c r="N31" s="19" t="s">
        <v>267</v>
      </c>
      <c r="O31" s="19" t="s">
        <v>268</v>
      </c>
      <c r="P31" s="19" t="s">
        <v>25</v>
      </c>
      <c r="Q31" s="19" t="s">
        <v>35</v>
      </c>
      <c r="R31" s="19" t="s">
        <v>216</v>
      </c>
    </row>
    <row r="32" spans="2:18"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 t="s">
        <v>17</v>
      </c>
      <c r="N32" s="19" t="s">
        <v>269</v>
      </c>
      <c r="O32" s="19" t="s">
        <v>270</v>
      </c>
      <c r="P32" s="19" t="s">
        <v>25</v>
      </c>
      <c r="Q32" s="19" t="s">
        <v>35</v>
      </c>
      <c r="R32" s="19" t="s">
        <v>216</v>
      </c>
    </row>
    <row r="33" spans="13:18">
      <c r="M33" s="19" t="s">
        <v>17</v>
      </c>
      <c r="N33" s="19" t="s">
        <v>271</v>
      </c>
      <c r="O33" s="19" t="s">
        <v>272</v>
      </c>
      <c r="P33" s="19" t="s">
        <v>25</v>
      </c>
      <c r="Q33" s="19" t="s">
        <v>35</v>
      </c>
      <c r="R33" s="19" t="s">
        <v>216</v>
      </c>
    </row>
    <row r="34" spans="13:18">
      <c r="M34" s="19" t="s">
        <v>17</v>
      </c>
      <c r="N34" s="19" t="s">
        <v>273</v>
      </c>
      <c r="O34" s="19" t="s">
        <v>274</v>
      </c>
      <c r="P34" s="19" t="s">
        <v>25</v>
      </c>
      <c r="Q34" s="19" t="s">
        <v>35</v>
      </c>
      <c r="R34" s="19" t="s">
        <v>216</v>
      </c>
    </row>
  </sheetData>
  <sortState xmlns:xlrd2="http://schemas.microsoft.com/office/spreadsheetml/2017/richdata2" ref="C12:C338">
    <sortCondition ref="C23:C33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zoomScale="70" workbookViewId="0">
      <selection activeCell="I21" sqref="I21"/>
    </sheetView>
  </sheetViews>
  <sheetFormatPr defaultColWidth="11.42578125" defaultRowHeight="12.75"/>
  <cols>
    <col min="1" max="1" width="9.140625" style="2" customWidth="1"/>
    <col min="2" max="2" width="11.85546875" style="2" bestFit="1" customWidth="1"/>
    <col min="3" max="3" width="11.42578125" style="2"/>
    <col min="4" max="4" width="14.140625" style="2" bestFit="1" customWidth="1"/>
    <col min="5" max="5" width="9.85546875" style="2" bestFit="1" customWidth="1"/>
    <col min="6" max="7" width="10.85546875" style="2" bestFit="1" customWidth="1"/>
    <col min="8" max="16384" width="11.42578125" style="2"/>
  </cols>
  <sheetData>
    <row r="3" spans="2:7">
      <c r="B3" s="2" t="s">
        <v>40</v>
      </c>
    </row>
    <row r="4" spans="2:7">
      <c r="B4" s="2">
        <v>2022</v>
      </c>
    </row>
    <row r="7" spans="2:7">
      <c r="B7" s="2" t="s">
        <v>41</v>
      </c>
    </row>
    <row r="8" spans="2:7">
      <c r="B8" s="2" t="s">
        <v>275</v>
      </c>
    </row>
    <row r="11" spans="2:7">
      <c r="B11" s="2" t="s">
        <v>42</v>
      </c>
      <c r="D11" s="2" t="s">
        <v>43</v>
      </c>
    </row>
    <row r="12" spans="2:7" ht="15">
      <c r="B12" s="3" t="s">
        <v>276</v>
      </c>
      <c r="D12" s="4" t="s">
        <v>44</v>
      </c>
      <c r="E12" s="4" t="str">
        <f>"msy"&amp;COUNT(E14:E46)&amp;"_"&amp;MAX(E14:E46)</f>
        <v>msy7_2050</v>
      </c>
      <c r="F12" s="4" t="str">
        <f t="shared" ref="F12:G12" si="0">"msy"&amp;COUNT(F14:F45)&amp;"_"&amp;MAX(F14:F45)</f>
        <v>msy6_2050</v>
      </c>
      <c r="G12" s="4" t="str">
        <f t="shared" si="0"/>
        <v>msy5_2050</v>
      </c>
    </row>
    <row r="13" spans="2:7" ht="15">
      <c r="B13" s="5">
        <v>1</v>
      </c>
      <c r="D13" s="2" t="s">
        <v>45</v>
      </c>
    </row>
    <row r="14" spans="2:7" ht="15">
      <c r="B14" s="5">
        <v>5</v>
      </c>
      <c r="D14" s="2" t="s">
        <v>46</v>
      </c>
      <c r="E14" s="2">
        <f t="shared" ref="E14:G14" si="1">$B$4</f>
        <v>2022</v>
      </c>
      <c r="F14" s="2">
        <f t="shared" si="1"/>
        <v>2022</v>
      </c>
      <c r="G14" s="2">
        <f t="shared" si="1"/>
        <v>2022</v>
      </c>
    </row>
    <row r="15" spans="2:7" ht="15">
      <c r="B15" s="5">
        <v>5</v>
      </c>
      <c r="D15" s="2" t="s">
        <v>46</v>
      </c>
      <c r="E15" s="2">
        <f>E14+3</f>
        <v>2025</v>
      </c>
      <c r="F15" s="2">
        <f>F14+3</f>
        <v>2025</v>
      </c>
      <c r="G15" s="2">
        <f>G14+3</f>
        <v>2025</v>
      </c>
    </row>
    <row r="16" spans="2:7" ht="15">
      <c r="B16" s="5">
        <v>5</v>
      </c>
      <c r="D16" s="2" t="s">
        <v>46</v>
      </c>
      <c r="E16" s="2">
        <f>E15+5</f>
        <v>2030</v>
      </c>
      <c r="F16" s="2">
        <f>F15+5</f>
        <v>2030</v>
      </c>
      <c r="G16" s="2">
        <f>G15+5</f>
        <v>2030</v>
      </c>
    </row>
    <row r="17" spans="2:7" ht="15">
      <c r="B17" s="5">
        <v>5</v>
      </c>
      <c r="D17" s="2" t="s">
        <v>46</v>
      </c>
      <c r="E17" s="2">
        <f t="shared" ref="E17:E20" si="2">E16+5</f>
        <v>2035</v>
      </c>
      <c r="F17" s="2">
        <f>F16+5</f>
        <v>2035</v>
      </c>
      <c r="G17" s="2">
        <f>G16+10</f>
        <v>2040</v>
      </c>
    </row>
    <row r="18" spans="2:7" ht="15">
      <c r="B18" s="5">
        <v>5</v>
      </c>
      <c r="D18" s="2" t="s">
        <v>46</v>
      </c>
      <c r="E18" s="2">
        <f t="shared" si="2"/>
        <v>2040</v>
      </c>
      <c r="F18" s="2">
        <f>F17+5</f>
        <v>2040</v>
      </c>
      <c r="G18" s="2">
        <f t="shared" ref="G18" si="3">G17+10</f>
        <v>2050</v>
      </c>
    </row>
    <row r="19" spans="2:7" ht="15">
      <c r="B19" s="5">
        <v>5</v>
      </c>
      <c r="D19" s="2" t="s">
        <v>46</v>
      </c>
      <c r="E19" s="2">
        <f t="shared" si="2"/>
        <v>2045</v>
      </c>
      <c r="F19" s="2">
        <f>F18+10</f>
        <v>2050</v>
      </c>
    </row>
    <row r="20" spans="2:7" ht="15">
      <c r="B20" s="5"/>
      <c r="D20" s="2" t="s">
        <v>46</v>
      </c>
      <c r="E20" s="2">
        <f t="shared" si="2"/>
        <v>2050</v>
      </c>
    </row>
    <row r="21" spans="2:7" ht="15">
      <c r="B21" s="5"/>
      <c r="D21" s="2" t="s">
        <v>46</v>
      </c>
    </row>
    <row r="22" spans="2:7" ht="15">
      <c r="B22" s="5"/>
      <c r="D22" s="2" t="s">
        <v>46</v>
      </c>
    </row>
    <row r="23" spans="2:7" ht="15">
      <c r="B23" s="5"/>
      <c r="D23" s="2" t="s">
        <v>46</v>
      </c>
    </row>
    <row r="24" spans="2:7" ht="15">
      <c r="B24" s="5"/>
      <c r="D24" s="2" t="s">
        <v>46</v>
      </c>
    </row>
    <row r="25" spans="2:7" ht="15">
      <c r="B25" s="5"/>
      <c r="D25" s="2" t="s">
        <v>46</v>
      </c>
    </row>
    <row r="26" spans="2:7" ht="15">
      <c r="B26" s="5"/>
      <c r="D26" s="2" t="s">
        <v>46</v>
      </c>
    </row>
    <row r="27" spans="2:7" ht="15">
      <c r="B27" s="5"/>
      <c r="D27" s="2" t="s">
        <v>46</v>
      </c>
    </row>
    <row r="28" spans="2:7" ht="15">
      <c r="B28" s="5"/>
      <c r="D28" s="2" t="s">
        <v>46</v>
      </c>
    </row>
    <row r="29" spans="2:7" ht="15">
      <c r="B29" s="5"/>
      <c r="D29" s="2" t="s">
        <v>46</v>
      </c>
    </row>
    <row r="30" spans="2:7" ht="15">
      <c r="B30" s="5"/>
    </row>
    <row r="31" spans="2:7" ht="15">
      <c r="B31" s="5"/>
    </row>
    <row r="32" spans="2:7" ht="15">
      <c r="B32" s="5"/>
    </row>
    <row r="33" spans="2:2" ht="15">
      <c r="B33" s="5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N22" sqref="N22"/>
    </sheetView>
  </sheetViews>
  <sheetFormatPr defaultColWidth="11.42578125" defaultRowHeight="12"/>
  <cols>
    <col min="1" max="1" width="11.42578125" style="7"/>
    <col min="2" max="2" width="8.7109375" style="7" bestFit="1" customWidth="1"/>
    <col min="3" max="3" width="6.140625" style="7" bestFit="1" customWidth="1"/>
    <col min="4" max="4" width="9.42578125" style="7" bestFit="1" customWidth="1"/>
    <col min="5" max="5" width="4.28515625" style="7" bestFit="1" customWidth="1"/>
    <col min="6" max="6" width="7.42578125" style="7" bestFit="1" customWidth="1"/>
    <col min="7" max="7" width="8" style="7" bestFit="1" customWidth="1"/>
    <col min="8" max="8" width="6" style="7" bestFit="1" customWidth="1"/>
    <col min="9" max="9" width="6.140625" style="7" bestFit="1" customWidth="1"/>
    <col min="10" max="10" width="6.28515625" style="7" bestFit="1" customWidth="1"/>
    <col min="11" max="11" width="5.5703125" style="7" bestFit="1" customWidth="1"/>
    <col min="12" max="12" width="5.7109375" style="7" bestFit="1" customWidth="1"/>
    <col min="13" max="16384" width="11.42578125" style="7"/>
  </cols>
  <sheetData>
    <row r="1" spans="2:12" ht="12.75">
      <c r="B1" s="2"/>
      <c r="C1" s="6"/>
    </row>
    <row r="2" spans="2:12" ht="12.75">
      <c r="B2" s="8"/>
      <c r="C2" s="9"/>
      <c r="D2" s="9"/>
      <c r="E2" s="9"/>
      <c r="F2" s="9"/>
      <c r="G2" s="9"/>
      <c r="H2" s="9"/>
      <c r="I2" s="9"/>
      <c r="J2" s="9"/>
    </row>
    <row r="3" spans="2:12" ht="12.75">
      <c r="B3" s="9"/>
      <c r="C3" s="9"/>
      <c r="D3" s="9"/>
      <c r="E3" s="2"/>
      <c r="F3" s="2"/>
      <c r="G3" s="2"/>
      <c r="H3" s="9"/>
      <c r="I3" s="9"/>
      <c r="J3" s="9"/>
    </row>
    <row r="4" spans="2:12">
      <c r="B4" s="10" t="s">
        <v>47</v>
      </c>
      <c r="G4" s="10"/>
      <c r="H4" s="10"/>
      <c r="I4" s="10"/>
    </row>
    <row r="5" spans="2:12">
      <c r="B5" s="11" t="s">
        <v>48</v>
      </c>
      <c r="C5" s="11" t="s">
        <v>49</v>
      </c>
      <c r="D5" s="11" t="s">
        <v>50</v>
      </c>
      <c r="E5" s="11" t="s">
        <v>51</v>
      </c>
      <c r="F5" s="11" t="s">
        <v>52</v>
      </c>
      <c r="G5" s="11" t="s">
        <v>53</v>
      </c>
      <c r="H5" s="11" t="s">
        <v>54</v>
      </c>
      <c r="I5" s="11" t="s">
        <v>55</v>
      </c>
      <c r="J5" s="11" t="s">
        <v>56</v>
      </c>
      <c r="K5" s="11" t="s">
        <v>57</v>
      </c>
      <c r="L5" s="11" t="s">
        <v>58</v>
      </c>
    </row>
    <row r="6" spans="2:12">
      <c r="D6" s="7" t="s">
        <v>59</v>
      </c>
      <c r="E6" s="7">
        <v>0</v>
      </c>
      <c r="F6" s="7">
        <v>3</v>
      </c>
    </row>
    <row r="7" spans="2:12">
      <c r="D7" s="7" t="s">
        <v>60</v>
      </c>
      <c r="E7" s="7">
        <v>0</v>
      </c>
      <c r="F7" s="7">
        <v>3</v>
      </c>
    </row>
    <row r="8" spans="2:12">
      <c r="D8" s="7" t="s">
        <v>61</v>
      </c>
      <c r="E8" s="7">
        <v>0</v>
      </c>
      <c r="F8" s="7">
        <v>3</v>
      </c>
    </row>
    <row r="9" spans="2:12">
      <c r="D9" s="7" t="s">
        <v>198</v>
      </c>
      <c r="E9" s="7">
        <v>0</v>
      </c>
      <c r="F9" s="7">
        <v>3</v>
      </c>
    </row>
    <row r="10" spans="2:12">
      <c r="D10" s="7" t="s">
        <v>201</v>
      </c>
      <c r="E10" s="7">
        <v>0</v>
      </c>
      <c r="F10" s="7">
        <v>5</v>
      </c>
    </row>
    <row r="11" spans="2:12">
      <c r="D11" s="7" t="s">
        <v>211</v>
      </c>
      <c r="E11" s="7">
        <v>0</v>
      </c>
      <c r="F11" s="7">
        <v>3</v>
      </c>
    </row>
    <row r="14" spans="2:12">
      <c r="B14" s="10" t="s">
        <v>62</v>
      </c>
      <c r="G14" s="10"/>
      <c r="H14" s="10"/>
      <c r="I14" s="10"/>
    </row>
    <row r="15" spans="2:12">
      <c r="B15" s="11" t="s">
        <v>48</v>
      </c>
      <c r="C15" s="11" t="s">
        <v>49</v>
      </c>
      <c r="D15" s="11" t="s">
        <v>50</v>
      </c>
      <c r="E15" s="11" t="s">
        <v>63</v>
      </c>
      <c r="F15" s="11" t="s">
        <v>52</v>
      </c>
      <c r="G15" s="11" t="s">
        <v>64</v>
      </c>
      <c r="H15" s="11" t="s">
        <v>54</v>
      </c>
      <c r="I15" s="11" t="s">
        <v>55</v>
      </c>
    </row>
    <row r="16" spans="2:12">
      <c r="D16" s="7" t="s">
        <v>65</v>
      </c>
      <c r="F16" s="7">
        <v>2222</v>
      </c>
      <c r="G16" s="7" t="s">
        <v>66</v>
      </c>
    </row>
    <row r="17" spans="2:14">
      <c r="D17" s="7" t="s">
        <v>65</v>
      </c>
      <c r="F17" s="7">
        <v>8888</v>
      </c>
      <c r="G17" s="7" t="s">
        <v>67</v>
      </c>
    </row>
    <row r="18" spans="2:14" ht="12.75">
      <c r="B18" s="9"/>
      <c r="C18" s="9"/>
      <c r="D18" s="9"/>
      <c r="E18" s="9"/>
      <c r="F18" s="9"/>
      <c r="G18" s="9"/>
      <c r="H18" s="9"/>
      <c r="I18" s="9"/>
      <c r="J18" s="9"/>
    </row>
    <row r="19" spans="2:14" ht="12.75">
      <c r="B19" s="9"/>
      <c r="C19" s="9"/>
      <c r="D19" s="9"/>
      <c r="E19" s="9"/>
      <c r="F19" s="9"/>
      <c r="G19" s="9"/>
      <c r="H19" s="9"/>
      <c r="I19" s="9"/>
      <c r="J19" s="9"/>
    </row>
    <row r="20" spans="2:14" ht="12.75">
      <c r="B20" s="9"/>
      <c r="C20" s="9"/>
      <c r="D20" s="9"/>
      <c r="E20" s="9"/>
      <c r="F20" s="9"/>
      <c r="G20" s="9"/>
      <c r="H20" s="9"/>
      <c r="I20" s="9"/>
      <c r="J20" s="9"/>
    </row>
    <row r="21" spans="2:14" ht="1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workbookViewId="0">
      <selection activeCell="A83" sqref="A83"/>
    </sheetView>
  </sheetViews>
  <sheetFormatPr defaultColWidth="11.42578125" defaultRowHeight="12"/>
  <cols>
    <col min="1" max="1" width="11.42578125" style="7"/>
    <col min="2" max="2" width="12.7109375" style="7" bestFit="1" customWidth="1"/>
    <col min="3" max="4" width="11.42578125" style="7"/>
    <col min="5" max="5" width="13.5703125" style="7" bestFit="1" customWidth="1"/>
    <col min="6" max="6" width="10.5703125" style="7" bestFit="1" customWidth="1"/>
    <col min="7" max="7" width="12.28515625" style="7" bestFit="1" customWidth="1"/>
    <col min="8" max="8" width="8.42578125" style="7" bestFit="1" customWidth="1"/>
    <col min="9" max="9" width="6" style="7" bestFit="1" customWidth="1"/>
    <col min="10" max="10" width="7.7109375" style="7" bestFit="1" customWidth="1"/>
    <col min="11" max="11" width="11.42578125" style="7"/>
    <col min="12" max="12" width="17.140625" style="7" bestFit="1" customWidth="1"/>
    <col min="13" max="13" width="7.7109375" style="7" bestFit="1" customWidth="1"/>
    <col min="14" max="14" width="9.7109375" style="7" bestFit="1" customWidth="1"/>
    <col min="15" max="16384" width="11.42578125" style="7"/>
  </cols>
  <sheetData>
    <row r="2" spans="1:14" ht="18" thickBot="1">
      <c r="A2" s="9"/>
      <c r="B2" s="16" t="s">
        <v>68</v>
      </c>
      <c r="E2" s="16" t="s">
        <v>182</v>
      </c>
      <c r="L2" s="16" t="s">
        <v>77</v>
      </c>
      <c r="M2" s="2"/>
      <c r="N2" s="2"/>
    </row>
    <row r="3" spans="1:14" ht="16.5" thickTop="1" thickBot="1">
      <c r="A3" s="9"/>
      <c r="B3" s="1" t="s">
        <v>70</v>
      </c>
      <c r="E3" s="1" t="s">
        <v>48</v>
      </c>
      <c r="F3" s="1" t="s">
        <v>50</v>
      </c>
      <c r="G3" s="1" t="s">
        <v>69</v>
      </c>
      <c r="H3" s="1" t="s">
        <v>183</v>
      </c>
      <c r="I3" s="1">
        <v>2022</v>
      </c>
      <c r="J3" s="1" t="s">
        <v>55</v>
      </c>
      <c r="L3" s="1" t="s">
        <v>79</v>
      </c>
      <c r="M3" s="1" t="s">
        <v>80</v>
      </c>
      <c r="N3" s="1" t="s">
        <v>81</v>
      </c>
    </row>
    <row r="4" spans="1:14" ht="13.5">
      <c r="A4" s="9"/>
      <c r="B4" s="15" t="s">
        <v>134</v>
      </c>
      <c r="C4" s="2"/>
      <c r="F4" s="7" t="s">
        <v>184</v>
      </c>
      <c r="I4" s="7">
        <v>0.05</v>
      </c>
      <c r="J4" s="7" t="s">
        <v>25</v>
      </c>
      <c r="L4" s="2" t="s">
        <v>83</v>
      </c>
      <c r="M4" s="2" t="s">
        <v>84</v>
      </c>
      <c r="N4" s="2">
        <v>1055.55</v>
      </c>
    </row>
    <row r="5" spans="1:14" ht="13.5">
      <c r="A5" s="9"/>
      <c r="B5" s="15" t="s">
        <v>72</v>
      </c>
      <c r="E5" s="7" t="s">
        <v>185</v>
      </c>
      <c r="F5" s="7" t="s">
        <v>186</v>
      </c>
      <c r="I5" s="7">
        <v>1</v>
      </c>
      <c r="J5" s="7" t="s">
        <v>25</v>
      </c>
      <c r="L5" s="2" t="s">
        <v>86</v>
      </c>
      <c r="M5" s="2" t="s">
        <v>84</v>
      </c>
      <c r="N5" s="2">
        <v>3.6</v>
      </c>
    </row>
    <row r="6" spans="1:14" ht="13.5">
      <c r="A6" s="9"/>
      <c r="B6" s="15" t="s">
        <v>73</v>
      </c>
      <c r="F6" s="7" t="s">
        <v>187</v>
      </c>
      <c r="I6" s="7">
        <v>2025</v>
      </c>
      <c r="L6" s="2" t="s">
        <v>88</v>
      </c>
      <c r="M6" s="2" t="s">
        <v>89</v>
      </c>
      <c r="N6" s="2">
        <v>1000</v>
      </c>
    </row>
    <row r="7" spans="1:14" ht="13.5">
      <c r="A7" s="9"/>
      <c r="B7" s="15" t="s">
        <v>74</v>
      </c>
      <c r="F7" s="7" t="s">
        <v>188</v>
      </c>
      <c r="I7" s="7">
        <v>1</v>
      </c>
      <c r="L7" s="2" t="s">
        <v>91</v>
      </c>
      <c r="M7" s="2" t="s">
        <v>92</v>
      </c>
      <c r="N7" s="2">
        <v>1000</v>
      </c>
    </row>
    <row r="8" spans="1:14" ht="13.5">
      <c r="A8" s="9"/>
      <c r="B8" s="15" t="s">
        <v>75</v>
      </c>
      <c r="F8" s="7" t="s">
        <v>189</v>
      </c>
      <c r="G8" s="7" t="s">
        <v>126</v>
      </c>
      <c r="H8" s="7" t="s">
        <v>135</v>
      </c>
      <c r="I8" s="7">
        <v>2.2201</v>
      </c>
      <c r="L8" s="2" t="s">
        <v>94</v>
      </c>
      <c r="M8" s="2" t="s">
        <v>84</v>
      </c>
      <c r="N8" s="2">
        <v>1.05555</v>
      </c>
    </row>
    <row r="9" spans="1:14" ht="13.5">
      <c r="A9" s="9"/>
      <c r="B9" s="15" t="s">
        <v>76</v>
      </c>
      <c r="F9" s="7" t="s">
        <v>189</v>
      </c>
      <c r="G9" s="7" t="s">
        <v>126</v>
      </c>
      <c r="H9" s="7" t="s">
        <v>136</v>
      </c>
      <c r="I9" s="7">
        <v>2.1427</v>
      </c>
      <c r="L9" s="2" t="s">
        <v>96</v>
      </c>
      <c r="M9" s="2" t="s">
        <v>84</v>
      </c>
      <c r="N9" s="2">
        <v>4.1868000000000002E-2</v>
      </c>
    </row>
    <row r="10" spans="1:14" ht="13.5">
      <c r="A10" s="9"/>
      <c r="B10" s="15" t="s">
        <v>78</v>
      </c>
      <c r="F10" s="7" t="s">
        <v>189</v>
      </c>
      <c r="G10" s="7" t="s">
        <v>126</v>
      </c>
      <c r="H10" s="7" t="s">
        <v>137</v>
      </c>
      <c r="I10" s="7">
        <v>2.077</v>
      </c>
      <c r="L10" s="2" t="s">
        <v>98</v>
      </c>
      <c r="M10" s="2" t="s">
        <v>84</v>
      </c>
      <c r="N10" s="2">
        <v>41.868000000000002</v>
      </c>
    </row>
    <row r="11" spans="1:14" ht="13.5">
      <c r="A11" s="9"/>
      <c r="B11" s="15" t="s">
        <v>71</v>
      </c>
      <c r="F11" s="7" t="s">
        <v>189</v>
      </c>
      <c r="G11" s="7" t="s">
        <v>126</v>
      </c>
      <c r="H11" s="7" t="s">
        <v>138</v>
      </c>
      <c r="I11" s="7">
        <v>2.0358000000000001</v>
      </c>
      <c r="L11" s="2" t="s">
        <v>100</v>
      </c>
      <c r="M11" s="2" t="s">
        <v>84</v>
      </c>
      <c r="N11" s="2">
        <v>3.5999999999999999E-3</v>
      </c>
    </row>
    <row r="12" spans="1:14" ht="13.5">
      <c r="A12" s="9"/>
      <c r="B12" s="15" t="s">
        <v>82</v>
      </c>
      <c r="F12" s="7" t="s">
        <v>189</v>
      </c>
      <c r="G12" s="7" t="s">
        <v>126</v>
      </c>
      <c r="H12" s="7" t="s">
        <v>139</v>
      </c>
      <c r="I12" s="7">
        <v>1.9870000000000001</v>
      </c>
      <c r="L12" s="2" t="s">
        <v>102</v>
      </c>
      <c r="M12" s="2" t="s">
        <v>89</v>
      </c>
      <c r="N12" s="2">
        <v>1000000</v>
      </c>
    </row>
    <row r="13" spans="1:14" ht="13.5">
      <c r="A13" s="9"/>
      <c r="B13" s="15" t="s">
        <v>85</v>
      </c>
      <c r="F13" s="7" t="s">
        <v>189</v>
      </c>
      <c r="G13" s="7" t="s">
        <v>126</v>
      </c>
      <c r="H13" s="7" t="s">
        <v>140</v>
      </c>
      <c r="I13" s="7">
        <v>1.9192</v>
      </c>
      <c r="L13" s="2" t="s">
        <v>104</v>
      </c>
      <c r="M13" s="2" t="s">
        <v>105</v>
      </c>
      <c r="N13" s="2">
        <v>1000</v>
      </c>
    </row>
    <row r="14" spans="1:14" ht="13.5">
      <c r="A14" s="9"/>
      <c r="B14" s="15" t="s">
        <v>87</v>
      </c>
      <c r="F14" s="7" t="s">
        <v>189</v>
      </c>
      <c r="G14" s="7" t="s">
        <v>126</v>
      </c>
      <c r="H14" s="7" t="s">
        <v>141</v>
      </c>
      <c r="I14" s="7">
        <v>1.8468</v>
      </c>
      <c r="L14" s="2" t="s">
        <v>107</v>
      </c>
      <c r="M14" s="2" t="s">
        <v>108</v>
      </c>
      <c r="N14" s="2">
        <v>5.8615199999999996</v>
      </c>
    </row>
    <row r="15" spans="1:14" ht="13.5">
      <c r="A15" s="9"/>
      <c r="B15" s="15" t="s">
        <v>90</v>
      </c>
      <c r="F15" s="7" t="s">
        <v>189</v>
      </c>
      <c r="G15" s="7" t="s">
        <v>126</v>
      </c>
      <c r="H15" s="7" t="s">
        <v>142</v>
      </c>
      <c r="I15" s="7">
        <v>1.7799</v>
      </c>
      <c r="L15" s="2" t="s">
        <v>110</v>
      </c>
      <c r="M15" s="2" t="s">
        <v>111</v>
      </c>
      <c r="N15" s="2">
        <v>1E-3</v>
      </c>
    </row>
    <row r="16" spans="1:14" ht="13.5">
      <c r="A16" s="9"/>
      <c r="B16" s="15" t="s">
        <v>93</v>
      </c>
      <c r="F16" s="7" t="s">
        <v>189</v>
      </c>
      <c r="G16" s="7" t="s">
        <v>126</v>
      </c>
      <c r="H16" s="7" t="s">
        <v>143</v>
      </c>
      <c r="I16" s="7">
        <v>1.722</v>
      </c>
      <c r="L16" s="2" t="s">
        <v>113</v>
      </c>
      <c r="M16" s="2" t="s">
        <v>84</v>
      </c>
      <c r="N16" s="2">
        <v>1000</v>
      </c>
    </row>
    <row r="17" spans="1:14" ht="13.5">
      <c r="A17" s="9"/>
      <c r="B17" s="15" t="s">
        <v>95</v>
      </c>
      <c r="F17" s="7" t="s">
        <v>189</v>
      </c>
      <c r="G17" s="7" t="s">
        <v>126</v>
      </c>
      <c r="H17" s="7" t="s">
        <v>144</v>
      </c>
      <c r="I17" s="7">
        <v>1.6836</v>
      </c>
      <c r="L17" s="2" t="s">
        <v>115</v>
      </c>
      <c r="M17" s="2" t="s">
        <v>84</v>
      </c>
      <c r="N17" s="2">
        <v>37.68</v>
      </c>
    </row>
    <row r="18" spans="1:14" ht="13.5">
      <c r="B18" s="15" t="s">
        <v>97</v>
      </c>
      <c r="F18" s="7" t="s">
        <v>189</v>
      </c>
      <c r="G18" s="7" t="s">
        <v>126</v>
      </c>
      <c r="H18" s="7" t="s">
        <v>145</v>
      </c>
      <c r="I18" s="7">
        <v>1.6446000000000001</v>
      </c>
      <c r="L18" s="2" t="s">
        <v>117</v>
      </c>
      <c r="M18" s="2" t="s">
        <v>84</v>
      </c>
      <c r="N18" s="2">
        <v>2139.4548</v>
      </c>
    </row>
    <row r="19" spans="1:14" ht="13.5">
      <c r="B19" s="15" t="s">
        <v>99</v>
      </c>
      <c r="F19" s="7" t="s">
        <v>189</v>
      </c>
      <c r="G19" s="7" t="s">
        <v>126</v>
      </c>
      <c r="H19" s="7" t="s">
        <v>146</v>
      </c>
      <c r="I19" s="7">
        <v>1.6102000000000001</v>
      </c>
      <c r="L19" s="2" t="s">
        <v>119</v>
      </c>
      <c r="M19" s="2" t="s">
        <v>120</v>
      </c>
      <c r="N19" s="2">
        <v>2.78</v>
      </c>
    </row>
    <row r="20" spans="1:14" ht="13.5">
      <c r="B20" s="15" t="s">
        <v>101</v>
      </c>
      <c r="F20" s="7" t="s">
        <v>189</v>
      </c>
      <c r="G20" s="7" t="s">
        <v>126</v>
      </c>
      <c r="H20" s="7" t="s">
        <v>147</v>
      </c>
      <c r="I20" s="7">
        <v>1.5770999999999999</v>
      </c>
      <c r="L20" s="2" t="s">
        <v>122</v>
      </c>
      <c r="M20" s="2" t="s">
        <v>84</v>
      </c>
      <c r="N20" s="2">
        <v>3.6</v>
      </c>
    </row>
    <row r="21" spans="1:14" ht="13.5">
      <c r="B21" s="15" t="s">
        <v>103</v>
      </c>
      <c r="F21" s="7" t="s">
        <v>189</v>
      </c>
      <c r="G21" s="7" t="s">
        <v>126</v>
      </c>
      <c r="H21" s="7" t="s">
        <v>148</v>
      </c>
      <c r="I21" s="7">
        <v>1.5488</v>
      </c>
      <c r="L21" s="2" t="s">
        <v>84</v>
      </c>
      <c r="M21" s="2" t="s">
        <v>84</v>
      </c>
      <c r="N21" s="2">
        <v>1</v>
      </c>
    </row>
    <row r="22" spans="1:14" ht="13.5">
      <c r="B22" s="15" t="s">
        <v>106</v>
      </c>
      <c r="F22" s="7" t="s">
        <v>189</v>
      </c>
      <c r="G22" s="7" t="s">
        <v>126</v>
      </c>
      <c r="H22" s="7" t="s">
        <v>149</v>
      </c>
      <c r="I22" s="7">
        <v>1.5224</v>
      </c>
      <c r="L22" s="2" t="s">
        <v>125</v>
      </c>
      <c r="M22" s="2" t="s">
        <v>84</v>
      </c>
      <c r="N22" s="2">
        <v>31.536000000000001</v>
      </c>
    </row>
    <row r="23" spans="1:14" ht="13.5">
      <c r="B23" s="15" t="s">
        <v>109</v>
      </c>
      <c r="F23" s="7" t="s">
        <v>189</v>
      </c>
      <c r="G23" s="7" t="s">
        <v>126</v>
      </c>
      <c r="H23" s="7" t="s">
        <v>150</v>
      </c>
      <c r="I23" s="7">
        <v>1.5058</v>
      </c>
      <c r="L23" s="2" t="s">
        <v>127</v>
      </c>
      <c r="M23" s="2" t="s">
        <v>84</v>
      </c>
      <c r="N23" s="2">
        <v>120</v>
      </c>
    </row>
    <row r="24" spans="1:14" ht="13.5">
      <c r="B24" s="15" t="s">
        <v>112</v>
      </c>
      <c r="F24" s="7" t="s">
        <v>189</v>
      </c>
      <c r="G24" s="7" t="s">
        <v>126</v>
      </c>
      <c r="H24" s="7" t="s">
        <v>151</v>
      </c>
      <c r="I24" s="7">
        <v>1.4844999999999999</v>
      </c>
      <c r="L24" s="7" t="s">
        <v>129</v>
      </c>
      <c r="M24" s="7" t="s">
        <v>84</v>
      </c>
      <c r="N24" s="7">
        <v>5.8615199999999996</v>
      </c>
    </row>
    <row r="25" spans="1:14" ht="13.5">
      <c r="B25" s="15" t="s">
        <v>114</v>
      </c>
      <c r="F25" s="7" t="s">
        <v>189</v>
      </c>
      <c r="G25" s="7" t="s">
        <v>126</v>
      </c>
      <c r="H25" s="7" t="s">
        <v>71</v>
      </c>
      <c r="I25" s="7">
        <v>1.4518</v>
      </c>
      <c r="L25" s="7" t="s">
        <v>131</v>
      </c>
      <c r="M25" s="7" t="s">
        <v>84</v>
      </c>
      <c r="N25" s="7">
        <v>54</v>
      </c>
    </row>
    <row r="26" spans="1:14" ht="13.5">
      <c r="B26" s="15" t="s">
        <v>116</v>
      </c>
      <c r="F26" s="7" t="s">
        <v>189</v>
      </c>
      <c r="G26" s="7" t="s">
        <v>126</v>
      </c>
      <c r="H26" s="7" t="s">
        <v>82</v>
      </c>
      <c r="I26" s="7">
        <v>1.4198999999999999</v>
      </c>
    </row>
    <row r="27" spans="1:14" ht="13.5">
      <c r="B27" s="15" t="s">
        <v>118</v>
      </c>
      <c r="F27" s="7" t="s">
        <v>189</v>
      </c>
      <c r="G27" s="7" t="s">
        <v>126</v>
      </c>
      <c r="H27" s="7" t="s">
        <v>85</v>
      </c>
      <c r="I27" s="7">
        <v>1.3986000000000001</v>
      </c>
    </row>
    <row r="28" spans="1:14" ht="13.5">
      <c r="B28" s="15" t="s">
        <v>121</v>
      </c>
      <c r="F28" s="7" t="s">
        <v>189</v>
      </c>
      <c r="G28" s="7" t="s">
        <v>126</v>
      </c>
      <c r="H28" s="7" t="s">
        <v>87</v>
      </c>
      <c r="I28" s="7">
        <v>1.3727</v>
      </c>
    </row>
    <row r="29" spans="1:14" ht="13.5">
      <c r="B29" s="15" t="s">
        <v>123</v>
      </c>
      <c r="F29" s="7" t="s">
        <v>189</v>
      </c>
      <c r="G29" s="7" t="s">
        <v>126</v>
      </c>
      <c r="H29" s="7" t="s">
        <v>90</v>
      </c>
      <c r="I29" s="7">
        <v>1.3369</v>
      </c>
    </row>
    <row r="30" spans="1:14" ht="13.5">
      <c r="B30" s="15" t="s">
        <v>124</v>
      </c>
      <c r="F30" s="7" t="s">
        <v>189</v>
      </c>
      <c r="G30" s="7" t="s">
        <v>126</v>
      </c>
      <c r="H30" s="7" t="s">
        <v>93</v>
      </c>
      <c r="I30" s="7">
        <v>1.2967</v>
      </c>
    </row>
    <row r="31" spans="1:14" ht="13.5">
      <c r="B31" s="15" t="s">
        <v>126</v>
      </c>
      <c r="F31" s="7" t="s">
        <v>189</v>
      </c>
      <c r="G31" s="7" t="s">
        <v>126</v>
      </c>
      <c r="H31" s="7" t="s">
        <v>95</v>
      </c>
      <c r="I31" s="7">
        <v>1.2583</v>
      </c>
    </row>
    <row r="32" spans="1:14" ht="13.5">
      <c r="B32" s="15" t="s">
        <v>128</v>
      </c>
      <c r="F32" s="7" t="s">
        <v>189</v>
      </c>
      <c r="G32" s="7" t="s">
        <v>126</v>
      </c>
      <c r="H32" s="7" t="s">
        <v>97</v>
      </c>
      <c r="I32" s="7">
        <v>1.2253000000000001</v>
      </c>
    </row>
    <row r="33" spans="2:9" ht="13.5">
      <c r="B33" s="15" t="s">
        <v>130</v>
      </c>
      <c r="F33" s="7" t="s">
        <v>189</v>
      </c>
      <c r="G33" s="7" t="s">
        <v>126</v>
      </c>
      <c r="H33" s="7" t="s">
        <v>99</v>
      </c>
      <c r="I33" s="7">
        <v>1.2023999999999999</v>
      </c>
    </row>
    <row r="34" spans="2:9" ht="13.5">
      <c r="B34" s="15" t="s">
        <v>132</v>
      </c>
      <c r="F34" s="7" t="s">
        <v>189</v>
      </c>
      <c r="G34" s="7" t="s">
        <v>126</v>
      </c>
      <c r="H34" s="7" t="s">
        <v>101</v>
      </c>
      <c r="I34" s="7">
        <v>1.1931</v>
      </c>
    </row>
    <row r="35" spans="2:9" ht="13.5">
      <c r="B35" s="15" t="s">
        <v>133</v>
      </c>
      <c r="F35" s="7" t="s">
        <v>189</v>
      </c>
      <c r="G35" s="7" t="s">
        <v>126</v>
      </c>
      <c r="H35" s="7" t="s">
        <v>103</v>
      </c>
      <c r="I35" s="7">
        <v>1.1793</v>
      </c>
    </row>
    <row r="36" spans="2:9" ht="13.5">
      <c r="B36" s="15" t="s">
        <v>134</v>
      </c>
      <c r="F36" s="7" t="s">
        <v>189</v>
      </c>
      <c r="G36" s="7" t="s">
        <v>126</v>
      </c>
      <c r="H36" s="7" t="s">
        <v>106</v>
      </c>
      <c r="I36" s="7">
        <v>1.1552</v>
      </c>
    </row>
    <row r="37" spans="2:9" ht="13.5">
      <c r="B37" s="15" t="s">
        <v>135</v>
      </c>
      <c r="F37" s="7" t="s">
        <v>189</v>
      </c>
      <c r="G37" s="7" t="s">
        <v>126</v>
      </c>
      <c r="H37" s="7" t="s">
        <v>109</v>
      </c>
      <c r="I37" s="7">
        <v>1.1334</v>
      </c>
    </row>
    <row r="38" spans="2:9" ht="13.5">
      <c r="B38" s="15" t="s">
        <v>136</v>
      </c>
      <c r="F38" s="7" t="s">
        <v>189</v>
      </c>
      <c r="G38" s="7" t="s">
        <v>126</v>
      </c>
      <c r="H38" s="7" t="s">
        <v>112</v>
      </c>
      <c r="I38" s="7">
        <v>1.1136999999999999</v>
      </c>
    </row>
    <row r="39" spans="2:9" ht="13.5">
      <c r="B39" s="15" t="s">
        <v>137</v>
      </c>
      <c r="F39" s="7" t="s">
        <v>189</v>
      </c>
      <c r="G39" s="7" t="s">
        <v>126</v>
      </c>
      <c r="H39" s="7" t="s">
        <v>114</v>
      </c>
      <c r="I39" s="7">
        <v>1.0934999999999999</v>
      </c>
    </row>
    <row r="40" spans="2:9" ht="13.5">
      <c r="B40" s="15" t="s">
        <v>138</v>
      </c>
      <c r="F40" s="7" t="s">
        <v>189</v>
      </c>
      <c r="G40" s="7" t="s">
        <v>126</v>
      </c>
      <c r="H40" s="7" t="s">
        <v>116</v>
      </c>
      <c r="I40" s="7">
        <v>1.0831</v>
      </c>
    </row>
    <row r="41" spans="2:9" ht="13.5">
      <c r="B41" s="15" t="s">
        <v>139</v>
      </c>
      <c r="F41" s="7" t="s">
        <v>189</v>
      </c>
      <c r="G41" s="7" t="s">
        <v>126</v>
      </c>
      <c r="H41" s="7" t="s">
        <v>118</v>
      </c>
      <c r="I41" s="7">
        <v>1.0719000000000001</v>
      </c>
    </row>
    <row r="42" spans="2:9" ht="13.5">
      <c r="B42" s="15" t="s">
        <v>140</v>
      </c>
      <c r="F42" s="7" t="s">
        <v>189</v>
      </c>
      <c r="G42" s="7" t="s">
        <v>126</v>
      </c>
      <c r="H42" s="7" t="s">
        <v>121</v>
      </c>
      <c r="I42" s="7">
        <v>1.0519000000000001</v>
      </c>
    </row>
    <row r="43" spans="2:9" ht="13.5">
      <c r="B43" s="15" t="s">
        <v>141</v>
      </c>
      <c r="F43" s="7" t="s">
        <v>189</v>
      </c>
      <c r="G43" s="7" t="s">
        <v>126</v>
      </c>
      <c r="H43" s="7" t="s">
        <v>123</v>
      </c>
      <c r="I43" s="7">
        <v>1.0274000000000001</v>
      </c>
    </row>
    <row r="44" spans="2:9" ht="13.5">
      <c r="B44" s="15" t="s">
        <v>142</v>
      </c>
      <c r="F44" s="7" t="s">
        <v>189</v>
      </c>
      <c r="G44" s="7" t="s">
        <v>126</v>
      </c>
      <c r="H44" s="7" t="s">
        <v>124</v>
      </c>
      <c r="I44" s="7">
        <v>1.0091000000000001</v>
      </c>
    </row>
    <row r="45" spans="2:9" ht="13.5">
      <c r="B45" s="15" t="s">
        <v>143</v>
      </c>
      <c r="F45" s="7" t="s">
        <v>190</v>
      </c>
      <c r="G45" s="7" t="s">
        <v>126</v>
      </c>
      <c r="H45" s="7" t="s">
        <v>126</v>
      </c>
      <c r="I45" s="7">
        <v>1</v>
      </c>
    </row>
    <row r="46" spans="2:9" ht="13.5">
      <c r="B46" s="15" t="s">
        <v>144</v>
      </c>
      <c r="F46" s="7" t="s">
        <v>189</v>
      </c>
      <c r="G46" s="7" t="s">
        <v>126</v>
      </c>
      <c r="H46" s="7" t="s">
        <v>128</v>
      </c>
      <c r="I46" s="7">
        <v>0.98960000000000004</v>
      </c>
    </row>
    <row r="47" spans="2:9" ht="13.5">
      <c r="B47" s="15" t="s">
        <v>145</v>
      </c>
      <c r="F47" s="7" t="s">
        <v>189</v>
      </c>
      <c r="G47" s="7" t="s">
        <v>126</v>
      </c>
      <c r="H47" s="7" t="s">
        <v>130</v>
      </c>
      <c r="I47" s="7">
        <v>0.97809999999999997</v>
      </c>
    </row>
    <row r="48" spans="2:9" ht="13.5">
      <c r="B48" s="15" t="s">
        <v>146</v>
      </c>
      <c r="F48" s="7" t="s">
        <v>189</v>
      </c>
      <c r="G48" s="7" t="s">
        <v>126</v>
      </c>
      <c r="H48" s="7" t="s">
        <v>132</v>
      </c>
      <c r="I48" s="7">
        <v>0.96499999999999997</v>
      </c>
    </row>
    <row r="49" spans="2:9" ht="13.5">
      <c r="B49" s="15" t="s">
        <v>147</v>
      </c>
      <c r="F49" s="7" t="s">
        <v>189</v>
      </c>
      <c r="G49" s="7" t="s">
        <v>126</v>
      </c>
      <c r="H49" s="7" t="s">
        <v>133</v>
      </c>
      <c r="I49" s="7">
        <v>0.94910000000000005</v>
      </c>
    </row>
    <row r="50" spans="2:9" ht="13.5">
      <c r="B50" s="15" t="s">
        <v>148</v>
      </c>
      <c r="F50" s="7" t="s">
        <v>189</v>
      </c>
      <c r="G50" s="7" t="s">
        <v>126</v>
      </c>
      <c r="H50" s="7" t="s">
        <v>134</v>
      </c>
      <c r="I50" s="7">
        <v>0.92969999999999997</v>
      </c>
    </row>
    <row r="51" spans="2:9" ht="13.5">
      <c r="B51" s="15" t="s">
        <v>149</v>
      </c>
      <c r="F51" s="7" t="str">
        <f>F46</f>
        <v>G_CUREX</v>
      </c>
      <c r="G51" s="7" t="str">
        <f t="shared" ref="G51:I51" si="0">G46</f>
        <v>USD20</v>
      </c>
      <c r="H51" s="7" t="s">
        <v>152</v>
      </c>
      <c r="I51" s="7">
        <f t="shared" si="0"/>
        <v>0.98960000000000004</v>
      </c>
    </row>
    <row r="52" spans="2:9" ht="13.5">
      <c r="B52" s="15" t="s">
        <v>150</v>
      </c>
      <c r="F52" s="7" t="s">
        <v>191</v>
      </c>
      <c r="H52" s="7" t="s">
        <v>135</v>
      </c>
      <c r="I52" s="7">
        <v>7.0000000000000007E-2</v>
      </c>
    </row>
    <row r="53" spans="2:9" ht="13.5">
      <c r="B53" s="15" t="s">
        <v>151</v>
      </c>
      <c r="F53" s="7" t="s">
        <v>191</v>
      </c>
      <c r="H53" s="7" t="s">
        <v>136</v>
      </c>
      <c r="I53" s="7">
        <v>7.0000000000000007E-2</v>
      </c>
    </row>
    <row r="54" spans="2:9" ht="13.5">
      <c r="B54" s="15" t="s">
        <v>152</v>
      </c>
      <c r="F54" s="7" t="s">
        <v>191</v>
      </c>
      <c r="H54" s="7" t="s">
        <v>137</v>
      </c>
      <c r="I54" s="7">
        <v>7.0000000000000007E-2</v>
      </c>
    </row>
    <row r="55" spans="2:9">
      <c r="F55" s="7" t="s">
        <v>191</v>
      </c>
      <c r="H55" s="7" t="s">
        <v>138</v>
      </c>
      <c r="I55" s="7">
        <v>7.0000000000000007E-2</v>
      </c>
    </row>
    <row r="56" spans="2:9">
      <c r="F56" s="7" t="s">
        <v>191</v>
      </c>
      <c r="H56" s="7" t="s">
        <v>139</v>
      </c>
      <c r="I56" s="7">
        <v>7.0000000000000007E-2</v>
      </c>
    </row>
    <row r="57" spans="2:9">
      <c r="F57" s="7" t="s">
        <v>191</v>
      </c>
      <c r="H57" s="7" t="s">
        <v>140</v>
      </c>
      <c r="I57" s="7">
        <v>7.0000000000000007E-2</v>
      </c>
    </row>
    <row r="58" spans="2:9">
      <c r="F58" s="7" t="s">
        <v>191</v>
      </c>
      <c r="H58" s="7" t="s">
        <v>141</v>
      </c>
      <c r="I58" s="7">
        <v>7.0000000000000007E-2</v>
      </c>
    </row>
    <row r="59" spans="2:9">
      <c r="F59" s="7" t="s">
        <v>191</v>
      </c>
      <c r="H59" s="7" t="s">
        <v>142</v>
      </c>
      <c r="I59" s="7">
        <v>7.0000000000000007E-2</v>
      </c>
    </row>
    <row r="60" spans="2:9">
      <c r="F60" s="7" t="s">
        <v>191</v>
      </c>
      <c r="H60" s="7" t="s">
        <v>143</v>
      </c>
      <c r="I60" s="7">
        <v>7.0000000000000007E-2</v>
      </c>
    </row>
    <row r="61" spans="2:9">
      <c r="F61" s="7" t="s">
        <v>191</v>
      </c>
      <c r="H61" s="7" t="s">
        <v>144</v>
      </c>
      <c r="I61" s="7">
        <v>7.0000000000000007E-2</v>
      </c>
    </row>
    <row r="62" spans="2:9">
      <c r="F62" s="7" t="s">
        <v>191</v>
      </c>
      <c r="H62" s="7" t="s">
        <v>145</v>
      </c>
      <c r="I62" s="7">
        <v>7.0000000000000007E-2</v>
      </c>
    </row>
    <row r="63" spans="2:9">
      <c r="F63" s="7" t="s">
        <v>191</v>
      </c>
      <c r="H63" s="7" t="s">
        <v>146</v>
      </c>
      <c r="I63" s="7">
        <v>7.0000000000000007E-2</v>
      </c>
    </row>
    <row r="64" spans="2:9">
      <c r="F64" s="7" t="s">
        <v>191</v>
      </c>
      <c r="H64" s="7" t="s">
        <v>147</v>
      </c>
      <c r="I64" s="7">
        <v>7.0000000000000007E-2</v>
      </c>
    </row>
    <row r="65" spans="6:9">
      <c r="F65" s="7" t="s">
        <v>191</v>
      </c>
      <c r="H65" s="7" t="s">
        <v>148</v>
      </c>
      <c r="I65" s="7">
        <v>7.0000000000000007E-2</v>
      </c>
    </row>
    <row r="66" spans="6:9">
      <c r="F66" s="7" t="s">
        <v>191</v>
      </c>
      <c r="H66" s="7" t="s">
        <v>149</v>
      </c>
      <c r="I66" s="7">
        <v>7.0000000000000007E-2</v>
      </c>
    </row>
    <row r="67" spans="6:9">
      <c r="F67" s="7" t="s">
        <v>191</v>
      </c>
      <c r="H67" s="7" t="s">
        <v>150</v>
      </c>
      <c r="I67" s="7">
        <v>7.0000000000000007E-2</v>
      </c>
    </row>
    <row r="68" spans="6:9">
      <c r="F68" s="7" t="s">
        <v>191</v>
      </c>
      <c r="H68" s="7" t="s">
        <v>151</v>
      </c>
      <c r="I68" s="7">
        <v>7.0000000000000007E-2</v>
      </c>
    </row>
    <row r="69" spans="6:9">
      <c r="F69" s="7" t="s">
        <v>191</v>
      </c>
      <c r="H69" s="7" t="s">
        <v>71</v>
      </c>
      <c r="I69" s="7">
        <v>7.0000000000000007E-2</v>
      </c>
    </row>
    <row r="70" spans="6:9">
      <c r="F70" s="7" t="s">
        <v>191</v>
      </c>
      <c r="H70" s="7" t="s">
        <v>82</v>
      </c>
      <c r="I70" s="7">
        <v>7.0000000000000007E-2</v>
      </c>
    </row>
    <row r="71" spans="6:9">
      <c r="F71" s="7" t="s">
        <v>191</v>
      </c>
      <c r="H71" s="7" t="s">
        <v>85</v>
      </c>
      <c r="I71" s="7">
        <v>7.0000000000000007E-2</v>
      </c>
    </row>
    <row r="72" spans="6:9">
      <c r="F72" s="7" t="s">
        <v>191</v>
      </c>
      <c r="H72" s="7" t="s">
        <v>87</v>
      </c>
      <c r="I72" s="7">
        <v>7.0000000000000007E-2</v>
      </c>
    </row>
    <row r="73" spans="6:9">
      <c r="F73" s="7" t="s">
        <v>191</v>
      </c>
      <c r="H73" s="7" t="s">
        <v>90</v>
      </c>
      <c r="I73" s="7">
        <v>7.0000000000000007E-2</v>
      </c>
    </row>
    <row r="74" spans="6:9">
      <c r="F74" s="7" t="s">
        <v>191</v>
      </c>
      <c r="H74" s="7" t="s">
        <v>93</v>
      </c>
      <c r="I74" s="7">
        <v>7.0000000000000007E-2</v>
      </c>
    </row>
    <row r="75" spans="6:9">
      <c r="F75" s="7" t="s">
        <v>191</v>
      </c>
      <c r="H75" s="7" t="s">
        <v>95</v>
      </c>
      <c r="I75" s="7">
        <v>7.0000000000000007E-2</v>
      </c>
    </row>
    <row r="76" spans="6:9">
      <c r="F76" s="7" t="s">
        <v>191</v>
      </c>
      <c r="H76" s="7" t="s">
        <v>97</v>
      </c>
      <c r="I76" s="7">
        <v>7.0000000000000007E-2</v>
      </c>
    </row>
    <row r="77" spans="6:9">
      <c r="F77" s="7" t="s">
        <v>191</v>
      </c>
      <c r="H77" s="7" t="s">
        <v>99</v>
      </c>
      <c r="I77" s="7">
        <v>7.0000000000000007E-2</v>
      </c>
    </row>
    <row r="78" spans="6:9">
      <c r="F78" s="7" t="s">
        <v>191</v>
      </c>
      <c r="H78" s="7" t="s">
        <v>101</v>
      </c>
      <c r="I78" s="7">
        <v>7.0000000000000007E-2</v>
      </c>
    </row>
    <row r="79" spans="6:9">
      <c r="F79" s="7" t="s">
        <v>191</v>
      </c>
      <c r="H79" s="7" t="s">
        <v>103</v>
      </c>
      <c r="I79" s="7">
        <v>7.0000000000000007E-2</v>
      </c>
    </row>
    <row r="80" spans="6:9">
      <c r="F80" s="7" t="s">
        <v>191</v>
      </c>
      <c r="H80" s="7" t="s">
        <v>106</v>
      </c>
      <c r="I80" s="7">
        <v>7.0000000000000007E-2</v>
      </c>
    </row>
    <row r="81" spans="6:9">
      <c r="F81" s="7" t="s">
        <v>191</v>
      </c>
      <c r="H81" s="7" t="s">
        <v>109</v>
      </c>
      <c r="I81" s="7">
        <v>7.0000000000000007E-2</v>
      </c>
    </row>
    <row r="82" spans="6:9">
      <c r="F82" s="7" t="s">
        <v>191</v>
      </c>
      <c r="H82" s="7" t="s">
        <v>112</v>
      </c>
      <c r="I82" s="7">
        <v>7.0000000000000007E-2</v>
      </c>
    </row>
    <row r="83" spans="6:9">
      <c r="F83" s="7" t="s">
        <v>191</v>
      </c>
      <c r="H83" s="7" t="s">
        <v>114</v>
      </c>
      <c r="I83" s="7">
        <v>7.0000000000000007E-2</v>
      </c>
    </row>
    <row r="84" spans="6:9">
      <c r="F84" s="7" t="s">
        <v>191</v>
      </c>
      <c r="H84" s="7" t="s">
        <v>116</v>
      </c>
      <c r="I84" s="7">
        <v>7.0000000000000007E-2</v>
      </c>
    </row>
    <row r="85" spans="6:9">
      <c r="F85" s="7" t="s">
        <v>191</v>
      </c>
      <c r="H85" s="7" t="s">
        <v>118</v>
      </c>
      <c r="I85" s="7">
        <v>7.0000000000000007E-2</v>
      </c>
    </row>
    <row r="86" spans="6:9">
      <c r="F86" s="7" t="s">
        <v>191</v>
      </c>
      <c r="H86" s="7" t="s">
        <v>121</v>
      </c>
      <c r="I86" s="7">
        <v>7.0000000000000007E-2</v>
      </c>
    </row>
    <row r="87" spans="6:9">
      <c r="F87" s="7" t="s">
        <v>191</v>
      </c>
      <c r="H87" s="7" t="s">
        <v>123</v>
      </c>
      <c r="I87" s="7">
        <v>7.0000000000000007E-2</v>
      </c>
    </row>
    <row r="88" spans="6:9">
      <c r="F88" s="7" t="s">
        <v>191</v>
      </c>
      <c r="H88" s="7" t="s">
        <v>124</v>
      </c>
      <c r="I88" s="7">
        <v>7.0000000000000007E-2</v>
      </c>
    </row>
    <row r="89" spans="6:9">
      <c r="F89" s="7" t="s">
        <v>191</v>
      </c>
      <c r="H89" s="7" t="s">
        <v>126</v>
      </c>
      <c r="I89" s="7">
        <v>7.0000000000000007E-2</v>
      </c>
    </row>
    <row r="90" spans="6:9">
      <c r="F90" s="7" t="s">
        <v>191</v>
      </c>
      <c r="H90" s="7" t="s">
        <v>128</v>
      </c>
      <c r="I90" s="7">
        <v>7.0000000000000007E-2</v>
      </c>
    </row>
    <row r="91" spans="6:9">
      <c r="F91" s="7" t="s">
        <v>191</v>
      </c>
      <c r="H91" s="7" t="s">
        <v>130</v>
      </c>
      <c r="I91" s="7">
        <v>7.0000000000000007E-2</v>
      </c>
    </row>
    <row r="92" spans="6:9">
      <c r="F92" s="7" t="s">
        <v>191</v>
      </c>
      <c r="H92" s="7" t="s">
        <v>132</v>
      </c>
      <c r="I92" s="7">
        <v>7.0000000000000007E-2</v>
      </c>
    </row>
    <row r="93" spans="6:9">
      <c r="F93" s="7" t="s">
        <v>191</v>
      </c>
      <c r="H93" s="7" t="s">
        <v>133</v>
      </c>
      <c r="I93" s="7">
        <v>7.0000000000000007E-2</v>
      </c>
    </row>
    <row r="94" spans="6:9">
      <c r="F94" s="7" t="s">
        <v>191</v>
      </c>
      <c r="H94" s="7" t="s">
        <v>134</v>
      </c>
      <c r="I94" s="7">
        <v>7.0000000000000007E-2</v>
      </c>
    </row>
    <row r="95" spans="6:9">
      <c r="F95" s="7" t="s">
        <v>191</v>
      </c>
      <c r="H95" s="7" t="str">
        <f>H51</f>
        <v>USD21_alt</v>
      </c>
      <c r="I95" s="7">
        <v>7.0000000000000007E-2</v>
      </c>
    </row>
    <row r="99" spans="5:10" ht="18" thickBot="1">
      <c r="E99" s="16" t="s">
        <v>182</v>
      </c>
    </row>
    <row r="100" spans="5:10" ht="16.5" thickTop="1" thickBot="1">
      <c r="E100" s="1" t="s">
        <v>48</v>
      </c>
      <c r="F100" s="1" t="s">
        <v>50</v>
      </c>
      <c r="G100" s="1" t="s">
        <v>69</v>
      </c>
      <c r="H100" s="1" t="s">
        <v>183</v>
      </c>
      <c r="I100" s="1">
        <v>2022</v>
      </c>
      <c r="J100" s="1" t="s">
        <v>55</v>
      </c>
    </row>
    <row r="101" spans="5:10" ht="15">
      <c r="E101"/>
      <c r="F101" s="17" t="s">
        <v>189</v>
      </c>
      <c r="G101" s="17" t="s">
        <v>126</v>
      </c>
      <c r="H101" s="17" t="s">
        <v>73</v>
      </c>
      <c r="I101" s="18">
        <f>1.10926234054354*I40</f>
        <v>1.201442041042708</v>
      </c>
    </row>
    <row r="102" spans="5:10" ht="15">
      <c r="E102"/>
      <c r="F102" s="17" t="s">
        <v>191</v>
      </c>
      <c r="G102"/>
      <c r="H102" s="17" t="s">
        <v>73</v>
      </c>
      <c r="I102" s="18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>
      <selection activeCell="E27" sqref="E27"/>
    </sheetView>
  </sheetViews>
  <sheetFormatPr defaultColWidth="8.85546875" defaultRowHeight="12.75"/>
  <cols>
    <col min="1" max="2" width="8.85546875" style="2"/>
    <col min="3" max="3" width="20.42578125" style="2" bestFit="1" customWidth="1"/>
    <col min="4" max="16384" width="8.85546875" style="2"/>
  </cols>
  <sheetData>
    <row r="3" spans="2:4" ht="18" thickBot="1">
      <c r="B3" s="16" t="s">
        <v>62</v>
      </c>
    </row>
    <row r="4" spans="2:4" ht="16.5" thickTop="1" thickBot="1">
      <c r="B4" s="1" t="s">
        <v>50</v>
      </c>
      <c r="C4" s="1" t="s">
        <v>69</v>
      </c>
      <c r="D4" s="1" t="s">
        <v>52</v>
      </c>
    </row>
    <row r="5" spans="2:4">
      <c r="B5" s="2" t="s">
        <v>153</v>
      </c>
      <c r="C5" s="2" t="s">
        <v>154</v>
      </c>
      <c r="D5" s="2">
        <v>-1</v>
      </c>
    </row>
    <row r="6" spans="2:4">
      <c r="B6" s="2" t="s">
        <v>153</v>
      </c>
      <c r="C6" s="2" t="s">
        <v>155</v>
      </c>
      <c r="D6" s="2">
        <v>1</v>
      </c>
    </row>
    <row r="7" spans="2:4">
      <c r="B7" s="2" t="s">
        <v>153</v>
      </c>
      <c r="C7" s="2" t="s">
        <v>156</v>
      </c>
      <c r="D7" s="2">
        <v>1</v>
      </c>
    </row>
    <row r="8" spans="2:4">
      <c r="B8" s="2" t="s">
        <v>153</v>
      </c>
      <c r="C8" s="2" t="s">
        <v>157</v>
      </c>
      <c r="D8" s="2">
        <v>1</v>
      </c>
    </row>
    <row r="9" spans="2:4">
      <c r="B9" s="2" t="s">
        <v>153</v>
      </c>
      <c r="C9" s="2" t="s">
        <v>158</v>
      </c>
      <c r="D9" s="2">
        <v>1</v>
      </c>
    </row>
    <row r="10" spans="2:4">
      <c r="B10" s="2" t="s">
        <v>153</v>
      </c>
      <c r="C10" s="2" t="s">
        <v>159</v>
      </c>
      <c r="D10" s="2">
        <v>1</v>
      </c>
    </row>
    <row r="11" spans="2:4">
      <c r="B11" s="2" t="s">
        <v>153</v>
      </c>
      <c r="C11" s="2" t="s">
        <v>160</v>
      </c>
      <c r="D11" s="2">
        <v>1</v>
      </c>
    </row>
    <row r="12" spans="2:4">
      <c r="B12" s="2" t="s">
        <v>153</v>
      </c>
      <c r="C12" s="2" t="s">
        <v>155</v>
      </c>
      <c r="D12" s="2">
        <v>1</v>
      </c>
    </row>
    <row r="13" spans="2:4">
      <c r="B13" s="2" t="s">
        <v>153</v>
      </c>
      <c r="C13" s="2" t="s">
        <v>161</v>
      </c>
      <c r="D13" s="2">
        <v>1</v>
      </c>
    </row>
    <row r="14" spans="2:4">
      <c r="B14" s="2" t="s">
        <v>153</v>
      </c>
      <c r="C14" s="2" t="s">
        <v>162</v>
      </c>
      <c r="D14" s="2">
        <v>2</v>
      </c>
    </row>
    <row r="15" spans="2:4">
      <c r="B15" s="2" t="s">
        <v>153</v>
      </c>
      <c r="C15" s="2" t="s">
        <v>163</v>
      </c>
      <c r="D15" s="2">
        <v>1</v>
      </c>
    </row>
    <row r="16" spans="2:4">
      <c r="B16" s="2" t="s">
        <v>153</v>
      </c>
      <c r="C16" s="2" t="s">
        <v>164</v>
      </c>
      <c r="D16" s="12">
        <v>1.0000000000000001E-5</v>
      </c>
    </row>
    <row r="17" spans="2:4">
      <c r="B17" s="2" t="s">
        <v>153</v>
      </c>
      <c r="C17" s="2" t="s">
        <v>165</v>
      </c>
      <c r="D17" s="12">
        <v>1.0000000000000001E-5</v>
      </c>
    </row>
    <row r="18" spans="2:4">
      <c r="B18" s="2" t="s">
        <v>153</v>
      </c>
      <c r="C18" s="2" t="s">
        <v>166</v>
      </c>
      <c r="D18" s="12">
        <v>1.0000000000000001E-5</v>
      </c>
    </row>
    <row r="19" spans="2:4">
      <c r="B19" s="2" t="s">
        <v>153</v>
      </c>
      <c r="C19" s="2" t="s">
        <v>167</v>
      </c>
      <c r="D19" s="12">
        <v>1.0000000000000001E-5</v>
      </c>
    </row>
    <row r="20" spans="2:4">
      <c r="B20" s="2" t="s">
        <v>168</v>
      </c>
      <c r="C20" s="2" t="s">
        <v>169</v>
      </c>
      <c r="D20" s="13">
        <v>1</v>
      </c>
    </row>
    <row r="23" spans="2:4">
      <c r="B23" s="14" t="s">
        <v>170</v>
      </c>
    </row>
    <row r="25" spans="2:4" ht="18" thickBot="1">
      <c r="B25" s="16" t="s">
        <v>171</v>
      </c>
    </row>
    <row r="26" spans="2:4" ht="16.5" thickTop="1" thickBot="1">
      <c r="B26" s="1" t="s">
        <v>172</v>
      </c>
      <c r="C26" s="1" t="s">
        <v>173</v>
      </c>
    </row>
    <row r="27" spans="2:4">
      <c r="B27" s="2" t="s">
        <v>174</v>
      </c>
      <c r="C27" s="2" t="s">
        <v>175</v>
      </c>
    </row>
    <row r="28" spans="2:4">
      <c r="B28" s="2" t="s">
        <v>176</v>
      </c>
      <c r="C28" s="2" t="s">
        <v>175</v>
      </c>
    </row>
    <row r="29" spans="2:4">
      <c r="B29" s="2" t="s">
        <v>177</v>
      </c>
      <c r="C29" s="2" t="s">
        <v>175</v>
      </c>
    </row>
    <row r="30" spans="2:4">
      <c r="B30" s="2" t="s">
        <v>178</v>
      </c>
      <c r="C30" s="2" t="s">
        <v>175</v>
      </c>
    </row>
    <row r="31" spans="2:4">
      <c r="B31" s="2" t="s">
        <v>179</v>
      </c>
      <c r="C31" s="2" t="s">
        <v>175</v>
      </c>
    </row>
    <row r="32" spans="2:4">
      <c r="B32" s="2" t="s">
        <v>180</v>
      </c>
    </row>
    <row r="33" spans="2:3">
      <c r="B33" s="2" t="s">
        <v>181</v>
      </c>
      <c r="C33" s="2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system_settings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Kristopher Raik</cp:lastModifiedBy>
  <dcterms:created xsi:type="dcterms:W3CDTF">2025-07-17T06:23:24Z</dcterms:created>
  <dcterms:modified xsi:type="dcterms:W3CDTF">2026-02-09T12:05:47Z</dcterms:modified>
</cp:coreProperties>
</file>