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updateLinks="never"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SubRES_Tmpl\"/>
    </mc:Choice>
  </mc:AlternateContent>
  <xr:revisionPtr revIDLastSave="0" documentId="13_ncr:1_{D27662D1-3836-40DD-928A-5735B4951C6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0" i="4" l="1"/>
  <c r="Y24" i="4" s="1"/>
  <c r="X20" i="4"/>
  <c r="X24" i="4" s="1"/>
  <c r="Y19" i="4"/>
  <c r="Y23" i="4" s="1"/>
  <c r="X19" i="4"/>
  <c r="X23" i="4" s="1"/>
  <c r="Y18" i="4"/>
  <c r="Y22" i="4" s="1"/>
  <c r="X18" i="4"/>
  <c r="X22" i="4" s="1"/>
  <c r="Y17" i="4"/>
  <c r="Y21" i="4" s="1"/>
  <c r="X17" i="4"/>
  <c r="X21" i="4" s="1"/>
  <c r="U16" i="4"/>
  <c r="U20" i="4" s="1"/>
  <c r="U24" i="4" s="1"/>
  <c r="U15" i="4"/>
  <c r="U19" i="4" s="1"/>
  <c r="U23" i="4" s="1"/>
  <c r="U14" i="4"/>
  <c r="U18" i="4" s="1"/>
  <c r="U22" i="4" s="1"/>
  <c r="U13" i="4"/>
  <c r="U17" i="4" s="1"/>
  <c r="U2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tc={80A2C193-6148-4AA7-9B62-06322F60E0BF}</author>
    <author>tc={E6F93F18-BBEF-4E19-B2D0-A493D668847A}</author>
    <author>tc={9326A9B6-D94C-4ED3-9FB8-434C0D4AC388}</author>
  </authors>
  <commentList>
    <comment ref="U14" authorId="0" shapeId="0" xr:uid="{80A2C193-6148-4AA7-9B62-06322F60E0BF}">
      <text>
        <t>[Threaded comment]
Your version of Excel allows you to read this threaded comment; however, any edits to it will get removed if the file is opened in a newer version of Excel. Learn more: https://go.microsoft.com/fwlink/?linkid=870924
Comment:
    Utility-scale PV</t>
      </text>
    </comment>
    <comment ref="U15" authorId="1" shapeId="0" xr:uid="{E6F93F18-BBEF-4E19-B2D0-A493D668847A}">
      <text>
        <t>[Threaded comment]
Your version of Excel allows you to read this threaded comment; however, any edits to it will get removed if the file is opened in a newer version of Excel. Learn more: https://go.microsoft.com/fwlink/?linkid=870924
Comment:
    AC fixed</t>
      </text>
    </comment>
    <comment ref="U26" authorId="2" shapeId="0" xr:uid="{9326A9B6-D94C-4ED3-9FB8-434C0D4AC388}">
      <text>
        <t>[Threaded comment]
Your version of Excel allows you to read this threaded comment; however, any edits to it will get removed if the file is opened in a newer version of Excel. Learn more: https://go.microsoft.com/fwlink/?linkid=870924
Comment:
    AC fixed</t>
      </text>
    </comment>
  </commentList>
</comments>
</file>

<file path=xl/sharedStrings.xml><?xml version="1.0" encoding="utf-8"?>
<sst xmlns="http://schemas.openxmlformats.org/spreadsheetml/2006/main" count="313" uniqueCount="80">
  <si>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</si>
  <si>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</si>
  <si>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</si>
  <si>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</si>
  <si>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</si>
  <si>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</si>
  <si>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</si>
  <si>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</si>
  <si>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</si>
  <si>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</si>
  <si>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</si>
  <si>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</si>
  <si>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</si>
  <si>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</si>
  <si>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</si>
  <si>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</si>
  <si>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</si>
  <si>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</si>
  <si>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</si>
  <si>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</si>
  <si>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</si>
  <si>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</si>
  <si>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</si>
  <si>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</si>
  <si>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</si>
  <si>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</si>
  <si>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</si>
  <si>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</si>
  <si>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</si>
  <si>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</si>
  <si>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</si>
  <si>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</si>
  <si>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</si>
  <si>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</si>
  <si>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</si>
  <si>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</si>
  <si>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</si>
  <si>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</si>
  <si>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</si>
  <si>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</si>
  <si>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</si>
  <si>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</si>
  <si>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</si>
  <si>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</si>
  <si>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</si>
  <si>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</si>
  <si>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</si>
  <si>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</si>
  <si>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</si>
  <si>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</si>
  <si>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</si>
  <si>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</si>
  <si>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</si>
  <si>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</si>
  <si>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</si>
  <si>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</si>
  <si>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</si>
  <si>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</si>
  <si>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</si>
  <si>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</si>
  <si>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</si>
  <si>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</si>
  <si>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</si>
  <si>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</si>
  <si>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</si>
  <si>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</si>
  <si>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</si>
  <si>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</si>
  <si>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</si>
  <si>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</si>
  <si>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</si>
  <si>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</si>
  <si>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</si>
  <si>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</si>
  <si>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</si>
  <si>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pset_pn</t>
  </si>
  <si>
    <t>EN_STG8hbNREL,EN_STG4hbNREL</t>
  </si>
  <si>
    <t>ElcAgg_Solar,ElcAgg_Wind,</t>
  </si>
  <si>
    <t>act_cost</t>
  </si>
  <si>
    <t>E[_]SPV*,E[_]WON*,E[_]WOF*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</si>
</sst>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istopher Raik" id="{50AE587C-9924-43E9-9BB9-052BDB346AE2}" userId="S::krraik@taltech.ee::b956339b-354b-46f9-8dd3-3584d8dbf76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4" dT="2026-03-18T13:56:27.06" personId="{50AE587C-9924-43E9-9BB9-052BDB346AE2}" id="{80A2C193-6148-4AA7-9B62-06322F60E0BF}">
    <text>Utility-scale PV</text>
  </threadedComment>
  <threadedComment ref="U15" dT="2026-03-18T13:39:46.05" personId="{50AE587C-9924-43E9-9BB9-052BDB346AE2}" id="{E6F93F18-BBEF-4E19-B2D0-A493D668847A}">
    <text>AC fixed</text>
  </threadedComment>
  <threadedComment ref="U26" dT="2026-03-18T13:39:46.05" personId="{50AE587C-9924-43E9-9BB9-052BDB346AE2}" id="{9326A9B6-D94C-4ED3-9FB8-434C0D4AC388}">
    <text>AC fixed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C5"/>
  <sheetViews>
    <sheetView workbookViewId="0">
      <selection activeCell="D10" sqref="D10"/>
    </sheetView>
  </sheetViews>
  <sheetFormatPr defaultRowHeight="15" x14ac:dyDescent="0.25"/>
  <cols>
    <col min="2" max="2" width="18.42578125" bestFit="1" customWidth="1"/>
    <col min="3" max="3" width="11" bestFit="1" customWidth="1"/>
    <col min="4" max="4" width="27.5703125" bestFit="1" customWidth="1"/>
    <col min="5" max="5" width="49.5703125" bestFit="1" customWidth="1"/>
  </cols>
  <sheetData>
    <row r="3" spans="2:3" x14ac:dyDescent="0.25">
      <c r="B3" t="s">
        <v>58</v>
      </c>
    </row>
    <row r="4" spans="2:3" x14ac:dyDescent="0.25">
      <c r="B4" t="s">
        <v>21</v>
      </c>
      <c r="C4" t="s">
        <v>60</v>
      </c>
    </row>
    <row r="5" spans="2:3" x14ac:dyDescent="0.25">
      <c r="B5" t="s">
        <v>59</v>
      </c>
      <c r="C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5" x14ac:dyDescent="0.25"/>
  <cols>
    <col min="1" max="1" width="7.28515625" bestFit="1" customWidth="1"/>
    <col min="2" max="2" width="5.7109375" bestFit="1" customWidth="1"/>
    <col min="3" max="3" width="8.5703125" bestFit="1" customWidth="1"/>
    <col min="4" max="4" width="29.85546875" bestFit="1" customWidth="1"/>
    <col min="5" max="5" width="9.5703125" bestFit="1" customWidth="1"/>
    <col min="6" max="6" width="7.5703125" bestFit="1" customWidth="1"/>
    <col min="7" max="7" width="8.5703125" bestFit="1" customWidth="1"/>
    <col min="8" max="8" width="15.140625" bestFit="1" customWidth="1"/>
    <col min="9" max="9" width="7.42578125" bestFit="1" customWidth="1"/>
    <col min="10" max="10" width="4.85546875" bestFit="1" customWidth="1"/>
    <col min="11" max="11" width="3.85546875" bestFit="1" customWidth="1"/>
    <col min="12" max="14" width="4.7109375" bestFit="1" customWidth="1"/>
    <col min="15" max="15" width="5.140625" bestFit="1" customWidth="1"/>
  </cols>
  <sheetData>
    <row r="1" spans="1:15" x14ac:dyDescent="0.2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2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2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2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2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2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2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2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2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2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2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2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2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Y58"/>
  <sheetViews>
    <sheetView tabSelected="1" topLeftCell="E16" workbookViewId="0">
      <selection activeCell="U32" sqref="U32"/>
    </sheetView>
  </sheetViews>
  <sheetFormatPr defaultColWidth="8.85546875" defaultRowHeight="15" x14ac:dyDescent="0.25"/>
  <cols>
    <col min="3" max="3" width="14.5703125" bestFit="1" customWidth="1"/>
    <col min="4" max="4" width="12.7109375" bestFit="1" customWidth="1"/>
    <col min="5" max="5" width="11" bestFit="1" customWidth="1"/>
    <col min="6" max="6" width="41.28515625" bestFit="1" customWidth="1"/>
    <col min="7" max="7" width="10.42578125" bestFit="1" customWidth="1"/>
    <col min="9" max="9" width="5.42578125" bestFit="1" customWidth="1"/>
    <col min="10" max="10" width="5.7109375" bestFit="1" customWidth="1"/>
    <col min="11" max="11" width="5" bestFit="1" customWidth="1"/>
    <col min="13" max="13" width="6.28515625" bestFit="1" customWidth="1"/>
    <col min="14" max="14" width="4.28515625" bestFit="1" customWidth="1"/>
    <col min="16" max="16" width="11.7109375" bestFit="1" customWidth="1"/>
    <col min="17" max="17" width="10.140625" bestFit="1" customWidth="1"/>
    <col min="18" max="18" width="28.42578125" bestFit="1" customWidth="1"/>
    <col min="21" max="21" width="11.42578125" bestFit="1" customWidth="1"/>
    <col min="24" max="24" width="31.42578125" bestFit="1" customWidth="1"/>
  </cols>
  <sheetData>
    <row r="4" spans="3:25" x14ac:dyDescent="0.25">
      <c r="C4" t="s">
        <v>4</v>
      </c>
      <c r="L4" t="s">
        <v>25</v>
      </c>
      <c r="M4" t="s">
        <v>26</v>
      </c>
      <c r="N4" t="s">
        <v>21</v>
      </c>
    </row>
    <row r="5" spans="3:25" x14ac:dyDescent="0.2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5" x14ac:dyDescent="0.2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5" x14ac:dyDescent="0.2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5" x14ac:dyDescent="0.25">
      <c r="D8" t="s">
        <v>8</v>
      </c>
      <c r="E8" t="s">
        <v>57</v>
      </c>
      <c r="G8" s="1">
        <v>1</v>
      </c>
    </row>
    <row r="9" spans="3:25" x14ac:dyDescent="0.25">
      <c r="D9" t="s">
        <v>9</v>
      </c>
      <c r="E9" t="s">
        <v>14</v>
      </c>
      <c r="G9">
        <v>0.1</v>
      </c>
    </row>
    <row r="10" spans="3:25" x14ac:dyDescent="0.25">
      <c r="D10" t="s">
        <v>10</v>
      </c>
      <c r="E10" t="s">
        <v>57</v>
      </c>
      <c r="G10">
        <v>20</v>
      </c>
    </row>
    <row r="11" spans="3:25" x14ac:dyDescent="0.25">
      <c r="D11" t="s">
        <v>6</v>
      </c>
      <c r="E11" t="s">
        <v>62</v>
      </c>
      <c r="G11" s="1">
        <v>8.76</v>
      </c>
      <c r="P11" t="s">
        <v>52</v>
      </c>
    </row>
    <row r="12" spans="3:25" x14ac:dyDescent="0.25">
      <c r="P12" s="2" t="s">
        <v>25</v>
      </c>
      <c r="Q12" s="2" t="s">
        <v>40</v>
      </c>
      <c r="R12" s="2" t="s">
        <v>41</v>
      </c>
      <c r="S12">
        <v>2040</v>
      </c>
      <c r="T12" s="2" t="s">
        <v>42</v>
      </c>
      <c r="U12" t="s">
        <v>21</v>
      </c>
    </row>
    <row r="13" spans="3:25" x14ac:dyDescent="0.2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s="2">
        <v>2700</v>
      </c>
      <c r="U13" t="str">
        <f>Y13</f>
        <v>EN[_]Hydro*</v>
      </c>
      <c r="X13" t="s">
        <v>46</v>
      </c>
      <c r="Y13" t="s">
        <v>19</v>
      </c>
    </row>
    <row r="14" spans="3:25" x14ac:dyDescent="0.2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560</v>
      </c>
      <c r="R14" s="2">
        <v>380</v>
      </c>
      <c r="S14">
        <v>320</v>
      </c>
      <c r="T14" s="2">
        <v>290</v>
      </c>
      <c r="U14" t="str">
        <f t="shared" ref="U14:U16" si="0">Y14</f>
        <v>E[_]SPV*</v>
      </c>
      <c r="X14" t="s">
        <v>49</v>
      </c>
      <c r="Y14" t="s">
        <v>57</v>
      </c>
    </row>
    <row r="15" spans="3:25" x14ac:dyDescent="0.2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2780</v>
      </c>
      <c r="R15" s="2">
        <v>2390</v>
      </c>
      <c r="S15" s="2">
        <v>2140</v>
      </c>
      <c r="T15" s="2">
        <v>1990</v>
      </c>
      <c r="U15" t="str">
        <f t="shared" si="0"/>
        <v>E[_]WOF*</v>
      </c>
      <c r="X15" t="s">
        <v>50</v>
      </c>
      <c r="Y15" t="s">
        <v>55</v>
      </c>
    </row>
    <row r="16" spans="3:25" x14ac:dyDescent="0.25">
      <c r="D16" t="s">
        <v>6</v>
      </c>
      <c r="E16" t="s">
        <v>54</v>
      </c>
      <c r="G16" s="1">
        <v>8.76</v>
      </c>
      <c r="P16" s="2" t="s">
        <v>27</v>
      </c>
      <c r="Q16" s="2">
        <v>1180</v>
      </c>
      <c r="R16" s="2">
        <v>1150</v>
      </c>
      <c r="S16" s="2">
        <v>1110</v>
      </c>
      <c r="T16" s="2">
        <v>1090</v>
      </c>
      <c r="U16" t="str">
        <f t="shared" si="0"/>
        <v>E[_]WON*</v>
      </c>
      <c r="X16" t="s">
        <v>51</v>
      </c>
      <c r="Y16" t="s">
        <v>56</v>
      </c>
    </row>
    <row r="17" spans="3:25" x14ac:dyDescent="0.25">
      <c r="D17" t="s">
        <v>13</v>
      </c>
      <c r="E17" t="s">
        <v>55</v>
      </c>
      <c r="G17">
        <v>10</v>
      </c>
      <c r="P17" s="2" t="s">
        <v>30</v>
      </c>
      <c r="Q17" s="2">
        <v>70</v>
      </c>
      <c r="R17" s="2">
        <v>65</v>
      </c>
      <c r="S17" s="2">
        <v>65</v>
      </c>
      <c r="T17" s="2">
        <v>65</v>
      </c>
      <c r="U17" t="str">
        <f>U13</f>
        <v>EN[_]Hydro*</v>
      </c>
      <c r="X17" t="str">
        <f>X13</f>
        <v>Hydropower - large-scale unit</v>
      </c>
      <c r="Y17" t="str">
        <f t="shared" ref="Y17:Y24" si="1">Y13</f>
        <v>EN[_]Hydro*</v>
      </c>
    </row>
    <row r="18" spans="3:25" x14ac:dyDescent="0.25">
      <c r="D18" t="s">
        <v>13</v>
      </c>
      <c r="E18" t="s">
        <v>56</v>
      </c>
      <c r="G18">
        <v>2</v>
      </c>
      <c r="P18" s="2" t="s">
        <v>30</v>
      </c>
      <c r="Q18" s="2">
        <v>11.5</v>
      </c>
      <c r="R18" s="2">
        <v>9.5</v>
      </c>
      <c r="S18" s="2">
        <v>8.1</v>
      </c>
      <c r="T18" s="2">
        <v>7.4</v>
      </c>
      <c r="U18" t="str">
        <f t="shared" ref="U18:U24" si="2">U14</f>
        <v>E[_]SPV*</v>
      </c>
      <c r="X18" t="str">
        <f t="shared" ref="X18" si="3">X14</f>
        <v>Solar photovoltaics - Large scale unit</v>
      </c>
      <c r="Y18" t="str">
        <f t="shared" si="1"/>
        <v>E[_]SPV*</v>
      </c>
    </row>
    <row r="19" spans="3:25" x14ac:dyDescent="0.25">
      <c r="D19" t="s">
        <v>7</v>
      </c>
      <c r="E19" t="s">
        <v>54</v>
      </c>
      <c r="G19">
        <v>30</v>
      </c>
      <c r="P19" s="2" t="s">
        <v>30</v>
      </c>
      <c r="Q19" s="2">
        <v>44</v>
      </c>
      <c r="R19" s="2">
        <v>34</v>
      </c>
      <c r="S19" s="2">
        <v>30</v>
      </c>
      <c r="T19" s="2">
        <v>28</v>
      </c>
      <c r="U19" t="str">
        <f t="shared" si="2"/>
        <v>E[_]WOF*</v>
      </c>
      <c r="X19" t="str">
        <f t="shared" ref="X19" si="4">X15</f>
        <v>Wind offshore</v>
      </c>
      <c r="Y19" t="str">
        <f t="shared" si="1"/>
        <v>E[_]WOF*</v>
      </c>
    </row>
    <row r="20" spans="3:25" x14ac:dyDescent="0.25">
      <c r="D20" t="s">
        <v>8</v>
      </c>
      <c r="E20" t="s">
        <v>54</v>
      </c>
      <c r="G20">
        <v>1</v>
      </c>
      <c r="P20" s="2" t="s">
        <v>30</v>
      </c>
      <c r="Q20" s="2">
        <v>17.387</v>
      </c>
      <c r="R20" s="2">
        <v>16.663</v>
      </c>
      <c r="S20" s="2">
        <v>15.965</v>
      </c>
      <c r="T20" s="2">
        <v>15.602</v>
      </c>
      <c r="U20" t="str">
        <f t="shared" si="2"/>
        <v>E[_]WON*</v>
      </c>
      <c r="X20" t="str">
        <f t="shared" ref="X20" si="5">X16</f>
        <v>Wind onshore</v>
      </c>
      <c r="Y20" t="str">
        <f t="shared" si="1"/>
        <v>E[_]WON*</v>
      </c>
    </row>
    <row r="21" spans="3:25" x14ac:dyDescent="0.2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s="2">
        <v>4</v>
      </c>
      <c r="U21" t="str">
        <f t="shared" si="2"/>
        <v>EN[_]Hydro*</v>
      </c>
      <c r="X21" t="str">
        <f t="shared" ref="X21" si="6">X17</f>
        <v>Hydropower - large-scale unit</v>
      </c>
      <c r="Y21" t="str">
        <f t="shared" si="1"/>
        <v>EN[_]Hydro*</v>
      </c>
    </row>
    <row r="22" spans="3:25" x14ac:dyDescent="0.25">
      <c r="D22" t="s">
        <v>10</v>
      </c>
      <c r="E22" t="s">
        <v>54</v>
      </c>
      <c r="G22">
        <v>20</v>
      </c>
      <c r="P22" s="2" t="s">
        <v>31</v>
      </c>
      <c r="Q22" s="2">
        <v>0.5</v>
      </c>
      <c r="R22" s="2">
        <v>0.5</v>
      </c>
      <c r="S22" s="2">
        <v>0.5</v>
      </c>
      <c r="T22" s="2">
        <v>0.5</v>
      </c>
      <c r="U22" t="str">
        <f t="shared" si="2"/>
        <v>E[_]SPV*</v>
      </c>
      <c r="X22" t="str">
        <f t="shared" ref="X22" si="7">X18</f>
        <v>Solar photovoltaics - Large scale unit</v>
      </c>
      <c r="Y22" t="str">
        <f t="shared" si="1"/>
        <v>E[_]SPV*</v>
      </c>
    </row>
    <row r="23" spans="3:25" x14ac:dyDescent="0.25">
      <c r="P23" s="2" t="s">
        <v>31</v>
      </c>
      <c r="Q23" s="2">
        <v>5</v>
      </c>
      <c r="R23" s="2">
        <v>3.5</v>
      </c>
      <c r="S23" s="2">
        <v>3.5</v>
      </c>
      <c r="T23" s="2">
        <v>3.5</v>
      </c>
      <c r="U23" t="str">
        <f t="shared" si="2"/>
        <v>E[_]WOF*</v>
      </c>
      <c r="X23" t="str">
        <f t="shared" ref="X23" si="8">X19</f>
        <v>Wind offshore</v>
      </c>
      <c r="Y23" t="str">
        <f t="shared" si="1"/>
        <v>E[_]WOF*</v>
      </c>
    </row>
    <row r="24" spans="3:25" x14ac:dyDescent="0.25">
      <c r="P24" s="2" t="s">
        <v>31</v>
      </c>
      <c r="Q24" s="2">
        <v>1.5</v>
      </c>
      <c r="R24" s="2">
        <v>1.5</v>
      </c>
      <c r="S24" s="2">
        <v>1.5</v>
      </c>
      <c r="T24" s="2">
        <v>1.5</v>
      </c>
      <c r="U24" t="str">
        <f t="shared" si="2"/>
        <v>E[_]WON*</v>
      </c>
      <c r="X24" t="str">
        <f t="shared" ref="X24" si="9">X20</f>
        <v>Wind onshore</v>
      </c>
      <c r="Y24" t="str">
        <f t="shared" si="1"/>
        <v>E[_]WON*</v>
      </c>
    </row>
    <row r="25" spans="3:25" x14ac:dyDescent="0.25">
      <c r="P25" s="2" t="s">
        <v>78</v>
      </c>
      <c r="Q25" s="2">
        <v>0</v>
      </c>
      <c r="R25" s="2">
        <v>0</v>
      </c>
      <c r="S25" s="2">
        <v>0</v>
      </c>
      <c r="T25" s="2">
        <v>0</v>
      </c>
      <c r="U25" t="s">
        <v>57</v>
      </c>
    </row>
    <row r="26" spans="3:25" x14ac:dyDescent="0.25">
      <c r="P26" s="2" t="s">
        <v>78</v>
      </c>
      <c r="Q26" s="2">
        <v>4.41</v>
      </c>
      <c r="R26" s="2">
        <v>3.45</v>
      </c>
      <c r="S26" s="2">
        <v>3.16</v>
      </c>
      <c r="T26" s="2">
        <v>2.99</v>
      </c>
      <c r="U26" t="s">
        <v>55</v>
      </c>
    </row>
    <row r="27" spans="3:25" x14ac:dyDescent="0.25">
      <c r="C27" t="s">
        <v>4</v>
      </c>
      <c r="P27" s="2" t="s">
        <v>78</v>
      </c>
      <c r="Q27" s="2">
        <v>2.06</v>
      </c>
      <c r="R27" s="2">
        <v>1.98</v>
      </c>
      <c r="S27" s="2">
        <v>1.89</v>
      </c>
      <c r="T27" s="2">
        <v>1.85</v>
      </c>
      <c r="U27" t="s">
        <v>56</v>
      </c>
    </row>
    <row r="28" spans="3:25" x14ac:dyDescent="0.25">
      <c r="C28" t="s">
        <v>16</v>
      </c>
      <c r="D28" t="s">
        <v>1</v>
      </c>
      <c r="E28" t="s">
        <v>0</v>
      </c>
      <c r="F28" t="s">
        <v>2</v>
      </c>
      <c r="G28" t="s">
        <v>5</v>
      </c>
      <c r="P28" s="2"/>
    </row>
    <row r="29" spans="3:25" x14ac:dyDescent="0.25">
      <c r="C29" t="s">
        <v>17</v>
      </c>
      <c r="D29" t="s">
        <v>6</v>
      </c>
      <c r="G29" s="1">
        <v>8.76</v>
      </c>
      <c r="P29" s="2"/>
    </row>
    <row r="30" spans="3:25" x14ac:dyDescent="0.25">
      <c r="C30" t="s">
        <v>53</v>
      </c>
      <c r="D30" t="s">
        <v>8</v>
      </c>
      <c r="G30" s="1">
        <v>1</v>
      </c>
    </row>
    <row r="31" spans="3:25" x14ac:dyDescent="0.25">
      <c r="C31" t="s">
        <v>17</v>
      </c>
      <c r="D31" t="s">
        <v>18</v>
      </c>
      <c r="G31" s="1">
        <v>0.1</v>
      </c>
    </row>
    <row r="32" spans="3:25" x14ac:dyDescent="0.25">
      <c r="D32" t="s">
        <v>7</v>
      </c>
      <c r="E32" t="s">
        <v>19</v>
      </c>
      <c r="G32">
        <v>200</v>
      </c>
      <c r="P32" t="s">
        <v>4</v>
      </c>
    </row>
    <row r="33" spans="3:18" x14ac:dyDescent="0.25">
      <c r="D33" t="s">
        <v>10</v>
      </c>
      <c r="E33" t="s">
        <v>19</v>
      </c>
      <c r="G33">
        <v>30</v>
      </c>
      <c r="P33" t="s">
        <v>1</v>
      </c>
      <c r="Q33" t="s">
        <v>26</v>
      </c>
      <c r="R33" t="s">
        <v>21</v>
      </c>
    </row>
    <row r="34" spans="3:18" x14ac:dyDescent="0.25">
      <c r="D34" t="s">
        <v>9</v>
      </c>
      <c r="E34" t="s">
        <v>19</v>
      </c>
      <c r="G34">
        <v>1</v>
      </c>
      <c r="P34" t="s">
        <v>64</v>
      </c>
      <c r="Q34">
        <v>2030</v>
      </c>
      <c r="R34" t="s">
        <v>79</v>
      </c>
    </row>
    <row r="35" spans="3:18" x14ac:dyDescent="0.25">
      <c r="C35" t="s">
        <v>17</v>
      </c>
      <c r="D35" t="s">
        <v>12</v>
      </c>
      <c r="F35">
        <v>0</v>
      </c>
      <c r="G35">
        <v>3</v>
      </c>
    </row>
    <row r="38" spans="3:18" x14ac:dyDescent="0.25">
      <c r="C38" t="s">
        <v>20</v>
      </c>
    </row>
    <row r="39" spans="3:18" x14ac:dyDescent="0.25">
      <c r="C39" t="s">
        <v>21</v>
      </c>
      <c r="D39" t="s">
        <v>22</v>
      </c>
      <c r="E39" t="s">
        <v>23</v>
      </c>
    </row>
    <row r="40" spans="3:18" x14ac:dyDescent="0.25">
      <c r="C40" t="s">
        <v>14</v>
      </c>
      <c r="D40" t="s">
        <v>61</v>
      </c>
      <c r="E40" t="s">
        <v>24</v>
      </c>
    </row>
    <row r="41" spans="3:18" x14ac:dyDescent="0.25">
      <c r="C41" t="s">
        <v>15</v>
      </c>
      <c r="D41" t="s">
        <v>74</v>
      </c>
      <c r="E41" t="s">
        <v>24</v>
      </c>
    </row>
    <row r="42" spans="3:18" x14ac:dyDescent="0.25">
      <c r="C42" t="s">
        <v>57</v>
      </c>
      <c r="D42" t="s">
        <v>63</v>
      </c>
      <c r="E42" t="s">
        <v>24</v>
      </c>
    </row>
    <row r="43" spans="3:18" x14ac:dyDescent="0.25">
      <c r="C43" t="s">
        <v>55</v>
      </c>
      <c r="D43" t="s">
        <v>72</v>
      </c>
      <c r="E43" t="s">
        <v>24</v>
      </c>
    </row>
    <row r="44" spans="3:18" x14ac:dyDescent="0.25">
      <c r="C44" t="s">
        <v>56</v>
      </c>
      <c r="D44" t="s">
        <v>73</v>
      </c>
      <c r="E44" t="s">
        <v>24</v>
      </c>
    </row>
    <row r="47" spans="3:18" x14ac:dyDescent="0.25">
      <c r="C47" t="s">
        <v>4</v>
      </c>
    </row>
    <row r="48" spans="3:18" x14ac:dyDescent="0.25">
      <c r="C48" t="s">
        <v>1</v>
      </c>
      <c r="D48" t="s">
        <v>26</v>
      </c>
      <c r="E48" t="s">
        <v>66</v>
      </c>
      <c r="F48" t="s">
        <v>65</v>
      </c>
    </row>
    <row r="49" spans="3:8" x14ac:dyDescent="0.25">
      <c r="C49" t="s">
        <v>64</v>
      </c>
      <c r="D49">
        <v>2030</v>
      </c>
      <c r="E49" s="3" t="s">
        <v>67</v>
      </c>
      <c r="F49" t="s">
        <v>68</v>
      </c>
    </row>
    <row r="50" spans="3:8" x14ac:dyDescent="0.25">
      <c r="C50" t="s">
        <v>69</v>
      </c>
      <c r="D50">
        <v>40</v>
      </c>
      <c r="E50" s="3" t="s">
        <v>70</v>
      </c>
      <c r="F50" t="s">
        <v>71</v>
      </c>
    </row>
    <row r="55" spans="3:8" x14ac:dyDescent="0.25">
      <c r="H55" t="s">
        <v>77</v>
      </c>
    </row>
    <row r="56" spans="3:8" x14ac:dyDescent="0.25">
      <c r="C56" t="s">
        <v>4</v>
      </c>
    </row>
    <row r="57" spans="3:8" x14ac:dyDescent="0.25">
      <c r="C57" t="s">
        <v>1</v>
      </c>
      <c r="D57" t="s">
        <v>26</v>
      </c>
      <c r="E57" t="s">
        <v>66</v>
      </c>
      <c r="F57" t="s">
        <v>75</v>
      </c>
    </row>
    <row r="58" spans="3:8" x14ac:dyDescent="0.25">
      <c r="C58" t="s">
        <v>64</v>
      </c>
      <c r="D58">
        <v>2030</v>
      </c>
      <c r="E58" s="3" t="s">
        <v>67</v>
      </c>
      <c r="F58" t="s">
        <v>76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Kristopher Raik</cp:lastModifiedBy>
  <dcterms:created xsi:type="dcterms:W3CDTF">2016-10-05T11:02:08Z</dcterms:created>
  <dcterms:modified xsi:type="dcterms:W3CDTF">2026-03-24T11:22:47Z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