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AB248CC2-2E77-4824-ACA8-5FA8EF37019E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4" l="1"/>
  <c r="M60" i="4" s="1"/>
  <c r="L56" i="4"/>
  <c r="L60" i="4" s="1"/>
  <c r="M55" i="4"/>
  <c r="M59" i="4" s="1"/>
  <c r="L55" i="4"/>
  <c r="L59" i="4" s="1"/>
  <c r="M54" i="4"/>
  <c r="M58" i="4" s="1"/>
  <c r="L54" i="4"/>
  <c r="L58" i="4" s="1"/>
  <c r="M53" i="4"/>
  <c r="M57" i="4" s="1"/>
  <c r="L53" i="4"/>
  <c r="L57" i="4" s="1"/>
  <c r="I52" i="4"/>
  <c r="I56" i="4" s="1"/>
  <c r="I60" i="4" s="1"/>
  <c r="I51" i="4"/>
  <c r="I55" i="4" s="1"/>
  <c r="I59" i="4" s="1"/>
  <c r="I50" i="4"/>
  <c r="I54" i="4" s="1"/>
  <c r="I58" i="4" s="1"/>
  <c r="I49" i="4"/>
  <c r="I53" i="4" s="1"/>
  <c r="I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50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1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2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<sst xmlns="http://schemas.openxmlformats.org/spreadsheetml/2006/main" count="156" uniqueCount="73">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</sst>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164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5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4" fillId="3" borderId="1" xfId="1" applyNumberFormat="1" applyFont="1" applyFill="1" applyBorder="1"/>
    <xf numFmtId="0" fontId="5" fillId="0" borderId="0" xfId="1" applyFont="1" applyFill="1" applyBorder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0" dT="2026-03-18T13:56:27.06" personId="{50AE587C-9924-43E9-9BB9-052BDB346AE2}" id="{80A2C193-6148-4AA7-9B62-06322F60E0BF}">
    <text>Utility-scale PV</text>
  </threadedComment>
  <threadedComment ref="I51" dT="2026-03-18T13:39:46.05" personId="{50AE587C-9924-43E9-9BB9-052BDB346AE2}" id="{E6F93F18-BBEF-4E19-B2D0-A493D668847A}">
    <text>AC fixed</text>
  </threadedComment>
  <threadedComment ref="I62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1"/>
  <sheetViews>
    <sheetView tabSelected="1" topLeftCell="A28" workbookViewId="0">
      <selection activeCell="O35" sqref="O35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10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0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58</v>
      </c>
      <c r="J33" s="9" t="s">
        <v>60</v>
      </c>
    </row>
    <row r="34" spans="2:10" x14ac:dyDescent="0.25">
      <c r="D34" t="s">
        <v>40</v>
      </c>
      <c r="F34">
        <v>2030</v>
      </c>
      <c r="G34" t="s">
        <v>49</v>
      </c>
    </row>
    <row r="35" spans="2:10" x14ac:dyDescent="0.25">
      <c r="D35" t="s">
        <v>40</v>
      </c>
      <c r="F35">
        <v>2035</v>
      </c>
      <c r="G35" t="s">
        <v>31</v>
      </c>
    </row>
    <row r="36" spans="2:10" x14ac:dyDescent="0.25">
      <c r="D36" t="s">
        <v>40</v>
      </c>
      <c r="F36">
        <v>2036</v>
      </c>
      <c r="G36" t="s">
        <v>51</v>
      </c>
    </row>
    <row r="37" spans="2:10" x14ac:dyDescent="0.25">
      <c r="D37" t="s">
        <v>40</v>
      </c>
      <c r="F37">
        <v>2030</v>
      </c>
      <c r="G37" t="s">
        <v>53</v>
      </c>
    </row>
    <row r="38" spans="2:10" x14ac:dyDescent="0.25">
      <c r="D38" t="s">
        <v>40</v>
      </c>
      <c r="F38">
        <v>2030</v>
      </c>
      <c r="H38" s="3" t="s">
        <v>41</v>
      </c>
      <c r="J38" t="s">
        <v>52</v>
      </c>
    </row>
    <row r="39" spans="2:10" x14ac:dyDescent="0.25">
      <c r="D39" t="s">
        <v>42</v>
      </c>
      <c r="F39">
        <v>40</v>
      </c>
      <c r="H39" s="3" t="s">
        <v>43</v>
      </c>
      <c r="J39" t="s">
        <v>50</v>
      </c>
    </row>
    <row r="40" spans="2:10" x14ac:dyDescent="0.25">
      <c r="D40" t="s">
        <v>40</v>
      </c>
      <c r="F40">
        <v>2030</v>
      </c>
      <c r="H40" s="3" t="s">
        <v>41</v>
      </c>
      <c r="I40" t="s">
        <v>47</v>
      </c>
    </row>
    <row r="41" spans="2:10" x14ac:dyDescent="0.25">
      <c r="D41" t="s">
        <v>40</v>
      </c>
      <c r="F41">
        <v>2030</v>
      </c>
      <c r="G41" t="s">
        <v>49</v>
      </c>
    </row>
    <row r="42" spans="2:10" x14ac:dyDescent="0.25">
      <c r="D42" t="s">
        <v>40</v>
      </c>
      <c r="F42">
        <v>2035</v>
      </c>
      <c r="G42" t="s">
        <v>31</v>
      </c>
    </row>
    <row r="43" spans="2:10" x14ac:dyDescent="0.25">
      <c r="D43" t="s">
        <v>40</v>
      </c>
      <c r="F43">
        <v>2036</v>
      </c>
      <c r="G43" t="s">
        <v>51</v>
      </c>
    </row>
    <row r="44" spans="2:10" x14ac:dyDescent="0.25">
      <c r="D44" t="s">
        <v>40</v>
      </c>
      <c r="F44">
        <v>2030</v>
      </c>
      <c r="G44" t="s">
        <v>53</v>
      </c>
    </row>
    <row r="47" spans="2:10" x14ac:dyDescent="0.25">
      <c r="B47" s="7" t="s">
        <v>28</v>
      </c>
      <c r="C47" s="4"/>
      <c r="D47" s="4"/>
      <c r="E47" s="4"/>
    </row>
    <row r="48" spans="2:10" ht="15.75" thickBot="1" x14ac:dyDescent="0.3">
      <c r="B48" s="8" t="s">
        <v>54</v>
      </c>
      <c r="C48" s="8" t="s">
        <v>2</v>
      </c>
      <c r="D48" s="8" t="s">
        <v>0</v>
      </c>
      <c r="E48" s="13">
        <v>2023</v>
      </c>
      <c r="F48" s="13">
        <v>2030</v>
      </c>
      <c r="G48" s="10">
        <v>2040</v>
      </c>
      <c r="H48" s="13">
        <v>2050</v>
      </c>
      <c r="I48" s="12" t="s">
        <v>69</v>
      </c>
    </row>
    <row r="49" spans="4:13" x14ac:dyDescent="0.25">
      <c r="D49" s="2" t="s">
        <v>21</v>
      </c>
      <c r="E49" s="2">
        <v>2700</v>
      </c>
      <c r="F49" s="2">
        <v>2700</v>
      </c>
      <c r="G49" s="2">
        <v>2700</v>
      </c>
      <c r="H49" s="2">
        <v>2700</v>
      </c>
      <c r="I49" t="str">
        <f>M49</f>
        <v>EN[_]Hydro*</v>
      </c>
      <c r="L49" t="s">
        <v>24</v>
      </c>
      <c r="M49" t="s">
        <v>17</v>
      </c>
    </row>
    <row r="50" spans="4:13" x14ac:dyDescent="0.25">
      <c r="D50" s="2" t="s">
        <v>21</v>
      </c>
      <c r="E50" s="2">
        <v>560</v>
      </c>
      <c r="F50" s="2">
        <v>380</v>
      </c>
      <c r="G50">
        <v>320</v>
      </c>
      <c r="H50" s="2">
        <v>290</v>
      </c>
      <c r="I50" t="str">
        <f t="shared" ref="I50:I52" si="0">M50</f>
        <v>E[_]SPV*</v>
      </c>
      <c r="L50" t="s">
        <v>25</v>
      </c>
      <c r="M50" t="s">
        <v>33</v>
      </c>
    </row>
    <row r="51" spans="4:13" x14ac:dyDescent="0.25">
      <c r="D51" s="2" t="s">
        <v>21</v>
      </c>
      <c r="E51" s="2">
        <v>2780</v>
      </c>
      <c r="F51" s="2">
        <v>2390</v>
      </c>
      <c r="G51" s="2">
        <v>2140</v>
      </c>
      <c r="H51" s="2">
        <v>1990</v>
      </c>
      <c r="I51" t="str">
        <f t="shared" si="0"/>
        <v>E[_]WOF*</v>
      </c>
      <c r="L51" t="s">
        <v>26</v>
      </c>
      <c r="M51" t="s">
        <v>31</v>
      </c>
    </row>
    <row r="52" spans="4:13" x14ac:dyDescent="0.25">
      <c r="D52" s="2" t="s">
        <v>21</v>
      </c>
      <c r="E52" s="2">
        <v>1180</v>
      </c>
      <c r="F52" s="2">
        <v>1150</v>
      </c>
      <c r="G52" s="2">
        <v>1110</v>
      </c>
      <c r="H52" s="2">
        <v>1090</v>
      </c>
      <c r="I52" t="str">
        <f t="shared" si="0"/>
        <v>E[_]WON*</v>
      </c>
      <c r="L52" t="s">
        <v>27</v>
      </c>
      <c r="M52" t="s">
        <v>32</v>
      </c>
    </row>
    <row r="53" spans="4:13" x14ac:dyDescent="0.25">
      <c r="D53" s="2" t="s">
        <v>22</v>
      </c>
      <c r="E53" s="2">
        <v>70</v>
      </c>
      <c r="F53" s="2">
        <v>65</v>
      </c>
      <c r="G53" s="2">
        <v>65</v>
      </c>
      <c r="H53" s="2">
        <v>65</v>
      </c>
      <c r="I53" t="str">
        <f>I49</f>
        <v>EN[_]Hydro*</v>
      </c>
      <c r="L53" t="str">
        <f>L49</f>
        <v>Hydropower - large-scale unit</v>
      </c>
      <c r="M53" t="str">
        <f t="shared" ref="M53:M60" si="1">M49</f>
        <v>EN[_]Hydro*</v>
      </c>
    </row>
    <row r="54" spans="4:13" x14ac:dyDescent="0.25">
      <c r="D54" s="2" t="s">
        <v>22</v>
      </c>
      <c r="E54" s="2">
        <v>11.5</v>
      </c>
      <c r="F54" s="2">
        <v>9.5</v>
      </c>
      <c r="G54" s="2">
        <v>8.1</v>
      </c>
      <c r="H54" s="2">
        <v>7.4</v>
      </c>
      <c r="I54" t="str">
        <f t="shared" ref="I54:I60" si="2">I50</f>
        <v>E[_]SPV*</v>
      </c>
      <c r="L54" t="str">
        <f t="shared" ref="L54" si="3">L50</f>
        <v>Solar photovoltaics - Large scale unit</v>
      </c>
      <c r="M54" t="str">
        <f t="shared" si="1"/>
        <v>E[_]SPV*</v>
      </c>
    </row>
    <row r="55" spans="4:13" x14ac:dyDescent="0.25">
      <c r="D55" s="2" t="s">
        <v>22</v>
      </c>
      <c r="E55" s="2">
        <v>44</v>
      </c>
      <c r="F55" s="2">
        <v>34</v>
      </c>
      <c r="G55" s="2">
        <v>30</v>
      </c>
      <c r="H55" s="2">
        <v>28</v>
      </c>
      <c r="I55" t="str">
        <f t="shared" si="2"/>
        <v>E[_]WOF*</v>
      </c>
      <c r="L55" t="str">
        <f t="shared" ref="L55" si="4">L51</f>
        <v>Wind offshore</v>
      </c>
      <c r="M55" t="str">
        <f t="shared" si="1"/>
        <v>E[_]WOF*</v>
      </c>
    </row>
    <row r="56" spans="4:13" x14ac:dyDescent="0.25">
      <c r="D56" s="2" t="s">
        <v>22</v>
      </c>
      <c r="E56" s="2">
        <v>17.387</v>
      </c>
      <c r="F56" s="2">
        <v>16.663</v>
      </c>
      <c r="G56" s="2">
        <v>15.965</v>
      </c>
      <c r="H56" s="2">
        <v>15.602</v>
      </c>
      <c r="I56" t="str">
        <f t="shared" si="2"/>
        <v>E[_]WON*</v>
      </c>
      <c r="L56" t="str">
        <f t="shared" ref="L56" si="5">L52</f>
        <v>Wind onshore</v>
      </c>
      <c r="M56" t="str">
        <f t="shared" si="1"/>
        <v>E[_]WON*</v>
      </c>
    </row>
    <row r="57" spans="4:13" x14ac:dyDescent="0.25">
      <c r="D57" s="2" t="s">
        <v>23</v>
      </c>
      <c r="E57" s="2">
        <v>4</v>
      </c>
      <c r="F57" s="2">
        <v>4</v>
      </c>
      <c r="G57" s="2">
        <v>4</v>
      </c>
      <c r="H57" s="2">
        <v>4</v>
      </c>
      <c r="I57" t="str">
        <f t="shared" si="2"/>
        <v>EN[_]Hydro*</v>
      </c>
      <c r="L57" t="str">
        <f t="shared" ref="L57" si="6">L53</f>
        <v>Hydropower - large-scale unit</v>
      </c>
      <c r="M57" t="str">
        <f t="shared" si="1"/>
        <v>EN[_]Hydro*</v>
      </c>
    </row>
    <row r="58" spans="4:13" x14ac:dyDescent="0.25">
      <c r="D58" s="2" t="s">
        <v>23</v>
      </c>
      <c r="E58" s="2">
        <v>0.5</v>
      </c>
      <c r="F58" s="2">
        <v>0.5</v>
      </c>
      <c r="G58" s="2">
        <v>0.5</v>
      </c>
      <c r="H58" s="2">
        <v>0.5</v>
      </c>
      <c r="I58" t="str">
        <f t="shared" si="2"/>
        <v>E[_]SPV*</v>
      </c>
      <c r="L58" t="str">
        <f t="shared" ref="L58" si="7">L54</f>
        <v>Solar photovoltaics - Large scale unit</v>
      </c>
      <c r="M58" t="str">
        <f t="shared" si="1"/>
        <v>E[_]SPV*</v>
      </c>
    </row>
    <row r="59" spans="4:13" x14ac:dyDescent="0.25">
      <c r="D59" s="2" t="s">
        <v>23</v>
      </c>
      <c r="E59" s="2">
        <v>5</v>
      </c>
      <c r="F59" s="2">
        <v>3.5</v>
      </c>
      <c r="G59" s="2">
        <v>3.5</v>
      </c>
      <c r="H59" s="2">
        <v>3.5</v>
      </c>
      <c r="I59" t="str">
        <f t="shared" si="2"/>
        <v>E[_]WOF*</v>
      </c>
      <c r="L59" t="str">
        <f t="shared" ref="L59" si="8">L55</f>
        <v>Wind offshore</v>
      </c>
      <c r="M59" t="str">
        <f t="shared" si="1"/>
        <v>E[_]WOF*</v>
      </c>
    </row>
    <row r="60" spans="4:13" x14ac:dyDescent="0.25">
      <c r="D60" s="2" t="s">
        <v>23</v>
      </c>
      <c r="E60" s="2">
        <v>1.5</v>
      </c>
      <c r="F60" s="2">
        <v>1.5</v>
      </c>
      <c r="G60" s="2">
        <v>1.5</v>
      </c>
      <c r="H60" s="2">
        <v>1.5</v>
      </c>
      <c r="I60" t="str">
        <f t="shared" si="2"/>
        <v>E[_]WON*</v>
      </c>
      <c r="L60" t="str">
        <f t="shared" ref="L60" si="9">L56</f>
        <v>Wind onshore</v>
      </c>
      <c r="M60" t="str">
        <f t="shared" si="1"/>
        <v>E[_]WON*</v>
      </c>
    </row>
    <row r="61" spans="4:13" x14ac:dyDescent="0.25">
      <c r="D61" s="2" t="s">
        <v>48</v>
      </c>
      <c r="E61" s="2">
        <v>0</v>
      </c>
      <c r="F61" s="2">
        <v>0</v>
      </c>
      <c r="G61" s="2">
        <v>0</v>
      </c>
      <c r="H61" s="2">
        <v>0</v>
      </c>
      <c r="I61" t="s">
        <v>33</v>
      </c>
    </row>
    <row r="62" spans="4:13" x14ac:dyDescent="0.25">
      <c r="D62" s="2" t="s">
        <v>48</v>
      </c>
      <c r="E62" s="2">
        <v>4.41</v>
      </c>
      <c r="F62" s="2">
        <v>3.45</v>
      </c>
      <c r="G62" s="2">
        <v>3.16</v>
      </c>
      <c r="H62" s="2">
        <v>2.99</v>
      </c>
      <c r="I62" t="s">
        <v>31</v>
      </c>
    </row>
    <row r="63" spans="4:13" x14ac:dyDescent="0.25">
      <c r="D63" s="2" t="s">
        <v>48</v>
      </c>
      <c r="E63" s="2">
        <v>2.06</v>
      </c>
      <c r="F63" s="2">
        <v>1.98</v>
      </c>
      <c r="G63" s="2">
        <v>1.89</v>
      </c>
      <c r="H63" s="2">
        <v>1.85</v>
      </c>
      <c r="I63" t="s">
        <v>32</v>
      </c>
    </row>
    <row r="65" spans="2:10" x14ac:dyDescent="0.25">
      <c r="B65" s="7" t="s">
        <v>18</v>
      </c>
      <c r="C65" s="4"/>
      <c r="D65" s="4"/>
      <c r="E65" s="4"/>
    </row>
    <row r="66" spans="2:10" ht="15.75" thickBot="1" x14ac:dyDescent="0.3">
      <c r="B66" s="8" t="s">
        <v>54</v>
      </c>
      <c r="C66" s="8" t="s">
        <v>2</v>
      </c>
      <c r="D66" s="8" t="s">
        <v>0</v>
      </c>
      <c r="E66" s="8" t="s">
        <v>1</v>
      </c>
      <c r="F66" s="10" t="s">
        <v>68</v>
      </c>
      <c r="G66" s="12" t="s">
        <v>69</v>
      </c>
      <c r="H66" s="9" t="s">
        <v>71</v>
      </c>
      <c r="I66" s="9" t="s">
        <v>72</v>
      </c>
      <c r="J66" s="14"/>
    </row>
    <row r="67" spans="2:10" x14ac:dyDescent="0.25">
      <c r="G67" t="s">
        <v>13</v>
      </c>
      <c r="H67" t="s">
        <v>37</v>
      </c>
      <c r="I67" t="s">
        <v>20</v>
      </c>
    </row>
    <row r="68" spans="2:10" x14ac:dyDescent="0.25">
      <c r="G68" t="s">
        <v>14</v>
      </c>
      <c r="H68" t="s">
        <v>46</v>
      </c>
      <c r="I68" t="s">
        <v>20</v>
      </c>
    </row>
    <row r="69" spans="2:10" x14ac:dyDescent="0.25">
      <c r="G69" t="s">
        <v>33</v>
      </c>
      <c r="H69" t="s">
        <v>39</v>
      </c>
      <c r="I69" t="s">
        <v>20</v>
      </c>
    </row>
    <row r="70" spans="2:10" x14ac:dyDescent="0.25">
      <c r="G70" t="s">
        <v>31</v>
      </c>
      <c r="H70" t="s">
        <v>44</v>
      </c>
      <c r="I70" t="s">
        <v>20</v>
      </c>
    </row>
    <row r="71" spans="2:10" x14ac:dyDescent="0.25">
      <c r="G71" t="s">
        <v>32</v>
      </c>
      <c r="H71" t="s">
        <v>45</v>
      </c>
      <c r="I71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2026-05-28T10:45:48Z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