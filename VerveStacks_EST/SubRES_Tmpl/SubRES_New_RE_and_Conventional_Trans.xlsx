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30ECE5CC-BC7B-433E-88E1-6FF8D6BFBDC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VA" sheetId="6" r:id="rId1"/>
    <sheet name="Misc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6" i="4" l="1"/>
  <c r="M60" i="4" s="1"/>
  <c r="L56" i="4"/>
  <c r="L60" i="4" s="1"/>
  <c r="M55" i="4"/>
  <c r="M59" i="4" s="1"/>
  <c r="L55" i="4"/>
  <c r="L59" i="4" s="1"/>
  <c r="M54" i="4"/>
  <c r="M58" i="4" s="1"/>
  <c r="L54" i="4"/>
  <c r="L58" i="4" s="1"/>
  <c r="M53" i="4"/>
  <c r="M57" i="4" s="1"/>
  <c r="L53" i="4"/>
  <c r="L57" i="4" s="1"/>
  <c r="I52" i="4"/>
  <c r="I56" i="4" s="1"/>
  <c r="I60" i="4" s="1"/>
  <c r="I51" i="4"/>
  <c r="I55" i="4" s="1"/>
  <c r="I59" i="4" s="1"/>
  <c r="I50" i="4"/>
  <c r="I54" i="4" s="1"/>
  <c r="I58" i="4" s="1"/>
  <c r="I49" i="4"/>
  <c r="I53" i="4" s="1"/>
  <c r="I5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I50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I51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I62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<sst xmlns="http://schemas.openxmlformats.org/spreadsheetml/2006/main" count="143" uniqueCount="73">
  <si>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</si>
  <si>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</si>
  <si>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</si>
  <si>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</si>
  <si>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</si>
  <si>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</si>
  <si>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</si>
  <si>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</si>
  <si>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</si>
  <si>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</si>
  <si>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</si>
  <si>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</si>
  <si>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</si>
  <si>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</si>
  <si>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</si>
  <si>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ELE</t>
  </si>
  <si>
    <t>NCAP_DRATE</t>
  </si>
  <si>
    <t>EN[_]Hydro*</t>
  </si>
  <si>
    <t>~TFM_TOPINS</t>
  </si>
  <si>
    <t>process</t>
  </si>
  <si>
    <t>IN</t>
  </si>
  <si>
    <t>ncap_cost</t>
  </si>
  <si>
    <t>ncap_fom</t>
  </si>
  <si>
    <t>ncap_iled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</si>
  <si>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</si>
  <si>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</si>
  <si>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</si>
  <si>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</si>
  <si>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</si>
  <si>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</si>
  <si>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</si>
  <si>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</si>
  <si>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</si>
  <si>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</si>
  <si>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</si>
  <si>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</si>
  <si>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</si>
  <si>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</si>
  <si>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</si>
  <si>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</si>
  <si>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</si>
  <si>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-pasti</t>
  </si>
  <si>
    <t>life</t>
  </si>
  <si>
    <t>-life</t>
  </si>
  <si>
    <t>windoff</t>
  </si>
  <si>
    <t>windon</t>
  </si>
  <si>
    <t>ELC_wo*</t>
  </si>
  <si>
    <t>EN_STG8hbNREL,EN_STG4hbNREL</t>
  </si>
  <si>
    <t>act_cost</t>
  </si>
  <si>
    <t>E[_]SPV*,E[_]WON*</t>
  </si>
  <si>
    <t>coal,gas,bioenergy,nuclear</t>
  </si>
  <si>
    <t>Fermi Nuclear</t>
  </si>
  <si>
    <t>solar,wind,coal,gas,hydro,bioenergy</t>
  </si>
  <si>
    <t>Nuclear large</t>
  </si>
  <si>
    <t>TimeSlice</t>
  </si>
  <si>
    <t>REG1</t>
  </si>
  <si>
    <t>REG2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</si>
  <si>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</si>
  <si>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</si>
  <si>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</si>
  <si>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</si>
  <si>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</si>
  <si>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</si>
  <si>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</si>
  <si>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</si>
  <si>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*Wind processes</t>
  </si>
  <si>
    <t>*Solar processes</t>
  </si>
  <si>
    <t>*misc.</t>
  </si>
  <si>
    <t>Value</t>
  </si>
  <si>
    <t>Process</t>
  </si>
  <si>
    <t>Attrib_cond</t>
  </si>
  <si>
    <t>Commodity</t>
  </si>
  <si>
    <t>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</si>
</sst>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  <charset val="186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3" fillId="0" borderId="0"/>
    <xf numFmtId="43" fontId="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7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</cellStyleXfs>
  <cellXfs count="1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3" fillId="0" borderId="0" xfId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6" fillId="0" borderId="0" xfId="1" applyFont="1"/>
    <xf numFmtId="0" fontId="4" fillId="2" borderId="1" xfId="1" applyFont="1" applyFill="1" applyBorder="1"/>
    <xf numFmtId="0" fontId="5" fillId="2" borderId="1" xfId="1" applyFont="1" applyFill="1" applyBorder="1"/>
    <xf numFmtId="0" fontId="4" fillId="3" borderId="1" xfId="1" applyFont="1" applyFill="1" applyBorder="1"/>
    <xf numFmtId="0" fontId="0" fillId="4" borderId="0" xfId="0" applyFill="1"/>
    <xf numFmtId="0" fontId="8" fillId="2" borderId="1" xfId="1" applyFont="1" applyFill="1" applyBorder="1"/>
    <xf numFmtId="0" fontId="5" fillId="0" borderId="0" xfId="1" applyFont="1"/>
  </cellXfs>
  <cellStyles count="14">
    <cellStyle name="Comma 2" xfId="2" xr:uid="{9640D755-0D23-4E24-A066-51A16F3F8D30}"/>
    <cellStyle name="Normal" xfId="0" builtinId="0"/>
    <cellStyle name="Normal 10" xfId="3" xr:uid="{E4A5159A-B26C-4F72-91F3-D9BABE251B63}"/>
    <cellStyle name="Normal 2" xfId="4" xr:uid="{DF1C4408-BDD9-40B3-BFA8-B19BDD8ADF06}"/>
    <cellStyle name="Normal 3" xfId="1" xr:uid="{542BE5EA-BE9B-449F-AB33-2F5E2D451946}"/>
    <cellStyle name="Normal 4" xfId="5" xr:uid="{839F871C-9E41-4C40-B4A0-98CA283BCB57}"/>
    <cellStyle name="Normal 4 2" xfId="6" xr:uid="{1ABAD494-2CB9-4E22-B3F0-FB9900A25DAA}"/>
    <cellStyle name="Normal 8" xfId="7" xr:uid="{C0EB0485-5128-4108-840A-F53F4FBBF326}"/>
    <cellStyle name="Normal 9 2" xfId="8" xr:uid="{AA3D78E0-F2D0-482B-BF43-3F9483185270}"/>
    <cellStyle name="Normale_B2020" xfId="9" xr:uid="{8BCC8DB0-0E21-48C2-95EC-D66A500AAAA1}"/>
    <cellStyle name="Percent 2" xfId="10" xr:uid="{8ADBFE8B-31A0-437B-A8F8-56B58EAAC264}"/>
    <cellStyle name="Percent 3" xfId="11" xr:uid="{D68186D9-D65F-48A8-B8D8-F227429B1065}"/>
    <cellStyle name="Percent 4" xfId="12" xr:uid="{3F701476-84F0-42A5-B9ED-46C80C47A1CF}"/>
    <cellStyle name="Standard_Sce_D_Extraction" xfId="13" xr:uid="{C4629CCA-2416-4A9D-8F70-60F4204CB3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0" dT="2026-03-18T13:56:27.06" personId="{50AE587C-9924-43E9-9BB9-052BDB346AE2}" id="{80A2C193-6148-4AA7-9B62-06322F60E0BF}">
    <text>Utility-scale PV</text>
  </threadedComment>
  <threadedComment ref="I51" dT="2026-03-18T13:39:46.05" personId="{50AE587C-9924-43E9-9BB9-052BDB346AE2}" id="{E6F93F18-BBEF-4E19-B2D0-A493D668847A}">
    <text>AC fixed</text>
  </threadedComment>
  <threadedComment ref="I62" dT="2026-03-18T13:39:46.05" personId="{50AE587C-9924-43E9-9BB9-052BDB346AE2}" id="{9326A9B6-D94C-4ED3-9FB8-434C0D4AC388}">
    <text>AC fixed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3" x14ac:dyDescent="0.25">
      <c r="B3" t="s">
        <v>34</v>
      </c>
    </row>
    <row r="4" spans="2:3" x14ac:dyDescent="0.25">
      <c r="B4" t="s">
        <v>19</v>
      </c>
      <c r="C4" t="s">
        <v>36</v>
      </c>
    </row>
    <row r="5" spans="2:3" x14ac:dyDescent="0.25">
      <c r="B5" t="s">
        <v>35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V71"/>
  <sheetViews>
    <sheetView tabSelected="1" topLeftCell="A38" workbookViewId="0">
      <selection activeCell="F70" sqref="F70"/>
    </sheetView>
  </sheetViews>
  <sheetFormatPr defaultColWidth="8.85546875" defaultRowHeight="15" x14ac:dyDescent="0.25"/>
  <cols>
    <col min="2" max="2" width="14.140625" bestFit="1" customWidth="1"/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8.85546875" bestFit="1" customWidth="1"/>
    <col min="8" max="8" width="10.42578125" bestFit="1" customWidth="1"/>
    <col min="9" max="9" width="31.140625" bestFit="1" customWidth="1"/>
    <col min="10" max="10" width="8.85546875" bestFit="1" customWidth="1"/>
    <col min="11" max="11" width="10.710937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6" bestFit="1" customWidth="1"/>
    <col min="18" max="18" width="28.42578125" bestFit="1" customWidth="1"/>
    <col min="21" max="21" width="11.42578125" bestFit="1" customWidth="1"/>
    <col min="24" max="24" width="31.42578125" bestFit="1" customWidth="1"/>
  </cols>
  <sheetData>
    <row r="2" spans="2:22" x14ac:dyDescent="0.25">
      <c r="B2" s="7" t="s">
        <v>3</v>
      </c>
      <c r="C2" s="4"/>
      <c r="D2" s="4"/>
      <c r="E2" s="4"/>
      <c r="F2" s="4"/>
      <c r="G2" s="4"/>
      <c r="H2" s="4"/>
      <c r="I2" s="6"/>
      <c r="J2" s="5"/>
      <c r="K2" s="5"/>
      <c r="L2" s="5"/>
      <c r="M2" s="5"/>
      <c r="N2" s="5"/>
      <c r="O2" s="5"/>
      <c r="P2" s="5"/>
    </row>
    <row r="3" spans="2:22" ht="15.75" thickBot="1" x14ac:dyDescent="0.3">
      <c r="B3" s="8" t="s">
        <v>54</v>
      </c>
      <c r="C3" s="8" t="s">
        <v>2</v>
      </c>
      <c r="D3" s="8" t="s">
        <v>0</v>
      </c>
      <c r="E3" s="8" t="s">
        <v>1</v>
      </c>
      <c r="F3" s="10" t="s">
        <v>4</v>
      </c>
      <c r="G3" s="10" t="s">
        <v>55</v>
      </c>
      <c r="H3" s="10" t="s">
        <v>56</v>
      </c>
      <c r="I3" s="9" t="s">
        <v>57</v>
      </c>
      <c r="J3" s="9" t="s">
        <v>58</v>
      </c>
      <c r="K3" s="9" t="s">
        <v>59</v>
      </c>
      <c r="L3" s="9" t="s">
        <v>60</v>
      </c>
      <c r="M3" s="9" t="s">
        <v>61</v>
      </c>
      <c r="N3" s="9" t="s">
        <v>62</v>
      </c>
      <c r="O3" s="9" t="s">
        <v>63</v>
      </c>
      <c r="P3" s="9" t="s">
        <v>64</v>
      </c>
    </row>
    <row r="4" spans="2:22" x14ac:dyDescent="0.25">
      <c r="J4" s="11" t="s">
        <v>65</v>
      </c>
    </row>
    <row r="5" spans="2:22" x14ac:dyDescent="0.25">
      <c r="C5" t="s">
        <v>10</v>
      </c>
      <c r="D5" t="s">
        <v>11</v>
      </c>
      <c r="E5">
        <v>0</v>
      </c>
      <c r="F5">
        <v>3</v>
      </c>
      <c r="J5" t="s">
        <v>30</v>
      </c>
    </row>
    <row r="6" spans="2:22" x14ac:dyDescent="0.25">
      <c r="D6" t="s">
        <v>5</v>
      </c>
      <c r="F6" s="1">
        <v>8.76</v>
      </c>
      <c r="J6" t="s">
        <v>30</v>
      </c>
    </row>
    <row r="7" spans="2:22" x14ac:dyDescent="0.25">
      <c r="D7" t="s">
        <v>12</v>
      </c>
      <c r="F7">
        <v>10</v>
      </c>
      <c r="J7" t="s">
        <v>31</v>
      </c>
    </row>
    <row r="8" spans="2:22" x14ac:dyDescent="0.25">
      <c r="D8" t="s">
        <v>12</v>
      </c>
      <c r="F8">
        <v>2</v>
      </c>
      <c r="J8" t="s">
        <v>32</v>
      </c>
    </row>
    <row r="9" spans="2:22" x14ac:dyDescent="0.25">
      <c r="D9" t="s">
        <v>6</v>
      </c>
      <c r="F9">
        <v>30</v>
      </c>
      <c r="J9" t="s">
        <v>30</v>
      </c>
    </row>
    <row r="10" spans="2:22" x14ac:dyDescent="0.25">
      <c r="D10" t="s">
        <v>7</v>
      </c>
      <c r="F10">
        <v>1</v>
      </c>
      <c r="J10" t="s">
        <v>30</v>
      </c>
    </row>
    <row r="11" spans="2:22" x14ac:dyDescent="0.25">
      <c r="D11" t="s">
        <v>8</v>
      </c>
      <c r="F11">
        <v>0.25</v>
      </c>
      <c r="J11" t="s">
        <v>14</v>
      </c>
    </row>
    <row r="12" spans="2:22" x14ac:dyDescent="0.25">
      <c r="D12" t="s">
        <v>9</v>
      </c>
      <c r="F12">
        <v>20</v>
      </c>
      <c r="J12" t="s">
        <v>30</v>
      </c>
      <c r="R12" s="2"/>
      <c r="S12" s="2"/>
      <c r="T12" s="2"/>
      <c r="V12" s="2"/>
    </row>
    <row r="13" spans="2:22" x14ac:dyDescent="0.25">
      <c r="J13" s="11" t="s">
        <v>66</v>
      </c>
    </row>
    <row r="14" spans="2:22" x14ac:dyDescent="0.25">
      <c r="D14" t="s">
        <v>5</v>
      </c>
      <c r="F14" s="1">
        <v>8.76</v>
      </c>
      <c r="J14" t="s">
        <v>33</v>
      </c>
    </row>
    <row r="15" spans="2:22" x14ac:dyDescent="0.25">
      <c r="D15" t="s">
        <v>6</v>
      </c>
      <c r="F15">
        <v>25</v>
      </c>
      <c r="J15" t="s">
        <v>33</v>
      </c>
    </row>
    <row r="16" spans="2:22" x14ac:dyDescent="0.25">
      <c r="D16" t="s">
        <v>7</v>
      </c>
      <c r="F16" s="1">
        <v>1</v>
      </c>
      <c r="J16" t="s">
        <v>33</v>
      </c>
    </row>
    <row r="17" spans="2:18" x14ac:dyDescent="0.25">
      <c r="D17" t="s">
        <v>8</v>
      </c>
      <c r="F17">
        <v>0.1</v>
      </c>
      <c r="J17" t="s">
        <v>13</v>
      </c>
    </row>
    <row r="18" spans="2:18" x14ac:dyDescent="0.25">
      <c r="D18" t="s">
        <v>9</v>
      </c>
      <c r="F18">
        <v>20</v>
      </c>
      <c r="J18" t="s">
        <v>33</v>
      </c>
    </row>
    <row r="19" spans="2:18" x14ac:dyDescent="0.25">
      <c r="D19" t="s">
        <v>5</v>
      </c>
      <c r="F19" s="1">
        <v>8.76</v>
      </c>
      <c r="J19" t="s">
        <v>38</v>
      </c>
    </row>
    <row r="20" spans="2:18" x14ac:dyDescent="0.25">
      <c r="J20" s="11" t="s">
        <v>67</v>
      </c>
    </row>
    <row r="21" spans="2:18" x14ac:dyDescent="0.25">
      <c r="D21" t="s">
        <v>5</v>
      </c>
      <c r="F21" s="1">
        <v>8.76</v>
      </c>
      <c r="I21" t="s">
        <v>15</v>
      </c>
    </row>
    <row r="22" spans="2:18" x14ac:dyDescent="0.25">
      <c r="D22" t="s">
        <v>7</v>
      </c>
      <c r="F22" s="1">
        <v>1</v>
      </c>
      <c r="I22" t="s">
        <v>29</v>
      </c>
    </row>
    <row r="23" spans="2:18" x14ac:dyDescent="0.25">
      <c r="D23" t="s">
        <v>16</v>
      </c>
      <c r="F23" s="1">
        <v>0.1</v>
      </c>
      <c r="I23" t="s">
        <v>15</v>
      </c>
    </row>
    <row r="24" spans="2:18" x14ac:dyDescent="0.25">
      <c r="D24" t="s">
        <v>6</v>
      </c>
      <c r="F24">
        <v>200</v>
      </c>
      <c r="J24" t="s">
        <v>17</v>
      </c>
    </row>
    <row r="25" spans="2:18" x14ac:dyDescent="0.25">
      <c r="D25" t="s">
        <v>9</v>
      </c>
      <c r="F25">
        <v>30</v>
      </c>
      <c r="J25" t="s">
        <v>17</v>
      </c>
    </row>
    <row r="26" spans="2:18" x14ac:dyDescent="0.25">
      <c r="D26" t="s">
        <v>8</v>
      </c>
      <c r="F26">
        <v>1</v>
      </c>
      <c r="J26" t="s">
        <v>17</v>
      </c>
    </row>
    <row r="27" spans="2:18" x14ac:dyDescent="0.25">
      <c r="D27" t="s">
        <v>11</v>
      </c>
      <c r="E27">
        <v>0</v>
      </c>
      <c r="F27">
        <v>3</v>
      </c>
      <c r="I27" t="s">
        <v>15</v>
      </c>
    </row>
    <row r="28" spans="2:18" x14ac:dyDescent="0.25">
      <c r="R28" s="2"/>
    </row>
    <row r="29" spans="2:18" x14ac:dyDescent="0.25">
      <c r="R29" s="2"/>
    </row>
    <row r="32" spans="2:18" x14ac:dyDescent="0.25">
      <c r="B32" s="7" t="s">
        <v>3</v>
      </c>
      <c r="C32" s="4"/>
      <c r="D32" s="4"/>
      <c r="E32" s="4"/>
    </row>
    <row r="33" spans="2:10" ht="15.75" thickBot="1" x14ac:dyDescent="0.3">
      <c r="B33" s="8" t="s">
        <v>54</v>
      </c>
      <c r="C33" s="8" t="s">
        <v>2</v>
      </c>
      <c r="D33" s="8" t="s">
        <v>0</v>
      </c>
      <c r="E33" s="8" t="s">
        <v>1</v>
      </c>
      <c r="F33" s="10" t="s">
        <v>68</v>
      </c>
      <c r="G33" s="12" t="s">
        <v>69</v>
      </c>
      <c r="H33" s="9" t="s">
        <v>70</v>
      </c>
      <c r="I33" s="9" t="s">
        <v>58</v>
      </c>
      <c r="J33" s="9" t="s">
        <v>60</v>
      </c>
    </row>
    <row r="34" spans="2:10" x14ac:dyDescent="0.25">
      <c r="D34" t="s">
        <v>40</v>
      </c>
      <c r="F34">
        <v>2030</v>
      </c>
      <c r="G34" t="s">
        <v>49</v>
      </c>
    </row>
    <row r="35" spans="2:10" x14ac:dyDescent="0.25">
      <c r="D35" t="s">
        <v>40</v>
      </c>
      <c r="F35">
        <v>2035</v>
      </c>
      <c r="G35" t="s">
        <v>31</v>
      </c>
    </row>
    <row r="36" spans="2:10" x14ac:dyDescent="0.25">
      <c r="D36" t="s">
        <v>40</v>
      </c>
      <c r="F36">
        <v>2036</v>
      </c>
      <c r="G36" t="s">
        <v>51</v>
      </c>
    </row>
    <row r="37" spans="2:10" x14ac:dyDescent="0.25">
      <c r="D37" t="s">
        <v>40</v>
      </c>
      <c r="F37">
        <v>2030</v>
      </c>
      <c r="G37" t="s">
        <v>53</v>
      </c>
    </row>
    <row r="38" spans="2:10" x14ac:dyDescent="0.25">
      <c r="D38" t="s">
        <v>40</v>
      </c>
      <c r="F38">
        <v>2030</v>
      </c>
      <c r="H38" s="3" t="s">
        <v>41</v>
      </c>
      <c r="J38" t="s">
        <v>52</v>
      </c>
    </row>
    <row r="39" spans="2:10" x14ac:dyDescent="0.25">
      <c r="D39" t="s">
        <v>42</v>
      </c>
      <c r="F39">
        <v>40</v>
      </c>
      <c r="H39" s="3" t="s">
        <v>43</v>
      </c>
      <c r="J39" t="s">
        <v>50</v>
      </c>
    </row>
    <row r="40" spans="2:10" x14ac:dyDescent="0.25">
      <c r="D40" t="s">
        <v>40</v>
      </c>
      <c r="F40">
        <v>2030</v>
      </c>
      <c r="H40" s="3" t="s">
        <v>41</v>
      </c>
      <c r="I40" t="s">
        <v>47</v>
      </c>
    </row>
    <row r="47" spans="2:10" x14ac:dyDescent="0.25">
      <c r="B47" s="7" t="s">
        <v>28</v>
      </c>
      <c r="C47" s="4"/>
      <c r="D47" s="4"/>
      <c r="E47" s="4"/>
    </row>
    <row r="48" spans="2:10" ht="15.75" thickBot="1" x14ac:dyDescent="0.3">
      <c r="B48" s="8" t="s">
        <v>54</v>
      </c>
      <c r="C48" s="8" t="s">
        <v>2</v>
      </c>
      <c r="D48" s="8" t="s">
        <v>0</v>
      </c>
      <c r="E48" s="10">
        <v>2023</v>
      </c>
      <c r="F48" s="10">
        <v>2030</v>
      </c>
      <c r="G48" s="10">
        <v>2040</v>
      </c>
      <c r="H48" s="10">
        <v>2050</v>
      </c>
      <c r="I48" s="12" t="s">
        <v>69</v>
      </c>
    </row>
    <row r="49" spans="4:13" x14ac:dyDescent="0.25">
      <c r="D49" s="2" t="s">
        <v>21</v>
      </c>
      <c r="E49" s="2">
        <v>2700</v>
      </c>
      <c r="F49" s="2">
        <v>2700</v>
      </c>
      <c r="G49" s="2">
        <v>2700</v>
      </c>
      <c r="H49" s="2">
        <v>2700</v>
      </c>
      <c r="I49" t="str">
        <f>M49</f>
        <v>EN[_]Hydro*</v>
      </c>
      <c r="L49" t="s">
        <v>24</v>
      </c>
      <c r="M49" t="s">
        <v>17</v>
      </c>
    </row>
    <row r="50" spans="4:13" x14ac:dyDescent="0.25">
      <c r="D50" s="2" t="s">
        <v>21</v>
      </c>
      <c r="E50" s="2">
        <v>560</v>
      </c>
      <c r="F50" s="2">
        <v>380</v>
      </c>
      <c r="G50">
        <v>320</v>
      </c>
      <c r="H50" s="2">
        <v>290</v>
      </c>
      <c r="I50" t="str">
        <f t="shared" ref="I50:I52" si="0">M50</f>
        <v>E[_]SPV*</v>
      </c>
      <c r="L50" t="s">
        <v>25</v>
      </c>
      <c r="M50" t="s">
        <v>33</v>
      </c>
    </row>
    <row r="51" spans="4:13" x14ac:dyDescent="0.25">
      <c r="D51" s="2" t="s">
        <v>21</v>
      </c>
      <c r="E51" s="2">
        <v>2780</v>
      </c>
      <c r="F51" s="2">
        <v>2390</v>
      </c>
      <c r="G51" s="2">
        <v>2140</v>
      </c>
      <c r="H51" s="2">
        <v>1990</v>
      </c>
      <c r="I51" t="str">
        <f t="shared" si="0"/>
        <v>E[_]WOF*</v>
      </c>
      <c r="L51" t="s">
        <v>26</v>
      </c>
      <c r="M51" t="s">
        <v>31</v>
      </c>
    </row>
    <row r="52" spans="4:13" x14ac:dyDescent="0.25">
      <c r="D52" s="2" t="s">
        <v>21</v>
      </c>
      <c r="E52" s="2">
        <v>1180</v>
      </c>
      <c r="F52" s="2">
        <v>1150</v>
      </c>
      <c r="G52" s="2">
        <v>1110</v>
      </c>
      <c r="H52" s="2">
        <v>1090</v>
      </c>
      <c r="I52" t="str">
        <f t="shared" si="0"/>
        <v>E[_]WON*</v>
      </c>
      <c r="L52" t="s">
        <v>27</v>
      </c>
      <c r="M52" t="s">
        <v>32</v>
      </c>
    </row>
    <row r="53" spans="4:13" x14ac:dyDescent="0.25">
      <c r="D53" s="2" t="s">
        <v>22</v>
      </c>
      <c r="E53" s="2">
        <v>70</v>
      </c>
      <c r="F53" s="2">
        <v>65</v>
      </c>
      <c r="G53" s="2">
        <v>65</v>
      </c>
      <c r="H53" s="2">
        <v>65</v>
      </c>
      <c r="I53" t="str">
        <f>I49</f>
        <v>EN[_]Hydro*</v>
      </c>
      <c r="L53" t="str">
        <f>L49</f>
        <v>Hydropower - large-scale unit</v>
      </c>
      <c r="M53" t="str">
        <f t="shared" ref="M53:M60" si="1">M49</f>
        <v>EN[_]Hydro*</v>
      </c>
    </row>
    <row r="54" spans="4:13" x14ac:dyDescent="0.25">
      <c r="D54" s="2" t="s">
        <v>22</v>
      </c>
      <c r="E54" s="2">
        <v>11.5</v>
      </c>
      <c r="F54" s="2">
        <v>9.5</v>
      </c>
      <c r="G54" s="2">
        <v>8.1</v>
      </c>
      <c r="H54" s="2">
        <v>7.4</v>
      </c>
      <c r="I54" t="str">
        <f t="shared" ref="I54:I60" si="2">I50</f>
        <v>E[_]SPV*</v>
      </c>
      <c r="L54" t="str">
        <f t="shared" ref="L54" si="3">L50</f>
        <v>Solar photovoltaics - Large scale unit</v>
      </c>
      <c r="M54" t="str">
        <f t="shared" si="1"/>
        <v>E[_]SPV*</v>
      </c>
    </row>
    <row r="55" spans="4:13" x14ac:dyDescent="0.25">
      <c r="D55" s="2" t="s">
        <v>22</v>
      </c>
      <c r="E55" s="2">
        <v>44</v>
      </c>
      <c r="F55" s="2">
        <v>34</v>
      </c>
      <c r="G55" s="2">
        <v>30</v>
      </c>
      <c r="H55" s="2">
        <v>28</v>
      </c>
      <c r="I55" t="str">
        <f t="shared" si="2"/>
        <v>E[_]WOF*</v>
      </c>
      <c r="L55" t="str">
        <f t="shared" ref="L55" si="4">L51</f>
        <v>Wind offshore</v>
      </c>
      <c r="M55" t="str">
        <f t="shared" si="1"/>
        <v>E[_]WOF*</v>
      </c>
    </row>
    <row r="56" spans="4:13" x14ac:dyDescent="0.25">
      <c r="D56" s="2" t="s">
        <v>22</v>
      </c>
      <c r="E56" s="2">
        <v>17.387</v>
      </c>
      <c r="F56" s="2">
        <v>16.663</v>
      </c>
      <c r="G56" s="2">
        <v>15.965</v>
      </c>
      <c r="H56" s="2">
        <v>15.602</v>
      </c>
      <c r="I56" t="str">
        <f t="shared" si="2"/>
        <v>E[_]WON*</v>
      </c>
      <c r="L56" t="str">
        <f t="shared" ref="L56" si="5">L52</f>
        <v>Wind onshore</v>
      </c>
      <c r="M56" t="str">
        <f t="shared" si="1"/>
        <v>E[_]WON*</v>
      </c>
    </row>
    <row r="57" spans="4:13" x14ac:dyDescent="0.25">
      <c r="D57" s="2" t="s">
        <v>23</v>
      </c>
      <c r="E57" s="2">
        <v>4</v>
      </c>
      <c r="F57" s="2">
        <v>4</v>
      </c>
      <c r="G57" s="2">
        <v>4</v>
      </c>
      <c r="H57" s="2">
        <v>4</v>
      </c>
      <c r="I57" t="str">
        <f t="shared" si="2"/>
        <v>EN[_]Hydro*</v>
      </c>
      <c r="L57" t="str">
        <f t="shared" ref="L57" si="6">L53</f>
        <v>Hydropower - large-scale unit</v>
      </c>
      <c r="M57" t="str">
        <f t="shared" si="1"/>
        <v>EN[_]Hydro*</v>
      </c>
    </row>
    <row r="58" spans="4:13" x14ac:dyDescent="0.25">
      <c r="D58" s="2" t="s">
        <v>23</v>
      </c>
      <c r="E58" s="2">
        <v>0.5</v>
      </c>
      <c r="F58" s="2">
        <v>0.5</v>
      </c>
      <c r="G58" s="2">
        <v>0.5</v>
      </c>
      <c r="H58" s="2">
        <v>0.5</v>
      </c>
      <c r="I58" t="str">
        <f t="shared" si="2"/>
        <v>E[_]SPV*</v>
      </c>
      <c r="L58" t="str">
        <f t="shared" ref="L58" si="7">L54</f>
        <v>Solar photovoltaics - Large scale unit</v>
      </c>
      <c r="M58" t="str">
        <f t="shared" si="1"/>
        <v>E[_]SPV*</v>
      </c>
    </row>
    <row r="59" spans="4:13" x14ac:dyDescent="0.25">
      <c r="D59" s="2" t="s">
        <v>23</v>
      </c>
      <c r="E59" s="2">
        <v>5</v>
      </c>
      <c r="F59" s="2">
        <v>3.5</v>
      </c>
      <c r="G59" s="2">
        <v>3.5</v>
      </c>
      <c r="H59" s="2">
        <v>3.5</v>
      </c>
      <c r="I59" t="str">
        <f t="shared" si="2"/>
        <v>E[_]WOF*</v>
      </c>
      <c r="L59" t="str">
        <f t="shared" ref="L59" si="8">L55</f>
        <v>Wind offshore</v>
      </c>
      <c r="M59" t="str">
        <f t="shared" si="1"/>
        <v>E[_]WOF*</v>
      </c>
    </row>
    <row r="60" spans="4:13" x14ac:dyDescent="0.25">
      <c r="D60" s="2" t="s">
        <v>23</v>
      </c>
      <c r="E60" s="2">
        <v>1.5</v>
      </c>
      <c r="F60" s="2">
        <v>1.5</v>
      </c>
      <c r="G60" s="2">
        <v>1.5</v>
      </c>
      <c r="H60" s="2">
        <v>1.5</v>
      </c>
      <c r="I60" t="str">
        <f t="shared" si="2"/>
        <v>E[_]WON*</v>
      </c>
      <c r="L60" t="str">
        <f t="shared" ref="L60" si="9">L56</f>
        <v>Wind onshore</v>
      </c>
      <c r="M60" t="str">
        <f t="shared" si="1"/>
        <v>E[_]WON*</v>
      </c>
    </row>
    <row r="61" spans="4:13" x14ac:dyDescent="0.25">
      <c r="D61" s="2" t="s">
        <v>48</v>
      </c>
      <c r="E61" s="2">
        <v>0</v>
      </c>
      <c r="F61" s="2">
        <v>0</v>
      </c>
      <c r="G61" s="2">
        <v>0</v>
      </c>
      <c r="H61" s="2">
        <v>0</v>
      </c>
      <c r="I61" t="s">
        <v>33</v>
      </c>
    </row>
    <row r="62" spans="4:13" x14ac:dyDescent="0.25">
      <c r="D62" s="2" t="s">
        <v>48</v>
      </c>
      <c r="E62" s="2">
        <v>4.41</v>
      </c>
      <c r="F62" s="2">
        <v>3.45</v>
      </c>
      <c r="G62" s="2">
        <v>3.16</v>
      </c>
      <c r="H62" s="2">
        <v>2.99</v>
      </c>
      <c r="I62" t="s">
        <v>31</v>
      </c>
    </row>
    <row r="63" spans="4:13" x14ac:dyDescent="0.25">
      <c r="D63" s="2" t="s">
        <v>48</v>
      </c>
      <c r="E63" s="2">
        <v>2.06</v>
      </c>
      <c r="F63" s="2">
        <v>1.98</v>
      </c>
      <c r="G63" s="2">
        <v>1.89</v>
      </c>
      <c r="H63" s="2">
        <v>1.85</v>
      </c>
      <c r="I63" t="s">
        <v>32</v>
      </c>
    </row>
    <row r="65" spans="2:10" x14ac:dyDescent="0.25">
      <c r="B65" s="7" t="s">
        <v>18</v>
      </c>
      <c r="C65" s="4"/>
      <c r="D65" s="4"/>
      <c r="E65" s="4"/>
    </row>
    <row r="66" spans="2:10" ht="15.75" thickBot="1" x14ac:dyDescent="0.3">
      <c r="B66" s="12" t="s">
        <v>69</v>
      </c>
      <c r="C66" s="12" t="s">
        <v>71</v>
      </c>
      <c r="D66" s="12" t="s">
        <v>72</v>
      </c>
      <c r="E66" s="8"/>
      <c r="F66" s="10"/>
      <c r="J66" s="13"/>
    </row>
    <row r="67" spans="2:10" x14ac:dyDescent="0.25">
      <c r="B67" t="s">
        <v>13</v>
      </c>
      <c r="C67" t="s">
        <v>37</v>
      </c>
      <c r="D67" t="s">
        <v>20</v>
      </c>
    </row>
    <row r="68" spans="2:10" x14ac:dyDescent="0.25">
      <c r="B68" t="s">
        <v>14</v>
      </c>
      <c r="C68" t="s">
        <v>46</v>
      </c>
      <c r="D68" t="s">
        <v>20</v>
      </c>
    </row>
    <row r="69" spans="2:10" x14ac:dyDescent="0.25">
      <c r="B69" t="s">
        <v>33</v>
      </c>
      <c r="C69" t="s">
        <v>39</v>
      </c>
      <c r="D69" t="s">
        <v>20</v>
      </c>
    </row>
    <row r="70" spans="2:10" x14ac:dyDescent="0.25">
      <c r="B70" t="s">
        <v>31</v>
      </c>
      <c r="C70" t="s">
        <v>44</v>
      </c>
      <c r="D70" t="s">
        <v>20</v>
      </c>
    </row>
    <row r="71" spans="2:10" x14ac:dyDescent="0.25">
      <c r="B71" t="s">
        <v>32</v>
      </c>
      <c r="C71" t="s">
        <v>45</v>
      </c>
      <c r="D71" t="s">
        <v>20</v>
      </c>
    </row>
  </sheetData>
  <phoneticPr fontId="9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2026-05-28T10:54:53Z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