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905CE62-B7F2-4833-A89D-91A5960837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<sst xmlns="http://schemas.openxmlformats.org/spreadsheetml/2006/main" count="996" uniqueCount="293">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</sst>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workbookViewId="0">
      <selection activeCell="L7" sqref="L7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32.140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101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29</v>
      </c>
      <c r="P3" s="1">
        <v>2022</v>
      </c>
      <c r="Q3" s="1">
        <v>0</v>
      </c>
      <c r="R3" t="s">
        <v>100</v>
      </c>
      <c r="S3" t="s">
        <v>104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103</v>
      </c>
      <c r="D6" s="1" t="s">
        <v>105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292</v>
      </c>
      <c r="M6" s="1">
        <v>1</v>
      </c>
      <c r="N6" s="1">
        <v>8.76</v>
      </c>
      <c r="O6" s="1"/>
      <c r="P6" s="1"/>
      <c r="Q6" s="1"/>
      <c r="V6" t="s">
        <v>99</v>
      </c>
    </row>
    <row r="7" spans="2:22">
      <c r="B7" t="s">
        <v>20</v>
      </c>
      <c r="C7" t="s">
        <v>146</v>
      </c>
      <c r="D7" s="1" t="s">
        <v>147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34</v>
      </c>
      <c r="L7" t="s">
        <v>148</v>
      </c>
      <c r="M7" s="1">
        <v>1</v>
      </c>
      <c r="N7" s="1">
        <v>8.76</v>
      </c>
      <c r="O7" s="1"/>
      <c r="P7" s="1"/>
      <c r="Q7" s="1"/>
    </row>
    <row r="8" spans="2:22">
      <c r="B8" t="s">
        <v>28</v>
      </c>
      <c r="C8" t="s">
        <v>97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31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96</v>
      </c>
      <c r="C9" t="s">
        <v>98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32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28</v>
      </c>
      <c r="C10" s="1" t="s">
        <v>151</v>
      </c>
      <c r="D10" s="1" t="s">
        <v>106</v>
      </c>
      <c r="E10" s="1" t="s">
        <v>21</v>
      </c>
      <c r="F10" t="s">
        <v>10</v>
      </c>
      <c r="G10" s="1"/>
      <c r="H10" s="1"/>
      <c r="I10" s="1"/>
      <c r="K10" s="1"/>
      <c r="L10" s="1" t="s">
        <v>36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28</v>
      </c>
      <c r="C11" s="1" t="s">
        <v>153</v>
      </c>
      <c r="D11" s="1" t="s">
        <v>152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33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28</v>
      </c>
      <c r="C12" s="1" t="s">
        <v>154</v>
      </c>
      <c r="D12" s="1" t="s">
        <v>155</v>
      </c>
      <c r="E12" s="1" t="s">
        <v>21</v>
      </c>
      <c r="F12" t="s">
        <v>10</v>
      </c>
      <c r="G12" s="1"/>
      <c r="H12" s="1"/>
      <c r="I12" s="1"/>
      <c r="K12" s="1"/>
      <c r="L12" s="1" t="s">
        <v>27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28</v>
      </c>
      <c r="C13" s="1" t="s">
        <v>156</v>
      </c>
      <c r="D13" s="1" t="s">
        <v>159</v>
      </c>
      <c r="E13" s="1" t="s">
        <v>21</v>
      </c>
      <c r="F13" t="s">
        <v>10</v>
      </c>
      <c r="G13" s="1"/>
      <c r="H13" s="1"/>
      <c r="I13" s="1"/>
      <c r="L13" s="1" t="s">
        <v>30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28</v>
      </c>
      <c r="C14" t="s">
        <v>157</v>
      </c>
      <c r="D14" t="s">
        <v>160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35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28</v>
      </c>
      <c r="C15" t="s">
        <v>158</v>
      </c>
      <c r="D15" t="s">
        <v>161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26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149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150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22</v>
      </c>
      <c r="C2" s="3"/>
      <c r="D2" s="3"/>
      <c r="E2" s="3"/>
      <c r="F2" s="3"/>
      <c r="G2" s="3"/>
      <c r="H2" s="3"/>
      <c r="I2" s="3"/>
    </row>
    <row r="3" spans="2:23">
      <c r="B3" s="3" t="s">
        <v>37</v>
      </c>
      <c r="C3" s="3" t="s">
        <v>38</v>
      </c>
      <c r="D3" s="3" t="s">
        <v>39</v>
      </c>
      <c r="E3" s="3" t="s">
        <v>24</v>
      </c>
      <c r="F3" s="3" t="s">
        <v>40</v>
      </c>
      <c r="G3" s="3" t="s">
        <v>41</v>
      </c>
      <c r="H3" s="3" t="s">
        <v>42</v>
      </c>
      <c r="I3" s="3" t="s">
        <v>43</v>
      </c>
    </row>
    <row r="4" spans="2:23">
      <c r="B4" s="3" t="s">
        <v>44</v>
      </c>
      <c r="C4" s="3" t="s">
        <v>45</v>
      </c>
      <c r="D4" s="3" t="s">
        <v>46</v>
      </c>
      <c r="E4" s="3" t="s">
        <v>47</v>
      </c>
      <c r="F4" s="3"/>
      <c r="G4" s="5" t="s">
        <v>14</v>
      </c>
      <c r="H4" s="3"/>
      <c r="I4" s="3"/>
    </row>
    <row r="5" spans="2:23">
      <c r="C5" s="3" t="s">
        <v>48</v>
      </c>
      <c r="D5" s="3" t="s">
        <v>49</v>
      </c>
      <c r="E5" s="3" t="s">
        <v>47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50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51</v>
      </c>
      <c r="F9" s="5" t="s">
        <v>52</v>
      </c>
      <c r="G9" s="5" t="s">
        <v>11</v>
      </c>
      <c r="H9" s="6"/>
      <c r="I9" s="6" t="s">
        <v>1</v>
      </c>
      <c r="J9" s="6" t="s">
        <v>53</v>
      </c>
      <c r="K9" s="6" t="s">
        <v>54</v>
      </c>
      <c r="L9" s="6" t="s">
        <v>23</v>
      </c>
      <c r="M9" s="7" t="s">
        <v>55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56</v>
      </c>
      <c r="W9" t="s">
        <v>57</v>
      </c>
    </row>
    <row r="10" spans="2:23">
      <c r="B10" s="5" t="s">
        <v>58</v>
      </c>
      <c r="C10" s="5" t="s">
        <v>59</v>
      </c>
      <c r="D10" s="8" t="s">
        <v>60</v>
      </c>
      <c r="E10" s="5" t="s">
        <v>47</v>
      </c>
      <c r="F10" s="5" t="s">
        <v>10</v>
      </c>
      <c r="G10" s="5" t="s">
        <v>14</v>
      </c>
      <c r="H10" s="6"/>
      <c r="I10" s="6" t="s">
        <v>61</v>
      </c>
      <c r="J10" s="6" t="s">
        <v>62</v>
      </c>
      <c r="K10" s="3" t="s">
        <v>48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61</v>
      </c>
      <c r="D11" s="7" t="s">
        <v>63</v>
      </c>
      <c r="E11" s="5" t="s">
        <v>47</v>
      </c>
      <c r="F11" s="5" t="s">
        <v>10</v>
      </c>
      <c r="G11" s="5" t="s">
        <v>14</v>
      </c>
      <c r="H11" s="6"/>
      <c r="I11" s="6" t="s">
        <v>61</v>
      </c>
      <c r="J11" s="6" t="s">
        <v>64</v>
      </c>
      <c r="K11" s="6" t="s">
        <v>65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61</v>
      </c>
      <c r="J12" s="6" t="s">
        <v>64</v>
      </c>
      <c r="K12" s="6" t="s">
        <v>25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61</v>
      </c>
      <c r="J13" s="6" t="s">
        <v>66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61</v>
      </c>
      <c r="J14" t="s">
        <v>67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61</v>
      </c>
      <c r="J15" t="s">
        <v>68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61</v>
      </c>
      <c r="J16" t="s">
        <v>69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61</v>
      </c>
      <c r="J17" t="s">
        <v>70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59</v>
      </c>
      <c r="J18" t="s">
        <v>62</v>
      </c>
      <c r="K18" s="3" t="s">
        <v>48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59</v>
      </c>
      <c r="J19" t="s">
        <v>64</v>
      </c>
      <c r="K19" t="s">
        <v>65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59</v>
      </c>
      <c r="J20" t="s">
        <v>64</v>
      </c>
      <c r="K20" t="s">
        <v>25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59</v>
      </c>
      <c r="J21" t="s">
        <v>66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59</v>
      </c>
      <c r="J22" t="s">
        <v>67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59</v>
      </c>
      <c r="J23" t="s">
        <v>68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59</v>
      </c>
      <c r="J24" t="s">
        <v>69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59</v>
      </c>
      <c r="J25" t="s">
        <v>70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71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72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73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74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75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76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77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78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79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76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77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78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80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75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76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77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78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79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76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77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78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81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82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83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84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56</v>
      </c>
      <c r="F4" t="s">
        <v>54</v>
      </c>
      <c r="G4" t="s">
        <v>85</v>
      </c>
      <c r="H4" t="s">
        <v>86</v>
      </c>
      <c r="I4">
        <v>2030</v>
      </c>
      <c r="J4">
        <v>0</v>
      </c>
      <c r="K4" s="23" t="s">
        <v>87</v>
      </c>
      <c r="L4" s="23" t="s">
        <v>88</v>
      </c>
      <c r="M4" s="23" t="s">
        <v>57</v>
      </c>
      <c r="N4" s="23" t="s">
        <v>100</v>
      </c>
      <c r="O4" s="23" t="s">
        <v>89</v>
      </c>
      <c r="P4" s="23" t="s">
        <v>90</v>
      </c>
      <c r="Q4" s="23"/>
      <c r="R4" s="23" t="s">
        <v>6</v>
      </c>
      <c r="S4" s="23" t="s">
        <v>1</v>
      </c>
      <c r="T4" s="23" t="s">
        <v>7</v>
      </c>
      <c r="U4" s="23" t="s">
        <v>51</v>
      </c>
      <c r="V4" s="23" t="s">
        <v>52</v>
      </c>
      <c r="W4" s="23" t="s">
        <v>11</v>
      </c>
      <c r="X4" s="23" t="s">
        <v>91</v>
      </c>
      <c r="Y4" s="23" t="s">
        <v>92</v>
      </c>
    </row>
    <row r="5" spans="2:25">
      <c r="B5" t="s">
        <v>102</v>
      </c>
      <c r="C5" t="s">
        <v>19</v>
      </c>
      <c r="F5" t="s">
        <v>25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95</v>
      </c>
      <c r="S5" s="23" t="str">
        <f>B5</f>
        <v>ev_battery</v>
      </c>
      <c r="T5" s="23" t="s">
        <v>93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65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94</v>
      </c>
      <c r="E7" t="s">
        <v>45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62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107</v>
      </c>
      <c r="C1" s="147" t="s">
        <v>108</v>
      </c>
      <c r="D1" s="147"/>
      <c r="E1" s="147"/>
      <c r="F1" s="148" t="s">
        <v>109</v>
      </c>
      <c r="G1" s="147"/>
      <c r="H1" s="149"/>
      <c r="I1" s="147" t="s">
        <v>110</v>
      </c>
      <c r="J1" s="147"/>
      <c r="K1" s="147"/>
      <c r="L1" s="147"/>
      <c r="M1" s="147"/>
      <c r="N1" s="147"/>
      <c r="O1" s="150" t="s">
        <v>111</v>
      </c>
      <c r="P1" s="27"/>
      <c r="Q1" s="27"/>
      <c r="R1" s="27"/>
    </row>
    <row r="2" spans="1:18">
      <c r="C2" s="28" t="s">
        <v>100</v>
      </c>
      <c r="D2" s="28" t="s">
        <v>100</v>
      </c>
      <c r="E2" s="28" t="s">
        <v>100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8" thickBot="1">
      <c r="C26" s="143" t="s">
        <v>140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57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52</v>
      </c>
      <c r="X27" s="144" t="s">
        <v>51</v>
      </c>
      <c r="Y27" s="144" t="s">
        <v>11</v>
      </c>
      <c r="Z27" s="144" t="s">
        <v>92</v>
      </c>
    </row>
    <row r="28" spans="1:26">
      <c r="A28" t="s">
        <v>34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34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workbookViewId="0"/>
  </sheetViews>
  <sheetFormatPr defaultRowHeight="15"/>
  <sheetData>
    <row r="9" spans="2:13">
      <c r="B9" t="s">
        <v>162</v>
      </c>
      <c r="J9" t="s">
        <v>193</v>
      </c>
    </row>
    <row r="10" spans="2:13">
      <c r="B10" t="s">
        <v>163</v>
      </c>
      <c r="C10" t="s">
        <v>164</v>
      </c>
      <c r="D10" t="s">
        <v>165</v>
      </c>
      <c r="E10" t="s">
        <v>166</v>
      </c>
      <c r="F10" t="s">
        <v>167</v>
      </c>
      <c r="G10" t="s">
        <v>168</v>
      </c>
      <c r="H10" t="s">
        <v>169</v>
      </c>
      <c r="J10" t="s">
        <v>164</v>
      </c>
      <c r="K10" t="s">
        <v>194</v>
      </c>
      <c r="L10" t="s">
        <v>195</v>
      </c>
      <c r="M10" t="s">
        <v>196</v>
      </c>
    </row>
    <row r="11" spans="2:13">
      <c r="B11" t="s">
        <v>170</v>
      </c>
      <c r="C11" t="s">
        <v>171</v>
      </c>
      <c r="D11" t="s">
        <v>172</v>
      </c>
      <c r="E11" t="s">
        <v>10</v>
      </c>
      <c r="F11" t="s">
        <v>21</v>
      </c>
      <c r="G11" t="s">
        <v>173</v>
      </c>
      <c r="H11" t="s">
        <v>174</v>
      </c>
      <c r="J11" t="s">
        <v>171</v>
      </c>
      <c r="K11" t="s">
        <v>197</v>
      </c>
      <c r="L11">
        <v>0.57106272660134949</v>
      </c>
      <c r="M11">
        <v>0.1461854238754417</v>
      </c>
    </row>
    <row r="12" spans="2:13">
      <c r="B12" t="s">
        <v>170</v>
      </c>
      <c r="C12" t="s">
        <v>175</v>
      </c>
      <c r="D12" t="s">
        <v>176</v>
      </c>
      <c r="E12" t="s">
        <v>10</v>
      </c>
      <c r="F12" t="s">
        <v>21</v>
      </c>
      <c r="G12" t="s">
        <v>173</v>
      </c>
      <c r="H12" t="s">
        <v>174</v>
      </c>
      <c r="J12" t="s">
        <v>175</v>
      </c>
      <c r="K12" t="s">
        <v>198</v>
      </c>
      <c r="L12">
        <v>0.14253972827972677</v>
      </c>
      <c r="M12">
        <v>0.14867925344692129</v>
      </c>
    </row>
    <row r="13" spans="2:13">
      <c r="B13" t="s">
        <v>170</v>
      </c>
      <c r="C13" t="s">
        <v>177</v>
      </c>
      <c r="D13" t="s">
        <v>178</v>
      </c>
      <c r="E13" t="s">
        <v>10</v>
      </c>
      <c r="F13" t="s">
        <v>21</v>
      </c>
      <c r="G13" t="s">
        <v>173</v>
      </c>
      <c r="H13" t="s">
        <v>174</v>
      </c>
      <c r="J13" t="s">
        <v>177</v>
      </c>
      <c r="K13" t="s">
        <v>199</v>
      </c>
      <c r="L13">
        <v>0.39746641579927361</v>
      </c>
      <c r="M13">
        <v>0.14701259708091721</v>
      </c>
    </row>
    <row r="14" spans="2:13">
      <c r="B14" t="s">
        <v>170</v>
      </c>
      <c r="C14" t="s">
        <v>179</v>
      </c>
      <c r="D14" t="s">
        <v>180</v>
      </c>
      <c r="E14" t="s">
        <v>10</v>
      </c>
      <c r="F14" t="s">
        <v>21</v>
      </c>
      <c r="G14" t="s">
        <v>173</v>
      </c>
      <c r="H14" t="s">
        <v>174</v>
      </c>
      <c r="J14" t="s">
        <v>179</v>
      </c>
      <c r="K14" t="s">
        <v>200</v>
      </c>
      <c r="L14">
        <v>0.52352435071333325</v>
      </c>
      <c r="M14">
        <v>0.15309859852159369</v>
      </c>
    </row>
    <row r="15" spans="2:13">
      <c r="B15" t="s">
        <v>170</v>
      </c>
      <c r="C15" t="s">
        <v>181</v>
      </c>
      <c r="D15" t="s">
        <v>182</v>
      </c>
      <c r="E15" t="s">
        <v>10</v>
      </c>
      <c r="F15" t="s">
        <v>21</v>
      </c>
      <c r="G15" t="s">
        <v>173</v>
      </c>
      <c r="H15" t="s">
        <v>174</v>
      </c>
      <c r="J15" t="s">
        <v>181</v>
      </c>
      <c r="K15" t="s">
        <v>201</v>
      </c>
      <c r="L15">
        <v>5.1876061149469521E-2</v>
      </c>
      <c r="M15">
        <v>0.15852072747262991</v>
      </c>
    </row>
    <row r="16" spans="2:13">
      <c r="B16" t="s">
        <v>170</v>
      </c>
      <c r="C16" t="s">
        <v>183</v>
      </c>
      <c r="D16" t="s">
        <v>184</v>
      </c>
      <c r="E16" t="s">
        <v>10</v>
      </c>
      <c r="F16" t="s">
        <v>21</v>
      </c>
      <c r="G16" t="s">
        <v>173</v>
      </c>
      <c r="H16" t="s">
        <v>174</v>
      </c>
      <c r="J16" t="s">
        <v>183</v>
      </c>
      <c r="K16" t="s">
        <v>202</v>
      </c>
      <c r="L16">
        <v>3.7934664956297569E-2</v>
      </c>
      <c r="M16">
        <v>0.1561956058597683</v>
      </c>
    </row>
    <row r="17" spans="2:13">
      <c r="B17" t="s">
        <v>170</v>
      </c>
      <c r="C17" t="s">
        <v>185</v>
      </c>
      <c r="D17" t="s">
        <v>186</v>
      </c>
      <c r="E17" t="s">
        <v>10</v>
      </c>
      <c r="F17" t="s">
        <v>21</v>
      </c>
      <c r="G17" t="s">
        <v>173</v>
      </c>
      <c r="H17" t="s">
        <v>174</v>
      </c>
      <c r="J17" t="s">
        <v>185</v>
      </c>
      <c r="K17" t="s">
        <v>203</v>
      </c>
      <c r="L17">
        <v>0.30795950582429055</v>
      </c>
      <c r="M17">
        <v>0.14537310453496291</v>
      </c>
    </row>
    <row r="18" spans="2:13">
      <c r="B18" t="s">
        <v>170</v>
      </c>
      <c r="C18" t="s">
        <v>187</v>
      </c>
      <c r="D18" t="s">
        <v>188</v>
      </c>
      <c r="E18" t="s">
        <v>10</v>
      </c>
      <c r="F18" t="s">
        <v>21</v>
      </c>
      <c r="G18" t="s">
        <v>173</v>
      </c>
      <c r="H18" t="s">
        <v>174</v>
      </c>
      <c r="J18" t="s">
        <v>187</v>
      </c>
      <c r="K18" t="s">
        <v>204</v>
      </c>
      <c r="L18">
        <v>0.40313702086988223</v>
      </c>
      <c r="M18">
        <v>0.1476387365568102</v>
      </c>
    </row>
    <row r="19" spans="2:13">
      <c r="B19" t="s">
        <v>170</v>
      </c>
      <c r="C19" t="s">
        <v>189</v>
      </c>
      <c r="D19" t="s">
        <v>190</v>
      </c>
      <c r="E19" t="s">
        <v>10</v>
      </c>
      <c r="F19" t="s">
        <v>21</v>
      </c>
      <c r="G19" t="s">
        <v>173</v>
      </c>
      <c r="H19" t="s">
        <v>174</v>
      </c>
      <c r="J19" t="s">
        <v>189</v>
      </c>
      <c r="K19" t="s">
        <v>205</v>
      </c>
      <c r="L19">
        <v>0.13356706284547895</v>
      </c>
      <c r="M19">
        <v>0.1532628310027955</v>
      </c>
    </row>
    <row r="20" spans="2:13">
      <c r="B20" t="s">
        <v>170</v>
      </c>
      <c r="C20" t="s">
        <v>191</v>
      </c>
      <c r="D20" t="s">
        <v>192</v>
      </c>
      <c r="E20" t="s">
        <v>10</v>
      </c>
      <c r="F20" t="s">
        <v>21</v>
      </c>
      <c r="G20" t="s">
        <v>173</v>
      </c>
      <c r="H20" t="s">
        <v>174</v>
      </c>
      <c r="J20" t="s">
        <v>191</v>
      </c>
      <c r="K20" t="s">
        <v>206</v>
      </c>
      <c r="L20">
        <v>0.25413215128250727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20"/>
  <sheetViews>
    <sheetView workbookViewId="0"/>
  </sheetViews>
  <sheetFormatPr defaultRowHeight="15"/>
  <sheetData>
    <row r="9" spans="2:26">
      <c r="B9" t="s">
        <v>162</v>
      </c>
      <c r="J9" t="s">
        <v>193</v>
      </c>
      <c r="O9" t="s">
        <v>162</v>
      </c>
      <c r="W9" t="s">
        <v>193</v>
      </c>
    </row>
    <row r="10" spans="2:26">
      <c r="B10" t="s">
        <v>163</v>
      </c>
      <c r="C10" t="s">
        <v>164</v>
      </c>
      <c r="D10" t="s">
        <v>165</v>
      </c>
      <c r="E10" t="s">
        <v>166</v>
      </c>
      <c r="F10" t="s">
        <v>167</v>
      </c>
      <c r="G10" t="s">
        <v>168</v>
      </c>
      <c r="H10" t="s">
        <v>169</v>
      </c>
      <c r="J10" t="s">
        <v>164</v>
      </c>
      <c r="K10" t="s">
        <v>194</v>
      </c>
      <c r="L10" t="s">
        <v>195</v>
      </c>
      <c r="M10" t="s">
        <v>196</v>
      </c>
      <c r="O10" t="s">
        <v>163</v>
      </c>
      <c r="P10" t="s">
        <v>164</v>
      </c>
      <c r="Q10" t="s">
        <v>165</v>
      </c>
      <c r="R10" t="s">
        <v>166</v>
      </c>
      <c r="S10" t="s">
        <v>167</v>
      </c>
      <c r="T10" t="s">
        <v>168</v>
      </c>
      <c r="U10" t="s">
        <v>169</v>
      </c>
      <c r="W10" t="s">
        <v>164</v>
      </c>
      <c r="X10" t="s">
        <v>194</v>
      </c>
      <c r="Y10" t="s">
        <v>195</v>
      </c>
      <c r="Z10" t="s">
        <v>196</v>
      </c>
    </row>
    <row r="11" spans="2:26">
      <c r="B11" t="s">
        <v>170</v>
      </c>
      <c r="C11" t="s">
        <v>207</v>
      </c>
      <c r="D11" t="s">
        <v>208</v>
      </c>
      <c r="E11" t="s">
        <v>10</v>
      </c>
      <c r="F11" t="s">
        <v>21</v>
      </c>
      <c r="G11" t="s">
        <v>173</v>
      </c>
      <c r="H11" t="s">
        <v>174</v>
      </c>
      <c r="J11" t="s">
        <v>207</v>
      </c>
      <c r="K11" t="s">
        <v>227</v>
      </c>
      <c r="L11">
        <v>9.2565335043702429E-2</v>
      </c>
      <c r="M11">
        <v>0.47763777043344691</v>
      </c>
      <c r="O11" t="s">
        <v>170</v>
      </c>
      <c r="P11" t="s">
        <v>237</v>
      </c>
      <c r="Q11" t="s">
        <v>238</v>
      </c>
      <c r="R11" t="s">
        <v>10</v>
      </c>
      <c r="S11" t="s">
        <v>21</v>
      </c>
      <c r="T11" t="s">
        <v>173</v>
      </c>
      <c r="U11" t="s">
        <v>174</v>
      </c>
      <c r="W11" t="s">
        <v>237</v>
      </c>
      <c r="X11" t="s">
        <v>257</v>
      </c>
      <c r="Y11">
        <v>10.905749999999999</v>
      </c>
      <c r="Z11">
        <v>0.2978238628360676</v>
      </c>
    </row>
    <row r="12" spans="2:26">
      <c r="B12" t="s">
        <v>170</v>
      </c>
      <c r="C12" t="s">
        <v>209</v>
      </c>
      <c r="D12" t="s">
        <v>210</v>
      </c>
      <c r="E12" t="s">
        <v>10</v>
      </c>
      <c r="F12" t="s">
        <v>21</v>
      </c>
      <c r="G12" t="s">
        <v>173</v>
      </c>
      <c r="H12" t="s">
        <v>174</v>
      </c>
      <c r="J12" t="s">
        <v>209</v>
      </c>
      <c r="K12" t="s">
        <v>228</v>
      </c>
      <c r="L12">
        <v>0.20804356877677033</v>
      </c>
      <c r="M12">
        <v>0.42070052507616201</v>
      </c>
      <c r="O12" t="s">
        <v>170</v>
      </c>
      <c r="P12" t="s">
        <v>239</v>
      </c>
      <c r="Q12" t="s">
        <v>240</v>
      </c>
      <c r="R12" t="s">
        <v>10</v>
      </c>
      <c r="S12" t="s">
        <v>21</v>
      </c>
      <c r="T12" t="s">
        <v>173</v>
      </c>
      <c r="U12" t="s">
        <v>174</v>
      </c>
      <c r="W12" t="s">
        <v>239</v>
      </c>
      <c r="X12" t="s">
        <v>258</v>
      </c>
      <c r="Y12">
        <v>7.0004999999999997</v>
      </c>
      <c r="Z12">
        <v>0.37369451123150682</v>
      </c>
    </row>
    <row r="13" spans="2:26">
      <c r="B13" t="s">
        <v>170</v>
      </c>
      <c r="C13" t="s">
        <v>211</v>
      </c>
      <c r="D13" t="s">
        <v>212</v>
      </c>
      <c r="E13" t="s">
        <v>10</v>
      </c>
      <c r="F13" t="s">
        <v>21</v>
      </c>
      <c r="G13" t="s">
        <v>173</v>
      </c>
      <c r="H13" t="s">
        <v>174</v>
      </c>
      <c r="J13" t="s">
        <v>211</v>
      </c>
      <c r="K13" t="s">
        <v>229</v>
      </c>
      <c r="L13">
        <v>0.26107567508088264</v>
      </c>
      <c r="M13">
        <v>0.47814004703314078</v>
      </c>
      <c r="O13" t="s">
        <v>170</v>
      </c>
      <c r="P13" t="s">
        <v>241</v>
      </c>
      <c r="Q13" t="s">
        <v>242</v>
      </c>
      <c r="R13" t="s">
        <v>10</v>
      </c>
      <c r="S13" t="s">
        <v>21</v>
      </c>
      <c r="T13" t="s">
        <v>173</v>
      </c>
      <c r="U13" t="s">
        <v>174</v>
      </c>
      <c r="W13" t="s">
        <v>241</v>
      </c>
      <c r="X13" t="s">
        <v>259</v>
      </c>
      <c r="Y13">
        <v>3.048</v>
      </c>
      <c r="Z13">
        <v>0.28750467069383828</v>
      </c>
    </row>
    <row r="14" spans="2:26">
      <c r="B14" t="s">
        <v>170</v>
      </c>
      <c r="C14" t="s">
        <v>213</v>
      </c>
      <c r="D14" t="s">
        <v>214</v>
      </c>
      <c r="E14" t="s">
        <v>10</v>
      </c>
      <c r="F14" t="s">
        <v>21</v>
      </c>
      <c r="G14" t="s">
        <v>173</v>
      </c>
      <c r="H14" t="s">
        <v>174</v>
      </c>
      <c r="J14" t="s">
        <v>213</v>
      </c>
      <c r="K14" t="s">
        <v>230</v>
      </c>
      <c r="L14">
        <v>1.0032093861259999</v>
      </c>
      <c r="M14">
        <v>0.35024016362894311</v>
      </c>
      <c r="O14" t="s">
        <v>170</v>
      </c>
      <c r="P14" t="s">
        <v>243</v>
      </c>
      <c r="Q14" t="s">
        <v>244</v>
      </c>
      <c r="R14" t="s">
        <v>10</v>
      </c>
      <c r="S14" t="s">
        <v>21</v>
      </c>
      <c r="T14" t="s">
        <v>173</v>
      </c>
      <c r="U14" t="s">
        <v>174</v>
      </c>
      <c r="W14" t="s">
        <v>243</v>
      </c>
      <c r="X14" t="s">
        <v>260</v>
      </c>
      <c r="Y14">
        <v>9.0150000000000006</v>
      </c>
      <c r="Z14">
        <v>0.45257887643123651</v>
      </c>
    </row>
    <row r="15" spans="2:26">
      <c r="B15" t="s">
        <v>170</v>
      </c>
      <c r="C15" t="s">
        <v>215</v>
      </c>
      <c r="D15" t="s">
        <v>216</v>
      </c>
      <c r="E15" t="s">
        <v>10</v>
      </c>
      <c r="F15" t="s">
        <v>21</v>
      </c>
      <c r="G15" t="s">
        <v>173</v>
      </c>
      <c r="H15" t="s">
        <v>174</v>
      </c>
      <c r="J15" t="s">
        <v>215</v>
      </c>
      <c r="K15" t="s">
        <v>231</v>
      </c>
      <c r="L15">
        <v>0.52760894024420313</v>
      </c>
      <c r="M15">
        <v>0.40144059976798202</v>
      </c>
      <c r="O15" t="s">
        <v>170</v>
      </c>
      <c r="P15" t="s">
        <v>245</v>
      </c>
      <c r="Q15" t="s">
        <v>246</v>
      </c>
      <c r="R15" t="s">
        <v>10</v>
      </c>
      <c r="S15" t="s">
        <v>21</v>
      </c>
      <c r="T15" t="s">
        <v>173</v>
      </c>
      <c r="U15" t="s">
        <v>174</v>
      </c>
      <c r="W15" t="s">
        <v>245</v>
      </c>
      <c r="X15" t="s">
        <v>261</v>
      </c>
      <c r="Y15">
        <v>9.3472500000000007</v>
      </c>
      <c r="Z15">
        <v>0.44869827675393242</v>
      </c>
    </row>
    <row r="16" spans="2:26">
      <c r="B16" t="s">
        <v>170</v>
      </c>
      <c r="C16" t="s">
        <v>217</v>
      </c>
      <c r="D16" t="s">
        <v>218</v>
      </c>
      <c r="E16" t="s">
        <v>10</v>
      </c>
      <c r="F16" t="s">
        <v>21</v>
      </c>
      <c r="G16" t="s">
        <v>173</v>
      </c>
      <c r="H16" t="s">
        <v>174</v>
      </c>
      <c r="J16" t="s">
        <v>217</v>
      </c>
      <c r="K16" t="s">
        <v>232</v>
      </c>
      <c r="L16">
        <v>1.262059734475528</v>
      </c>
      <c r="M16">
        <v>0.36483357275006911</v>
      </c>
      <c r="O16" t="s">
        <v>170</v>
      </c>
      <c r="P16" t="s">
        <v>247</v>
      </c>
      <c r="Q16" t="s">
        <v>248</v>
      </c>
      <c r="R16" t="s">
        <v>10</v>
      </c>
      <c r="S16" t="s">
        <v>21</v>
      </c>
      <c r="T16" t="s">
        <v>173</v>
      </c>
      <c r="U16" t="s">
        <v>174</v>
      </c>
      <c r="W16" t="s">
        <v>247</v>
      </c>
      <c r="X16" t="s">
        <v>262</v>
      </c>
      <c r="Y16">
        <v>19.705500000000001</v>
      </c>
      <c r="Z16">
        <v>0.47904088602536332</v>
      </c>
    </row>
    <row r="17" spans="2:26">
      <c r="B17" t="s">
        <v>170</v>
      </c>
      <c r="C17" t="s">
        <v>219</v>
      </c>
      <c r="D17" t="s">
        <v>220</v>
      </c>
      <c r="E17" t="s">
        <v>10</v>
      </c>
      <c r="F17" t="s">
        <v>21</v>
      </c>
      <c r="G17" t="s">
        <v>173</v>
      </c>
      <c r="H17" t="s">
        <v>174</v>
      </c>
      <c r="J17" t="s">
        <v>219</v>
      </c>
      <c r="K17" t="s">
        <v>233</v>
      </c>
      <c r="L17">
        <v>0.97765368656227203</v>
      </c>
      <c r="M17">
        <v>0.365520596150406</v>
      </c>
      <c r="O17" t="s">
        <v>170</v>
      </c>
      <c r="P17" t="s">
        <v>249</v>
      </c>
      <c r="Q17" t="s">
        <v>250</v>
      </c>
      <c r="R17" t="s">
        <v>10</v>
      </c>
      <c r="S17" t="s">
        <v>21</v>
      </c>
      <c r="T17" t="s">
        <v>173</v>
      </c>
      <c r="U17" t="s">
        <v>174</v>
      </c>
      <c r="W17" t="s">
        <v>249</v>
      </c>
      <c r="X17" t="s">
        <v>263</v>
      </c>
      <c r="Y17">
        <v>15.350250000000001</v>
      </c>
      <c r="Z17">
        <v>0.47146795634591199</v>
      </c>
    </row>
    <row r="18" spans="2:26">
      <c r="B18" t="s">
        <v>170</v>
      </c>
      <c r="C18" t="s">
        <v>221</v>
      </c>
      <c r="D18" t="s">
        <v>222</v>
      </c>
      <c r="E18" t="s">
        <v>10</v>
      </c>
      <c r="F18" t="s">
        <v>21</v>
      </c>
      <c r="G18" t="s">
        <v>173</v>
      </c>
      <c r="H18" t="s">
        <v>174</v>
      </c>
      <c r="J18" t="s">
        <v>221</v>
      </c>
      <c r="K18" t="s">
        <v>234</v>
      </c>
      <c r="L18">
        <v>0.19100361948102848</v>
      </c>
      <c r="M18">
        <v>0.41047488326249421</v>
      </c>
      <c r="O18" t="s">
        <v>170</v>
      </c>
      <c r="P18" t="s">
        <v>251</v>
      </c>
      <c r="Q18" t="s">
        <v>252</v>
      </c>
      <c r="R18" t="s">
        <v>10</v>
      </c>
      <c r="S18" t="s">
        <v>21</v>
      </c>
      <c r="T18" t="s">
        <v>173</v>
      </c>
      <c r="U18" t="s">
        <v>174</v>
      </c>
      <c r="W18" t="s">
        <v>251</v>
      </c>
      <c r="X18" t="s">
        <v>264</v>
      </c>
      <c r="Y18">
        <v>17.492999999999999</v>
      </c>
      <c r="Z18">
        <v>0.4831226670907412</v>
      </c>
    </row>
    <row r="19" spans="2:26">
      <c r="B19" t="s">
        <v>170</v>
      </c>
      <c r="C19" t="s">
        <v>223</v>
      </c>
      <c r="D19" t="s">
        <v>224</v>
      </c>
      <c r="E19" t="s">
        <v>10</v>
      </c>
      <c r="F19" t="s">
        <v>21</v>
      </c>
      <c r="G19" t="s">
        <v>173</v>
      </c>
      <c r="H19" t="s">
        <v>174</v>
      </c>
      <c r="J19" t="s">
        <v>223</v>
      </c>
      <c r="K19" t="s">
        <v>235</v>
      </c>
      <c r="L19">
        <v>1.3377951210273744</v>
      </c>
      <c r="M19">
        <v>0.3701937416015697</v>
      </c>
      <c r="O19" t="s">
        <v>170</v>
      </c>
      <c r="P19" t="s">
        <v>253</v>
      </c>
      <c r="Q19" t="s">
        <v>254</v>
      </c>
      <c r="R19" t="s">
        <v>10</v>
      </c>
      <c r="S19" t="s">
        <v>21</v>
      </c>
      <c r="T19" t="s">
        <v>173</v>
      </c>
      <c r="U19" t="s">
        <v>174</v>
      </c>
      <c r="W19" t="s">
        <v>253</v>
      </c>
      <c r="X19" t="s">
        <v>265</v>
      </c>
      <c r="Y19">
        <v>2.87175</v>
      </c>
      <c r="Z19">
        <v>0.45668669806804207</v>
      </c>
    </row>
    <row r="20" spans="2:26">
      <c r="B20" t="s">
        <v>170</v>
      </c>
      <c r="C20" t="s">
        <v>225</v>
      </c>
      <c r="D20" t="s">
        <v>226</v>
      </c>
      <c r="E20" t="s">
        <v>10</v>
      </c>
      <c r="F20" t="s">
        <v>21</v>
      </c>
      <c r="G20" t="s">
        <v>173</v>
      </c>
      <c r="H20" t="s">
        <v>174</v>
      </c>
      <c r="J20" t="s">
        <v>225</v>
      </c>
      <c r="K20" t="s">
        <v>236</v>
      </c>
      <c r="L20">
        <v>1.2814575742790377</v>
      </c>
      <c r="M20">
        <v>0.34038079598992049</v>
      </c>
      <c r="O20" t="s">
        <v>170</v>
      </c>
      <c r="P20" t="s">
        <v>255</v>
      </c>
      <c r="Q20" t="s">
        <v>256</v>
      </c>
      <c r="R20" t="s">
        <v>10</v>
      </c>
      <c r="S20" t="s">
        <v>21</v>
      </c>
      <c r="T20" t="s">
        <v>173</v>
      </c>
      <c r="U20" t="s">
        <v>174</v>
      </c>
      <c r="W20" t="s">
        <v>255</v>
      </c>
      <c r="X20" t="s">
        <v>266</v>
      </c>
      <c r="Y20">
        <v>0.84824999999999995</v>
      </c>
      <c r="Z20">
        <v>0.45368618559080531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3"/>
  <sheetViews>
    <sheetView topLeftCell="A25" workbookViewId="0"/>
  </sheetViews>
  <sheetFormatPr defaultRowHeight="15"/>
  <sheetData>
    <row r="9" spans="2:16">
      <c r="B9" t="s">
        <v>193</v>
      </c>
      <c r="J9" t="s">
        <v>162</v>
      </c>
    </row>
    <row r="10" spans="2:16">
      <c r="B10" t="s">
        <v>164</v>
      </c>
      <c r="C10" t="s">
        <v>267</v>
      </c>
      <c r="D10" t="s">
        <v>194</v>
      </c>
      <c r="E10">
        <v>2023</v>
      </c>
      <c r="F10">
        <v>2030</v>
      </c>
      <c r="G10">
        <v>2050</v>
      </c>
      <c r="H10" t="s">
        <v>53</v>
      </c>
      <c r="J10" t="s">
        <v>163</v>
      </c>
      <c r="K10" t="s">
        <v>164</v>
      </c>
      <c r="L10" t="s">
        <v>165</v>
      </c>
      <c r="M10" t="s">
        <v>166</v>
      </c>
      <c r="N10" t="s">
        <v>167</v>
      </c>
      <c r="O10" t="s">
        <v>168</v>
      </c>
      <c r="P10" t="s">
        <v>169</v>
      </c>
    </row>
    <row r="11" spans="2:16">
      <c r="B11" t="s">
        <v>268</v>
      </c>
      <c r="C11" t="s">
        <v>30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145</v>
      </c>
      <c r="J11" t="s">
        <v>170</v>
      </c>
      <c r="K11" t="s">
        <v>268</v>
      </c>
      <c r="M11" t="s">
        <v>10</v>
      </c>
      <c r="N11" t="s">
        <v>21</v>
      </c>
      <c r="O11" t="s">
        <v>290</v>
      </c>
      <c r="P11" t="s">
        <v>291</v>
      </c>
    </row>
    <row r="12" spans="2:16">
      <c r="B12" t="s">
        <v>268</v>
      </c>
      <c r="C12" t="s">
        <v>30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269</v>
      </c>
      <c r="J12" t="s">
        <v>170</v>
      </c>
      <c r="K12" t="s">
        <v>273</v>
      </c>
      <c r="M12" t="s">
        <v>10</v>
      </c>
      <c r="N12" t="s">
        <v>21</v>
      </c>
      <c r="O12" t="s">
        <v>290</v>
      </c>
      <c r="P12" t="s">
        <v>291</v>
      </c>
    </row>
    <row r="13" spans="2:16">
      <c r="B13" t="s">
        <v>268</v>
      </c>
      <c r="C13" t="s">
        <v>30</v>
      </c>
      <c r="D13" t="s">
        <v>19</v>
      </c>
      <c r="E13">
        <v>5750</v>
      </c>
      <c r="F13">
        <v>5700</v>
      </c>
      <c r="G13">
        <v>5100</v>
      </c>
      <c r="H13" t="s">
        <v>270</v>
      </c>
      <c r="J13" t="s">
        <v>170</v>
      </c>
      <c r="K13" t="s">
        <v>274</v>
      </c>
      <c r="M13" t="s">
        <v>10</v>
      </c>
      <c r="N13" t="s">
        <v>21</v>
      </c>
      <c r="O13" t="s">
        <v>290</v>
      </c>
      <c r="P13" t="s">
        <v>291</v>
      </c>
    </row>
    <row r="14" spans="2:16">
      <c r="B14" t="s">
        <v>268</v>
      </c>
      <c r="C14" t="s">
        <v>30</v>
      </c>
      <c r="D14" t="s">
        <v>19</v>
      </c>
      <c r="E14">
        <v>200</v>
      </c>
      <c r="F14">
        <v>200</v>
      </c>
      <c r="G14">
        <v>175</v>
      </c>
      <c r="H14" t="s">
        <v>271</v>
      </c>
      <c r="J14" t="s">
        <v>170</v>
      </c>
      <c r="K14" t="s">
        <v>275</v>
      </c>
      <c r="M14" t="s">
        <v>10</v>
      </c>
      <c r="N14" t="s">
        <v>21</v>
      </c>
      <c r="O14" t="s">
        <v>290</v>
      </c>
      <c r="P14" t="s">
        <v>291</v>
      </c>
    </row>
    <row r="15" spans="2:16">
      <c r="B15" t="s">
        <v>268</v>
      </c>
      <c r="C15" t="s">
        <v>30</v>
      </c>
      <c r="D15" t="s">
        <v>19</v>
      </c>
      <c r="E15">
        <v>3</v>
      </c>
      <c r="F15">
        <v>3</v>
      </c>
      <c r="G15">
        <v>3</v>
      </c>
      <c r="H15" t="s">
        <v>272</v>
      </c>
      <c r="J15" t="s">
        <v>170</v>
      </c>
      <c r="K15" t="s">
        <v>276</v>
      </c>
      <c r="M15" t="s">
        <v>10</v>
      </c>
      <c r="N15" t="s">
        <v>21</v>
      </c>
      <c r="O15" t="s">
        <v>290</v>
      </c>
      <c r="P15" t="s">
        <v>291</v>
      </c>
    </row>
    <row r="16" spans="2:16">
      <c r="B16" t="s">
        <v>273</v>
      </c>
      <c r="C16" t="s">
        <v>30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145</v>
      </c>
      <c r="J16" t="s">
        <v>170</v>
      </c>
      <c r="K16" t="s">
        <v>277</v>
      </c>
      <c r="M16" t="s">
        <v>10</v>
      </c>
      <c r="N16" t="s">
        <v>21</v>
      </c>
      <c r="O16" t="s">
        <v>290</v>
      </c>
      <c r="P16" t="s">
        <v>291</v>
      </c>
    </row>
    <row r="17" spans="2:16">
      <c r="B17" t="s">
        <v>273</v>
      </c>
      <c r="C17" t="s">
        <v>30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269</v>
      </c>
      <c r="J17" t="s">
        <v>170</v>
      </c>
      <c r="K17" t="s">
        <v>278</v>
      </c>
      <c r="M17" t="s">
        <v>10</v>
      </c>
      <c r="N17" t="s">
        <v>21</v>
      </c>
      <c r="O17" t="s">
        <v>290</v>
      </c>
      <c r="P17" t="s">
        <v>291</v>
      </c>
    </row>
    <row r="18" spans="2:16">
      <c r="B18" t="s">
        <v>273</v>
      </c>
      <c r="C18" t="s">
        <v>30</v>
      </c>
      <c r="D18" t="s">
        <v>19</v>
      </c>
      <c r="E18">
        <v>2400</v>
      </c>
      <c r="F18">
        <v>2350</v>
      </c>
      <c r="G18">
        <v>2300</v>
      </c>
      <c r="H18" t="s">
        <v>270</v>
      </c>
      <c r="J18" t="s">
        <v>170</v>
      </c>
      <c r="K18" t="s">
        <v>279</v>
      </c>
      <c r="M18" t="s">
        <v>10</v>
      </c>
      <c r="N18" t="s">
        <v>21</v>
      </c>
      <c r="O18" t="s">
        <v>290</v>
      </c>
      <c r="P18" t="s">
        <v>291</v>
      </c>
    </row>
    <row r="19" spans="2:16">
      <c r="B19" t="s">
        <v>273</v>
      </c>
      <c r="C19" t="s">
        <v>30</v>
      </c>
      <c r="D19" t="s">
        <v>19</v>
      </c>
      <c r="E19">
        <v>85</v>
      </c>
      <c r="F19">
        <v>85</v>
      </c>
      <c r="G19">
        <v>80</v>
      </c>
      <c r="H19" t="s">
        <v>271</v>
      </c>
      <c r="J19" t="s">
        <v>170</v>
      </c>
      <c r="K19" t="s">
        <v>280</v>
      </c>
      <c r="M19" t="s">
        <v>10</v>
      </c>
      <c r="N19" t="s">
        <v>21</v>
      </c>
      <c r="O19" t="s">
        <v>290</v>
      </c>
      <c r="P19" t="s">
        <v>291</v>
      </c>
    </row>
    <row r="20" spans="2:16">
      <c r="B20" t="s">
        <v>273</v>
      </c>
      <c r="C20" t="s">
        <v>30</v>
      </c>
      <c r="D20" t="s">
        <v>19</v>
      </c>
      <c r="E20">
        <v>3</v>
      </c>
      <c r="F20">
        <v>3</v>
      </c>
      <c r="G20">
        <v>3</v>
      </c>
      <c r="H20" t="s">
        <v>272</v>
      </c>
      <c r="J20" t="s">
        <v>170</v>
      </c>
      <c r="K20" t="s">
        <v>281</v>
      </c>
      <c r="M20" t="s">
        <v>10</v>
      </c>
      <c r="N20" t="s">
        <v>21</v>
      </c>
      <c r="O20" t="s">
        <v>290</v>
      </c>
      <c r="P20" t="s">
        <v>291</v>
      </c>
    </row>
    <row r="21" spans="2:16">
      <c r="B21" t="s">
        <v>274</v>
      </c>
      <c r="C21" t="s">
        <v>32</v>
      </c>
      <c r="D21" t="s">
        <v>19</v>
      </c>
      <c r="E21">
        <v>0.59</v>
      </c>
      <c r="F21">
        <v>0.6</v>
      </c>
      <c r="G21">
        <v>0.61</v>
      </c>
      <c r="H21" t="s">
        <v>145</v>
      </c>
      <c r="J21" t="s">
        <v>170</v>
      </c>
      <c r="K21" t="s">
        <v>282</v>
      </c>
      <c r="M21" t="s">
        <v>10</v>
      </c>
      <c r="N21" t="s">
        <v>21</v>
      </c>
      <c r="O21" t="s">
        <v>290</v>
      </c>
      <c r="P21" t="s">
        <v>291</v>
      </c>
    </row>
    <row r="22" spans="2:16">
      <c r="B22" t="s">
        <v>274</v>
      </c>
      <c r="C22" t="s">
        <v>32</v>
      </c>
      <c r="D22" t="s">
        <v>19</v>
      </c>
      <c r="E22">
        <v>1000</v>
      </c>
      <c r="F22">
        <v>1000</v>
      </c>
      <c r="G22">
        <v>1000</v>
      </c>
      <c r="H22" t="s">
        <v>270</v>
      </c>
      <c r="J22" t="s">
        <v>170</v>
      </c>
      <c r="K22" t="s">
        <v>283</v>
      </c>
      <c r="M22" t="s">
        <v>10</v>
      </c>
      <c r="N22" t="s">
        <v>21</v>
      </c>
      <c r="O22" t="s">
        <v>290</v>
      </c>
      <c r="P22" t="s">
        <v>291</v>
      </c>
    </row>
    <row r="23" spans="2:16">
      <c r="B23" t="s">
        <v>274</v>
      </c>
      <c r="C23" t="s">
        <v>32</v>
      </c>
      <c r="D23" t="s">
        <v>19</v>
      </c>
      <c r="E23">
        <v>25</v>
      </c>
      <c r="F23">
        <v>25</v>
      </c>
      <c r="G23">
        <v>25</v>
      </c>
      <c r="H23" t="s">
        <v>271</v>
      </c>
      <c r="J23" t="s">
        <v>170</v>
      </c>
      <c r="K23" t="s">
        <v>284</v>
      </c>
      <c r="M23" t="s">
        <v>10</v>
      </c>
      <c r="N23" t="s">
        <v>21</v>
      </c>
      <c r="O23" t="s">
        <v>290</v>
      </c>
      <c r="P23" t="s">
        <v>291</v>
      </c>
    </row>
    <row r="24" spans="2:16">
      <c r="B24" t="s">
        <v>275</v>
      </c>
      <c r="C24" t="s">
        <v>32</v>
      </c>
      <c r="D24" t="s">
        <v>19</v>
      </c>
      <c r="E24">
        <v>0.51</v>
      </c>
      <c r="F24">
        <v>0.52</v>
      </c>
      <c r="G24">
        <v>0.54</v>
      </c>
      <c r="H24" t="s">
        <v>145</v>
      </c>
      <c r="J24" t="s">
        <v>170</v>
      </c>
      <c r="K24" t="s">
        <v>285</v>
      </c>
      <c r="M24" t="s">
        <v>10</v>
      </c>
      <c r="N24" t="s">
        <v>21</v>
      </c>
      <c r="O24" t="s">
        <v>290</v>
      </c>
      <c r="P24" t="s">
        <v>291</v>
      </c>
    </row>
    <row r="25" spans="2:16">
      <c r="B25" t="s">
        <v>275</v>
      </c>
      <c r="C25" t="s">
        <v>32</v>
      </c>
      <c r="D25" t="s">
        <v>19</v>
      </c>
      <c r="E25">
        <v>3100</v>
      </c>
      <c r="F25">
        <v>3100</v>
      </c>
      <c r="G25">
        <v>2400</v>
      </c>
      <c r="H25" t="s">
        <v>270</v>
      </c>
      <c r="J25" t="s">
        <v>170</v>
      </c>
      <c r="K25" t="s">
        <v>286</v>
      </c>
      <c r="M25" t="s">
        <v>10</v>
      </c>
      <c r="N25" t="s">
        <v>21</v>
      </c>
      <c r="O25" t="s">
        <v>290</v>
      </c>
      <c r="P25" t="s">
        <v>291</v>
      </c>
    </row>
    <row r="26" spans="2:16">
      <c r="B26" t="s">
        <v>275</v>
      </c>
      <c r="C26" t="s">
        <v>32</v>
      </c>
      <c r="D26" t="s">
        <v>19</v>
      </c>
      <c r="E26">
        <v>75</v>
      </c>
      <c r="F26">
        <v>75</v>
      </c>
      <c r="G26">
        <v>60</v>
      </c>
      <c r="H26" t="s">
        <v>271</v>
      </c>
      <c r="J26" t="s">
        <v>170</v>
      </c>
      <c r="K26" t="s">
        <v>287</v>
      </c>
      <c r="M26" t="s">
        <v>10</v>
      </c>
      <c r="N26" t="s">
        <v>21</v>
      </c>
      <c r="O26" t="s">
        <v>290</v>
      </c>
      <c r="P26" t="s">
        <v>291</v>
      </c>
    </row>
    <row r="27" spans="2:16">
      <c r="B27" t="s">
        <v>276</v>
      </c>
      <c r="C27" t="s">
        <v>31</v>
      </c>
      <c r="D27" t="s">
        <v>19</v>
      </c>
      <c r="E27">
        <v>0.37</v>
      </c>
      <c r="F27">
        <v>0.38</v>
      </c>
      <c r="G27">
        <v>0.39</v>
      </c>
      <c r="H27" t="s">
        <v>145</v>
      </c>
      <c r="J27" t="s">
        <v>170</v>
      </c>
      <c r="K27" t="s">
        <v>289</v>
      </c>
      <c r="M27" t="s">
        <v>10</v>
      </c>
      <c r="N27" t="s">
        <v>21</v>
      </c>
      <c r="O27" t="s">
        <v>290</v>
      </c>
      <c r="P27" t="s">
        <v>291</v>
      </c>
    </row>
    <row r="28" spans="2:16">
      <c r="B28" t="s">
        <v>276</v>
      </c>
      <c r="C28" t="s">
        <v>31</v>
      </c>
      <c r="D28" t="s">
        <v>19</v>
      </c>
      <c r="E28">
        <v>5500</v>
      </c>
      <c r="F28">
        <v>5500</v>
      </c>
      <c r="G28">
        <v>4350</v>
      </c>
      <c r="H28" t="s">
        <v>270</v>
      </c>
    </row>
    <row r="29" spans="2:16">
      <c r="B29" t="s">
        <v>276</v>
      </c>
      <c r="C29" t="s">
        <v>31</v>
      </c>
      <c r="D29" t="s">
        <v>19</v>
      </c>
      <c r="E29">
        <v>165</v>
      </c>
      <c r="F29">
        <v>165</v>
      </c>
      <c r="G29">
        <v>130</v>
      </c>
      <c r="H29" t="s">
        <v>271</v>
      </c>
    </row>
    <row r="30" spans="2:16">
      <c r="B30" t="s">
        <v>277</v>
      </c>
      <c r="C30" t="s">
        <v>32</v>
      </c>
      <c r="D30" t="s">
        <v>19</v>
      </c>
      <c r="E30">
        <v>0.4</v>
      </c>
      <c r="F30">
        <v>0.41000000000000003</v>
      </c>
      <c r="G30">
        <v>0.42</v>
      </c>
      <c r="H30" t="s">
        <v>145</v>
      </c>
    </row>
    <row r="31" spans="2:16">
      <c r="B31" t="s">
        <v>277</v>
      </c>
      <c r="C31" t="s">
        <v>32</v>
      </c>
      <c r="D31" t="s">
        <v>19</v>
      </c>
      <c r="E31">
        <v>500</v>
      </c>
      <c r="F31">
        <v>500</v>
      </c>
      <c r="G31">
        <v>500</v>
      </c>
      <c r="H31" t="s">
        <v>270</v>
      </c>
    </row>
    <row r="32" spans="2:16">
      <c r="B32" t="s">
        <v>277</v>
      </c>
      <c r="C32" t="s">
        <v>32</v>
      </c>
      <c r="D32" t="s">
        <v>19</v>
      </c>
      <c r="E32">
        <v>20</v>
      </c>
      <c r="F32">
        <v>20</v>
      </c>
      <c r="G32">
        <v>20</v>
      </c>
      <c r="H32" t="s">
        <v>271</v>
      </c>
    </row>
    <row r="33" spans="2:8">
      <c r="B33" t="s">
        <v>278</v>
      </c>
      <c r="C33" t="s">
        <v>27</v>
      </c>
      <c r="D33" t="s">
        <v>19</v>
      </c>
      <c r="E33">
        <v>1</v>
      </c>
      <c r="F33">
        <v>1</v>
      </c>
      <c r="G33">
        <v>1</v>
      </c>
      <c r="H33" t="s">
        <v>145</v>
      </c>
    </row>
    <row r="34" spans="2:8">
      <c r="B34" t="s">
        <v>278</v>
      </c>
      <c r="C34" t="s">
        <v>27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269</v>
      </c>
    </row>
    <row r="35" spans="2:8">
      <c r="B35" t="s">
        <v>278</v>
      </c>
      <c r="C35" t="s">
        <v>27</v>
      </c>
      <c r="D35" t="s">
        <v>19</v>
      </c>
      <c r="E35">
        <v>2650</v>
      </c>
      <c r="F35">
        <v>2650</v>
      </c>
      <c r="G35">
        <v>2650</v>
      </c>
      <c r="H35" t="s">
        <v>270</v>
      </c>
    </row>
    <row r="36" spans="2:8">
      <c r="B36" t="s">
        <v>278</v>
      </c>
      <c r="C36" t="s">
        <v>27</v>
      </c>
      <c r="D36" t="s">
        <v>19</v>
      </c>
      <c r="E36">
        <v>65</v>
      </c>
      <c r="F36">
        <v>65</v>
      </c>
      <c r="G36">
        <v>65</v>
      </c>
      <c r="H36" t="s">
        <v>271</v>
      </c>
    </row>
    <row r="37" spans="2:8">
      <c r="B37" t="s">
        <v>278</v>
      </c>
      <c r="C37" t="s">
        <v>27</v>
      </c>
      <c r="D37" t="s">
        <v>19</v>
      </c>
      <c r="E37">
        <v>4</v>
      </c>
      <c r="F37">
        <v>4</v>
      </c>
      <c r="G37">
        <v>4</v>
      </c>
      <c r="H37" t="s">
        <v>272</v>
      </c>
    </row>
    <row r="38" spans="2:8">
      <c r="B38" t="s">
        <v>279</v>
      </c>
      <c r="C38" t="s">
        <v>32</v>
      </c>
      <c r="D38" t="s">
        <v>19</v>
      </c>
      <c r="E38">
        <v>0.45</v>
      </c>
      <c r="F38">
        <v>0.47000000000000003</v>
      </c>
      <c r="G38">
        <v>0.5</v>
      </c>
      <c r="H38" t="s">
        <v>145</v>
      </c>
    </row>
    <row r="39" spans="2:8">
      <c r="B39" t="s">
        <v>279</v>
      </c>
      <c r="C39" t="s">
        <v>32</v>
      </c>
      <c r="D39" t="s">
        <v>19</v>
      </c>
      <c r="E39">
        <v>2500</v>
      </c>
      <c r="F39">
        <v>2350</v>
      </c>
      <c r="G39">
        <v>2300</v>
      </c>
      <c r="H39" t="s">
        <v>270</v>
      </c>
    </row>
    <row r="40" spans="2:8">
      <c r="B40" t="s">
        <v>279</v>
      </c>
      <c r="C40" t="s">
        <v>32</v>
      </c>
      <c r="D40" t="s">
        <v>19</v>
      </c>
      <c r="E40">
        <v>95</v>
      </c>
      <c r="F40">
        <v>85</v>
      </c>
      <c r="G40">
        <v>80</v>
      </c>
      <c r="H40" t="s">
        <v>271</v>
      </c>
    </row>
    <row r="41" spans="2:8">
      <c r="B41" t="s">
        <v>280</v>
      </c>
      <c r="C41" t="s">
        <v>31</v>
      </c>
      <c r="D41" t="s">
        <v>19</v>
      </c>
      <c r="E41">
        <v>0.36</v>
      </c>
      <c r="F41">
        <v>0.38</v>
      </c>
      <c r="G41">
        <v>0.43</v>
      </c>
      <c r="H41" t="s">
        <v>145</v>
      </c>
    </row>
    <row r="42" spans="2:8">
      <c r="B42" t="s">
        <v>280</v>
      </c>
      <c r="C42" t="s">
        <v>31</v>
      </c>
      <c r="D42" t="s">
        <v>19</v>
      </c>
      <c r="E42">
        <v>5850</v>
      </c>
      <c r="F42">
        <v>5700</v>
      </c>
      <c r="G42">
        <v>5100</v>
      </c>
      <c r="H42" t="s">
        <v>270</v>
      </c>
    </row>
    <row r="43" spans="2:8">
      <c r="B43" t="s">
        <v>280</v>
      </c>
      <c r="C43" t="s">
        <v>31</v>
      </c>
      <c r="D43" t="s">
        <v>19</v>
      </c>
      <c r="E43">
        <v>205</v>
      </c>
      <c r="F43">
        <v>200</v>
      </c>
      <c r="G43">
        <v>180</v>
      </c>
      <c r="H43" t="s">
        <v>271</v>
      </c>
    </row>
    <row r="44" spans="2:8">
      <c r="B44" t="s">
        <v>281</v>
      </c>
      <c r="C44" t="s">
        <v>35</v>
      </c>
      <c r="D44" t="s">
        <v>19</v>
      </c>
      <c r="E44">
        <v>0.33</v>
      </c>
      <c r="F44">
        <v>0.33</v>
      </c>
      <c r="G44">
        <v>0.33</v>
      </c>
      <c r="H44" t="s">
        <v>145</v>
      </c>
    </row>
    <row r="45" spans="2:8">
      <c r="B45" t="s">
        <v>281</v>
      </c>
      <c r="C45" t="s">
        <v>35</v>
      </c>
      <c r="D45" t="s">
        <v>19</v>
      </c>
      <c r="E45">
        <v>6600</v>
      </c>
      <c r="F45">
        <v>5100</v>
      </c>
      <c r="G45">
        <v>4500</v>
      </c>
      <c r="H45" t="s">
        <v>270</v>
      </c>
    </row>
    <row r="46" spans="2:8">
      <c r="B46" t="s">
        <v>281</v>
      </c>
      <c r="C46" t="s">
        <v>35</v>
      </c>
      <c r="D46" t="s">
        <v>19</v>
      </c>
      <c r="E46">
        <v>165</v>
      </c>
      <c r="F46">
        <v>165</v>
      </c>
      <c r="G46">
        <v>160</v>
      </c>
      <c r="H46" t="s">
        <v>271</v>
      </c>
    </row>
    <row r="47" spans="2:8">
      <c r="B47" t="s">
        <v>282</v>
      </c>
      <c r="C47" t="s">
        <v>31</v>
      </c>
      <c r="D47" t="s">
        <v>19</v>
      </c>
      <c r="E47">
        <v>0.37</v>
      </c>
      <c r="F47">
        <v>0.38</v>
      </c>
      <c r="G47">
        <v>0.39</v>
      </c>
      <c r="H47" t="s">
        <v>145</v>
      </c>
    </row>
    <row r="48" spans="2:8">
      <c r="B48" t="s">
        <v>282</v>
      </c>
      <c r="C48" t="s">
        <v>31</v>
      </c>
      <c r="D48" t="s">
        <v>19</v>
      </c>
      <c r="E48">
        <v>5700</v>
      </c>
      <c r="F48">
        <v>5700</v>
      </c>
      <c r="G48">
        <v>5100</v>
      </c>
      <c r="H48" t="s">
        <v>270</v>
      </c>
    </row>
    <row r="49" spans="2:8">
      <c r="B49" t="s">
        <v>282</v>
      </c>
      <c r="C49" t="s">
        <v>31</v>
      </c>
      <c r="D49" t="s">
        <v>19</v>
      </c>
      <c r="E49">
        <v>170</v>
      </c>
      <c r="F49">
        <v>170</v>
      </c>
      <c r="G49">
        <v>155</v>
      </c>
      <c r="H49" t="s">
        <v>271</v>
      </c>
    </row>
    <row r="50" spans="2:8">
      <c r="B50" t="s">
        <v>283</v>
      </c>
      <c r="C50" t="s">
        <v>26</v>
      </c>
      <c r="D50" t="s">
        <v>19</v>
      </c>
      <c r="E50">
        <v>1</v>
      </c>
      <c r="F50">
        <v>1</v>
      </c>
      <c r="G50">
        <v>1</v>
      </c>
      <c r="H50" t="s">
        <v>145</v>
      </c>
    </row>
    <row r="51" spans="2:8">
      <c r="B51" t="s">
        <v>283</v>
      </c>
      <c r="C51" t="s">
        <v>26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269</v>
      </c>
    </row>
    <row r="52" spans="2:8">
      <c r="B52" t="s">
        <v>283</v>
      </c>
      <c r="C52" t="s">
        <v>26</v>
      </c>
      <c r="D52" t="s">
        <v>19</v>
      </c>
      <c r="E52">
        <v>750</v>
      </c>
      <c r="F52">
        <v>480</v>
      </c>
      <c r="G52">
        <v>340</v>
      </c>
      <c r="H52" t="s">
        <v>270</v>
      </c>
    </row>
    <row r="53" spans="2:8">
      <c r="B53" t="s">
        <v>283</v>
      </c>
      <c r="C53" t="s">
        <v>26</v>
      </c>
      <c r="D53" t="s">
        <v>19</v>
      </c>
      <c r="E53">
        <v>12</v>
      </c>
      <c r="F53">
        <v>10</v>
      </c>
      <c r="G53">
        <v>10</v>
      </c>
      <c r="H53" t="s">
        <v>271</v>
      </c>
    </row>
    <row r="54" spans="2:8">
      <c r="B54" t="s">
        <v>283</v>
      </c>
      <c r="C54" t="s">
        <v>26</v>
      </c>
      <c r="D54" t="s">
        <v>19</v>
      </c>
      <c r="E54">
        <v>1.5</v>
      </c>
      <c r="F54">
        <v>1.5</v>
      </c>
      <c r="G54">
        <v>1.5</v>
      </c>
      <c r="H54" t="s">
        <v>272</v>
      </c>
    </row>
    <row r="55" spans="2:8">
      <c r="B55" t="s">
        <v>284</v>
      </c>
      <c r="C55" t="s">
        <v>31</v>
      </c>
      <c r="D55" t="s">
        <v>19</v>
      </c>
      <c r="E55">
        <v>0.39</v>
      </c>
      <c r="F55">
        <v>0.39</v>
      </c>
      <c r="G55">
        <v>0.39</v>
      </c>
      <c r="H55" t="s">
        <v>145</v>
      </c>
    </row>
    <row r="56" spans="2:8">
      <c r="B56" t="s">
        <v>284</v>
      </c>
      <c r="C56" t="s">
        <v>31</v>
      </c>
      <c r="D56" t="s">
        <v>19</v>
      </c>
      <c r="E56">
        <v>1700</v>
      </c>
      <c r="F56">
        <v>1700</v>
      </c>
      <c r="G56">
        <v>1700</v>
      </c>
      <c r="H56" t="s">
        <v>270</v>
      </c>
    </row>
    <row r="57" spans="2:8">
      <c r="B57" t="s">
        <v>284</v>
      </c>
      <c r="C57" t="s">
        <v>31</v>
      </c>
      <c r="D57" t="s">
        <v>19</v>
      </c>
      <c r="E57">
        <v>45</v>
      </c>
      <c r="F57">
        <v>45</v>
      </c>
      <c r="G57">
        <v>45</v>
      </c>
      <c r="H57" t="s">
        <v>271</v>
      </c>
    </row>
    <row r="58" spans="2:8">
      <c r="B58" t="s">
        <v>285</v>
      </c>
      <c r="C58" t="s">
        <v>31</v>
      </c>
      <c r="D58" t="s">
        <v>19</v>
      </c>
      <c r="E58">
        <v>0.43</v>
      </c>
      <c r="F58">
        <v>0.43</v>
      </c>
      <c r="G58">
        <v>0.43</v>
      </c>
      <c r="H58" t="s">
        <v>145</v>
      </c>
    </row>
    <row r="59" spans="2:8">
      <c r="B59" t="s">
        <v>285</v>
      </c>
      <c r="C59" t="s">
        <v>31</v>
      </c>
      <c r="D59" t="s">
        <v>19</v>
      </c>
      <c r="E59">
        <v>2000</v>
      </c>
      <c r="F59">
        <v>2000</v>
      </c>
      <c r="G59">
        <v>2000</v>
      </c>
      <c r="H59" t="s">
        <v>270</v>
      </c>
    </row>
    <row r="60" spans="2:8">
      <c r="B60" t="s">
        <v>285</v>
      </c>
      <c r="C60" t="s">
        <v>31</v>
      </c>
      <c r="D60" t="s">
        <v>19</v>
      </c>
      <c r="E60">
        <v>60</v>
      </c>
      <c r="F60">
        <v>60</v>
      </c>
      <c r="G60">
        <v>60</v>
      </c>
      <c r="H60" t="s">
        <v>271</v>
      </c>
    </row>
    <row r="61" spans="2:8">
      <c r="B61" t="s">
        <v>286</v>
      </c>
      <c r="C61" t="s">
        <v>31</v>
      </c>
      <c r="D61" t="s">
        <v>19</v>
      </c>
      <c r="E61">
        <v>0.46</v>
      </c>
      <c r="F61">
        <v>0.46</v>
      </c>
      <c r="G61">
        <v>0.48</v>
      </c>
      <c r="H61" t="s">
        <v>145</v>
      </c>
    </row>
    <row r="62" spans="2:8">
      <c r="B62" t="s">
        <v>286</v>
      </c>
      <c r="C62" t="s">
        <v>31</v>
      </c>
      <c r="D62" t="s">
        <v>19</v>
      </c>
      <c r="E62">
        <v>2200</v>
      </c>
      <c r="F62">
        <v>2200</v>
      </c>
      <c r="G62">
        <v>2200</v>
      </c>
      <c r="H62" t="s">
        <v>270</v>
      </c>
    </row>
    <row r="63" spans="2:8">
      <c r="B63" t="s">
        <v>286</v>
      </c>
      <c r="C63" t="s">
        <v>31</v>
      </c>
      <c r="D63" t="s">
        <v>19</v>
      </c>
      <c r="E63">
        <v>65</v>
      </c>
      <c r="F63">
        <v>65</v>
      </c>
      <c r="G63">
        <v>65</v>
      </c>
      <c r="H63" t="s">
        <v>271</v>
      </c>
    </row>
    <row r="64" spans="2:8">
      <c r="B64" t="s">
        <v>287</v>
      </c>
      <c r="C64" t="s">
        <v>288</v>
      </c>
      <c r="D64" t="s">
        <v>19</v>
      </c>
      <c r="E64">
        <v>1</v>
      </c>
      <c r="F64">
        <v>1</v>
      </c>
      <c r="G64">
        <v>1</v>
      </c>
      <c r="H64" t="s">
        <v>145</v>
      </c>
    </row>
    <row r="65" spans="2:8">
      <c r="B65" t="s">
        <v>287</v>
      </c>
      <c r="C65" t="s">
        <v>288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269</v>
      </c>
    </row>
    <row r="66" spans="2:8">
      <c r="B66" t="s">
        <v>287</v>
      </c>
      <c r="C66" t="s">
        <v>288</v>
      </c>
      <c r="D66" t="s">
        <v>19</v>
      </c>
      <c r="E66">
        <v>3120</v>
      </c>
      <c r="F66">
        <v>2280</v>
      </c>
      <c r="G66">
        <v>1660</v>
      </c>
      <c r="H66" t="s">
        <v>270</v>
      </c>
    </row>
    <row r="67" spans="2:8">
      <c r="B67" t="s">
        <v>287</v>
      </c>
      <c r="C67" t="s">
        <v>288</v>
      </c>
      <c r="D67" t="s">
        <v>19</v>
      </c>
      <c r="E67">
        <v>60</v>
      </c>
      <c r="F67">
        <v>50</v>
      </c>
      <c r="G67">
        <v>40</v>
      </c>
      <c r="H67" t="s">
        <v>271</v>
      </c>
    </row>
    <row r="68" spans="2:8">
      <c r="B68" t="s">
        <v>287</v>
      </c>
      <c r="C68" t="s">
        <v>288</v>
      </c>
      <c r="D68" t="s">
        <v>19</v>
      </c>
      <c r="E68">
        <v>3</v>
      </c>
      <c r="F68">
        <v>3</v>
      </c>
      <c r="G68">
        <v>3</v>
      </c>
      <c r="H68" t="s">
        <v>272</v>
      </c>
    </row>
    <row r="69" spans="2:8">
      <c r="B69" t="s">
        <v>289</v>
      </c>
      <c r="C69" t="s">
        <v>288</v>
      </c>
      <c r="D69" t="s">
        <v>19</v>
      </c>
      <c r="E69">
        <v>1</v>
      </c>
      <c r="F69">
        <v>1</v>
      </c>
      <c r="G69">
        <v>1</v>
      </c>
      <c r="H69" t="s">
        <v>145</v>
      </c>
    </row>
    <row r="70" spans="2:8">
      <c r="B70" t="s">
        <v>289</v>
      </c>
      <c r="C70" t="s">
        <v>288</v>
      </c>
      <c r="D70" t="s">
        <v>19</v>
      </c>
      <c r="E70">
        <v>0.28999999999999998</v>
      </c>
      <c r="F70">
        <v>0.3</v>
      </c>
      <c r="G70">
        <v>0.3</v>
      </c>
      <c r="H70" t="s">
        <v>269</v>
      </c>
    </row>
    <row r="71" spans="2:8">
      <c r="B71" t="s">
        <v>289</v>
      </c>
      <c r="C71" t="s">
        <v>288</v>
      </c>
      <c r="D71" t="s">
        <v>19</v>
      </c>
      <c r="E71">
        <v>1630</v>
      </c>
      <c r="F71">
        <v>1550</v>
      </c>
      <c r="G71">
        <v>1490</v>
      </c>
      <c r="H71" t="s">
        <v>270</v>
      </c>
    </row>
    <row r="72" spans="2:8">
      <c r="B72" t="s">
        <v>289</v>
      </c>
      <c r="C72" t="s">
        <v>288</v>
      </c>
      <c r="D72" t="s">
        <v>19</v>
      </c>
      <c r="E72">
        <v>42</v>
      </c>
      <c r="F72">
        <v>40</v>
      </c>
      <c r="G72">
        <v>38</v>
      </c>
      <c r="H72" t="s">
        <v>271</v>
      </c>
    </row>
    <row r="73" spans="2:8">
      <c r="B73" t="s">
        <v>289</v>
      </c>
      <c r="C73" t="s">
        <v>288</v>
      </c>
      <c r="D73" t="s">
        <v>19</v>
      </c>
      <c r="E73">
        <v>1.5</v>
      </c>
      <c r="F73">
        <v>1.5</v>
      </c>
      <c r="G73">
        <v>1.5</v>
      </c>
      <c r="H73" t="s">
        <v>272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2026-02-09T15:12:43Z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