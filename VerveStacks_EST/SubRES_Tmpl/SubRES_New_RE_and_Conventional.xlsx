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06BADCC9-AC1A-4FF7-B699-0033AB380B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50" i="7" l="1"/>
  <c r="W87" i="9" l="1"/>
  <c r="O66" i="9"/>
  <c r="O67" i="9"/>
  <c r="R11" i="7" l="1"/>
  <c r="R12" i="7"/>
  <c r="R13" i="7"/>
  <c r="O49" i="7"/>
  <c r="P66" i="9"/>
  <c r="L5" i="10"/>
  <c r="L11" i="7" l="1"/>
  <c r="L13" i="7" l="1"/>
  <c r="L12" i="7"/>
  <c r="J52" i="7"/>
  <c r="J49" i="7"/>
  <c r="L10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45" i="7" l="1"/>
  <c r="J44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46" i="7"/>
  <c r="L9" i="7"/>
  <c r="L8" i="7"/>
  <c r="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52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<sst xmlns="http://schemas.openxmlformats.org/spreadsheetml/2006/main" count="1076" uniqueCount="309">
  <si>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</si>
  <si>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</si>
  <si>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</si>
  <si>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</si>
  <si>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</si>
  <si>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</si>
  <si>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</si>
  <si>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</si>
  <si>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GW</t>
  </si>
  <si>
    <t>Tslvl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</si>
  <si>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</si>
  <si>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</si>
  <si>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</si>
  <si>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</si>
  <si>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</si>
  <si>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</si>
  <si>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</si>
  <si>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</si>
  <si>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</si>
  <si>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</si>
  <si>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</si>
  <si>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</si>
  <si>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</si>
  <si>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</si>
  <si>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</si>
  <si>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</si>
  <si>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</si>
  <si>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</si>
  <si>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</si>
  <si>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</si>
  <si>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</si>
  <si>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</si>
  <si>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</si>
  <si>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</si>
  <si>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</si>
  <si>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</si>
  <si>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</si>
  <si>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</si>
  <si>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</si>
  <si>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</si>
  <si>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</si>
  <si>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</si>
  <si>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</si>
  <si>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</si>
  <si>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</si>
  <si>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</si>
  <si>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</si>
  <si>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</si>
  <si>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</si>
  <si>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</si>
  <si>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</si>
  <si>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</si>
  <si>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</si>
  <si>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</si>
  <si>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</si>
  <si>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</si>
  <si>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</si>
  <si>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</si>
  <si>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</si>
  <si>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</si>
  <si>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</si>
  <si>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</si>
  <si>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</si>
  <si>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</si>
  <si>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</si>
  <si>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</si>
  <si>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</si>
  <si>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</si>
  <si>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</si>
  <si>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</si>
  <si>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</si>
  <si>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</si>
  <si>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</si>
  <si>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</si>
  <si>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</si>
  <si>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</si>
  <si>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</si>
  <si>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</si>
  <si>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</si>
  <si>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</si>
  <si>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</si>
  <si>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</si>
  <si>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</si>
  <si>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</si>
  <si>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</si>
  <si>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</si>
  <si>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</si>
  <si>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</si>
  <si>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</si>
  <si>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</si>
  <si>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</si>
  <si>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</si>
  <si>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</si>
  <si>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</si>
  <si>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</si>
  <si>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</si>
  <si>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</si>
  <si>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</si>
  <si>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</si>
  <si>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</si>
  <si>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</si>
  <si>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</si>
  <si>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</si>
  <si>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</si>
  <si>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</si>
  <si>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</si>
  <si>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</si>
  <si>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</si>
  <si>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</si>
  <si>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</si>
  <si>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</si>
  <si>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</si>
  <si>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</si>
  <si>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</si>
  <si>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</si>
  <si>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</si>
  <si>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</si>
  <si>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</si>
  <si>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</si>
  <si>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</si>
  <si>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</si>
  <si>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</si>
  <si>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</si>
  <si>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</si>
  <si>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</si>
  <si>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</si>
  <si>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</si>
  <si>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</si>
  <si>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</si>
  <si>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</si>
  <si>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</si>
  <si>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</si>
  <si>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</si>
  <si>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</si>
  <si>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</si>
  <si>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</si>
  <si>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</si>
  <si>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</si>
  <si>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</si>
  <si>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</si>
  <si>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</si>
  <si>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</si>
  <si>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</si>
  <si>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</si>
  <si>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</si>
  <si>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</si>
  <si>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</si>
  <si>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</si>
  <si>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</si>
  <si>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</si>
  <si>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</si>
  <si>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</si>
  <si>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</si>
  <si>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</si>
  <si>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ele</t>
  </si>
  <si>
    <t>annual</t>
  </si>
  <si>
    <t>no</t>
  </si>
  <si>
    <t>cap_bnd</t>
  </si>
  <si>
    <t>af~fx</t>
  </si>
  <si>
    <t>wind offshore resource in cluster 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</si>
  <si>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</si>
  <si>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</si>
  <si>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</si>
  <si>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</si>
  <si>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</si>
  <si>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</si>
  <si>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</si>
  <si>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</si>
  <si>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</si>
  <si>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</si>
  <si>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</si>
  <si>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</si>
  <si>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</si>
  <si>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</si>
  <si>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</si>
  <si>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</si>
  <si>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</si>
  <si>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</si>
  <si>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</si>
  <si>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</si>
  <si>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</si>
  <si>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</si>
  <si>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</si>
  <si>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</si>
  <si>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</si>
  <si>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</si>
  <si>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</si>
  <si>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</si>
  <si>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</si>
  <si>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</si>
  <si>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</si>
  <si>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</si>
  <si>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</si>
  <si>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</si>
  <si>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</si>
  <si>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</si>
  <si>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</si>
  <si>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</si>
  <si>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</si>
  <si>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</si>
  <si>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</si>
  <si>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</si>
  <si>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</si>
  <si>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</si>
  <si>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</si>
  <si>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</si>
  <si>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</si>
  <si>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</si>
  <si>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</si>
  <si>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</si>
  <si>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</si>
  <si>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</si>
  <si>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</si>
  <si>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</si>
  <si>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</si>
  <si>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</si>
  <si>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</si>
  <si>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</si>
  <si>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</si>
  <si>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</si>
  <si>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</si>
  <si>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</si>
  <si>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</si>
  <si>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</si>
  <si>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</si>
  <si>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</si>
  <si>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</si>
  <si>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</si>
  <si>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</si>
  <si>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</si>
  <si>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</si>
  <si>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</si>
  <si>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</si>
  <si>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</si>
  <si>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</si>
  <si>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</si>
  <si>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</si>
  <si>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</si>
  <si>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</si>
  <si>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</si>
  <si>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</si>
  <si>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</si>
  <si>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</si>
  <si>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</si>
  <si>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</si>
  <si>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</si>
  <si>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</si>
  <si>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</si>
  <si>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</si>
  <si>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</si>
  <si>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</si>
  <si>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</si>
  <si>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</si>
  <si>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</si>
  <si>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</si>
  <si>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</si>
  <si>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</si>
  <si>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</si>
  <si>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</si>
  <si>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</si>
  <si>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</si>
  <si>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</si>
  <si>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</si>
  <si>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</si>
  <si>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</si>
  <si>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</si>
  <si>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</si>
  <si>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</si>
  <si>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</si>
  <si>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</si>
  <si>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</si>
  <si>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</si>
  <si>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</si>
  <si>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</si>
  <si>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</si>
  <si>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</si>
  <si>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</si>
  <si>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</si>
  <si>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</si>
  <si>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</si>
  <si>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</si>
  <si>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</si>
  <si>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</si>
  <si>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</si>
  <si>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</si>
  <si>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</si>
  <si>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</si>
  <si>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</si>
  <si>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</si>
  <si>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</si>
  <si>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</si>
  <si>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</si>
  <si>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</si>
  <si>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</si>
  <si>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</si>
  <si>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</si>
  <si>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</si>
  <si>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</si>
  <si>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</si>
  <si>
    <t>* Sets</t>
  </si>
  <si>
    <t>TimeSlice level of Process Activity</t>
  </si>
  <si>
    <t>Primary Commodity Group</t>
  </si>
  <si>
    <t>Efficency improvement indicator</t>
  </si>
  <si>
    <t>~FI_T</t>
  </si>
  <si>
    <t>CommIN</t>
  </si>
  <si>
    <t>CommOUT</t>
  </si>
  <si>
    <t>* Units</t>
  </si>
  <si>
    <t>Yr</t>
  </si>
  <si>
    <t>*Process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</si>
</sst>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  <numFmt numFmtId="169" formatCode="_(&quot;$&quot;* #,##0.00_);_(&quot;$&quot;* \(#,##0.00\);_(&quot;$&quot;* &quot;-&quot;??_);_(@_)"/>
    <numFmt numFmtId="170" formatCode="_-&quot;$&quot;* #,##0.00_-;\-&quot;$&quot;* #,##0.00_-;_-&quot;$&quot;* &quot;-&quot;??_-;_-@_-"/>
    <numFmt numFmtId="171" formatCode="m\o\n\th\ d\,\ yyyy"/>
    <numFmt numFmtId="172" formatCode="#.00"/>
    <numFmt numFmtId="173" formatCode="#.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Calibri Light"/>
      <family val="2"/>
      <scheme val="maj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4"/>
      <color indexed="9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</fills>
  <borders count="37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50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43" fontId="4" fillId="0" borderId="0" applyFon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5" fillId="34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" fillId="36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" fillId="3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" fillId="41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" fillId="4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5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5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7" fillId="44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51" borderId="0" applyNumberFormat="0" applyBorder="0" applyAlignment="0" applyProtection="0"/>
    <xf numFmtId="0" fontId="38" fillId="35" borderId="0" applyNumberFormat="0" applyBorder="0" applyAlignment="0" applyProtection="0"/>
    <xf numFmtId="0" fontId="39" fillId="0" borderId="26" applyNumberFormat="0" applyFont="0" applyProtection="0">
      <alignment wrapText="1"/>
    </xf>
    <xf numFmtId="0" fontId="40" fillId="52" borderId="27" applyNumberFormat="0" applyAlignment="0" applyProtection="0"/>
    <xf numFmtId="0" fontId="41" fillId="53" borderId="28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0" fontId="44" fillId="0" borderId="0" applyNumberFormat="0" applyFill="0" applyBorder="0" applyAlignment="0" applyProtection="0"/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0" fontId="45" fillId="36" borderId="0" applyNumberFormat="0" applyBorder="0" applyAlignment="0" applyProtection="0"/>
    <xf numFmtId="0" fontId="46" fillId="0" borderId="29" applyNumberFormat="0" applyFill="0" applyAlignment="0" applyProtection="0"/>
    <xf numFmtId="0" fontId="47" fillId="0" borderId="30" applyNumberFormat="0" applyFill="0" applyAlignment="0" applyProtection="0"/>
    <xf numFmtId="0" fontId="48" fillId="0" borderId="31" applyNumberFormat="0" applyFill="0" applyAlignment="0" applyProtection="0"/>
    <xf numFmtId="0" fontId="48" fillId="0" borderId="0" applyNumberFormat="0" applyFill="0" applyBorder="0" applyAlignment="0" applyProtection="0"/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51" fillId="39" borderId="27" applyNumberFormat="0" applyAlignment="0" applyProtection="0"/>
    <xf numFmtId="0" fontId="52" fillId="0" borderId="32" applyNumberFormat="0" applyFill="0" applyAlignment="0" applyProtection="0"/>
    <xf numFmtId="0" fontId="53" fillId="5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55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2" fillId="0" borderId="0"/>
    <xf numFmtId="0" fontId="4" fillId="0" borderId="0"/>
    <xf numFmtId="0" fontId="5" fillId="3" borderId="3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57" fillId="52" borderId="34" applyNumberFormat="0" applyAlignment="0" applyProtection="0"/>
    <xf numFmtId="0" fontId="58" fillId="0" borderId="35" applyNumberFormat="0" applyProtection="0">
      <alignment wrapText="1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3" fontId="43" fillId="0" borderId="36">
      <protection locked="0"/>
    </xf>
    <xf numFmtId="173" fontId="43" fillId="0" borderId="36">
      <protection locked="0"/>
    </xf>
    <xf numFmtId="173" fontId="43" fillId="0" borderId="36">
      <protection locked="0"/>
    </xf>
    <xf numFmtId="0" fontId="17" fillId="0" borderId="24" applyNumberFormat="0" applyFill="0" applyAlignment="0" applyProtection="0"/>
    <xf numFmtId="173" fontId="43" fillId="0" borderId="36">
      <protection locked="0"/>
    </xf>
    <xf numFmtId="0" fontId="6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1" fillId="0" borderId="0"/>
  </cellStyleXfs>
  <cellXfs count="19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4" fontId="7" fillId="0" borderId="0" xfId="5" applyNumberFormat="1"/>
    <xf numFmtId="0" fontId="7" fillId="0" borderId="0" xfId="5"/>
    <xf numFmtId="0" fontId="1" fillId="0" borderId="0" xfId="5" applyFont="1"/>
    <xf numFmtId="164" fontId="1" fillId="0" borderId="0" xfId="5" applyNumberFormat="1" applyFont="1"/>
    <xf numFmtId="2" fontId="7" fillId="0" borderId="0" xfId="5" applyNumberFormat="1"/>
    <xf numFmtId="0" fontId="9" fillId="0" borderId="0" xfId="6" applyFont="1"/>
    <xf numFmtId="0" fontId="8" fillId="0" borderId="0" xfId="6"/>
    <xf numFmtId="0" fontId="6" fillId="4" borderId="0" xfId="4"/>
    <xf numFmtId="0" fontId="9" fillId="5" borderId="0" xfId="6" applyFont="1" applyFill="1"/>
    <xf numFmtId="0" fontId="8" fillId="5" borderId="0" xfId="6" applyFill="1"/>
    <xf numFmtId="0" fontId="10" fillId="5" borderId="0" xfId="6" applyFont="1" applyFill="1"/>
    <xf numFmtId="165" fontId="11" fillId="5" borderId="0" xfId="6" applyNumberFormat="1" applyFont="1" applyFill="1"/>
    <xf numFmtId="1" fontId="8" fillId="5" borderId="0" xfId="6" applyNumberFormat="1" applyFill="1"/>
    <xf numFmtId="165" fontId="11" fillId="5" borderId="1" xfId="6" applyNumberFormat="1" applyFont="1" applyFill="1" applyBorder="1"/>
    <xf numFmtId="166" fontId="12" fillId="0" borderId="0" xfId="7" applyNumberFormat="1" applyFont="1"/>
    <xf numFmtId="0" fontId="4" fillId="0" borderId="0" xfId="14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Font="1" applyAlignment="1">
      <alignment horizontal="left"/>
    </xf>
    <xf numFmtId="0" fontId="6" fillId="4" borderId="0" xfId="4" applyAlignment="1">
      <alignment vertical="center"/>
    </xf>
    <xf numFmtId="0" fontId="6" fillId="4" borderId="0" xfId="4" applyAlignment="1">
      <alignment horizontal="right"/>
    </xf>
    <xf numFmtId="0" fontId="4" fillId="0" borderId="0" xfId="14"/>
    <xf numFmtId="0" fontId="18" fillId="6" borderId="0" xfId="0" applyFont="1" applyFill="1" applyAlignment="1">
      <alignment horizontal="center" vertical="center"/>
    </xf>
    <xf numFmtId="0" fontId="16" fillId="2" borderId="0" xfId="17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7" xfId="0" applyFont="1" applyFill="1" applyBorder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7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9" xfId="0" applyNumberFormat="1" applyFont="1" applyFill="1" applyBorder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0" fontId="19" fillId="7" borderId="11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7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9" xfId="0" applyNumberFormat="1" applyFont="1" applyFill="1" applyBorder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0" fontId="19" fillId="8" borderId="11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7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8" fontId="20" fillId="9" borderId="7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0" fontId="20" fillId="9" borderId="11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7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8" fontId="19" fillId="10" borderId="7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0" fontId="19" fillId="10" borderId="11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7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8" fontId="19" fillId="11" borderId="7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0" fontId="19" fillId="11" borderId="11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3" xfId="0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3" xfId="0" applyNumberFormat="1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3" xfId="0" applyNumberFormat="1" applyFont="1" applyFill="1" applyBorder="1" applyAlignment="1">
      <alignment vertical="center"/>
    </xf>
    <xf numFmtId="168" fontId="20" fillId="12" borderId="12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7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8" fontId="20" fillId="14" borderId="7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9" xfId="0" applyNumberFormat="1" applyFont="1" applyFill="1" applyBorder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0" fontId="19" fillId="13" borderId="11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4" xfId="0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4" xfId="0" applyNumberFormat="1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168" fontId="20" fillId="12" borderId="17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0" fontId="19" fillId="12" borderId="19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7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8" fontId="19" fillId="15" borderId="7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0" fontId="19" fillId="15" borderId="11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7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8" fontId="19" fillId="16" borderId="7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0" fontId="19" fillId="16" borderId="11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4" xfId="0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4" xfId="0" applyNumberFormat="1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4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0" fontId="19" fillId="15" borderId="19" xfId="0" applyFont="1" applyFill="1" applyBorder="1" applyAlignment="1">
      <alignment horizontal="left" vertical="center"/>
    </xf>
    <xf numFmtId="0" fontId="15" fillId="0" borderId="2" xfId="15"/>
    <xf numFmtId="0" fontId="2" fillId="0" borderId="0" xfId="16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3" xfId="0" applyFont="1" applyFill="1" applyBorder="1" applyAlignment="1">
      <alignment vertical="center"/>
    </xf>
    <xf numFmtId="0" fontId="4" fillId="17" borderId="20" xfId="10" applyFont="1" applyFill="1" applyBorder="1" applyAlignment="1">
      <alignment horizontal="center" vertical="center" wrapText="1"/>
    </xf>
    <xf numFmtId="0" fontId="23" fillId="18" borderId="21" xfId="14" applyFont="1" applyFill="1" applyBorder="1" applyAlignment="1">
      <alignment horizontal="left" vertical="center" wrapText="1"/>
    </xf>
    <xf numFmtId="0" fontId="23" fillId="18" borderId="21" xfId="14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3" xfId="0" applyNumberFormat="1" applyFont="1" applyFill="1" applyBorder="1" applyAlignment="1">
      <alignment vertical="center"/>
    </xf>
    <xf numFmtId="164" fontId="22" fillId="17" borderId="3" xfId="0" applyNumberFormat="1" applyFont="1" applyFill="1" applyBorder="1" applyAlignment="1">
      <alignment horizontal="left" vertical="center"/>
    </xf>
    <xf numFmtId="164" fontId="23" fillId="18" borderId="21" xfId="14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3" xfId="0" applyNumberFormat="1" applyBorder="1" applyAlignment="1">
      <alignment vertical="center"/>
    </xf>
    <xf numFmtId="164" fontId="22" fillId="17" borderId="20" xfId="0" applyNumberFormat="1" applyFont="1" applyFill="1" applyBorder="1" applyAlignment="1">
      <alignment vertical="center"/>
    </xf>
    <xf numFmtId="164" fontId="23" fillId="18" borderId="22" xfId="14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0" applyFont="1" applyFill="1" applyAlignment="1">
      <alignment horizontal="center" vertical="center" wrapText="1"/>
    </xf>
    <xf numFmtId="164" fontId="24" fillId="32" borderId="0" xfId="12" applyNumberFormat="1" applyFont="1" applyFill="1"/>
    <xf numFmtId="164" fontId="24" fillId="32" borderId="0" xfId="0" applyNumberFormat="1" applyFont="1" applyFill="1" applyAlignment="1">
      <alignment vertical="center"/>
    </xf>
    <xf numFmtId="0" fontId="0" fillId="32" borderId="14" xfId="0" applyFill="1" applyBorder="1"/>
    <xf numFmtId="0" fontId="29" fillId="0" borderId="0" xfId="0" applyFont="1" applyAlignment="1">
      <alignment horizontal="center"/>
    </xf>
    <xf numFmtId="0" fontId="32" fillId="32" borderId="0" xfId="0" applyFont="1" applyFill="1" applyAlignment="1">
      <alignment horizontal="left"/>
    </xf>
    <xf numFmtId="164" fontId="61" fillId="0" borderId="0" xfId="18" applyNumberFormat="1" applyFont="1"/>
    <xf numFmtId="164" fontId="24" fillId="0" borderId="0" xfId="12" applyNumberFormat="1" applyFont="1"/>
    <xf numFmtId="164" fontId="1" fillId="0" borderId="0" xfId="12" applyNumberFormat="1"/>
    <xf numFmtId="164" fontId="34" fillId="33" borderId="20" xfId="12" applyNumberFormat="1" applyFont="1" applyFill="1" applyBorder="1" applyAlignment="1">
      <alignment horizontal="center" vertical="center"/>
    </xf>
    <xf numFmtId="164" fontId="34" fillId="17" borderId="3" xfId="12" applyNumberFormat="1" applyFont="1" applyFill="1" applyBorder="1" applyAlignment="1">
      <alignment horizontal="center"/>
    </xf>
    <xf numFmtId="164" fontId="33" fillId="18" borderId="22" xfId="14" applyNumberFormat="1" applyFont="1" applyFill="1" applyBorder="1" applyAlignment="1">
      <alignment horizontal="center" vertical="center" wrapText="1"/>
    </xf>
    <xf numFmtId="164" fontId="33" fillId="18" borderId="21" xfId="14" applyNumberFormat="1" applyFont="1" applyFill="1" applyBorder="1" applyAlignment="1">
      <alignment horizontal="center" vertical="center" wrapText="1"/>
    </xf>
    <xf numFmtId="0" fontId="4" fillId="0" borderId="0" xfId="9"/>
    <xf numFmtId="0" fontId="24" fillId="32" borderId="0" xfId="28" applyFont="1" applyFill="1" applyAlignment="1">
      <alignment horizontal="left"/>
    </xf>
    <xf numFmtId="0" fontId="34" fillId="33" borderId="21" xfId="28" applyFont="1" applyFill="1" applyBorder="1" applyAlignment="1">
      <alignment horizontal="center" vertical="center"/>
    </xf>
    <xf numFmtId="0" fontId="33" fillId="18" borderId="22" xfId="14" applyFont="1" applyFill="1" applyBorder="1" applyAlignment="1">
      <alignment horizontal="center" vertical="center" wrapText="1"/>
    </xf>
    <xf numFmtId="0" fontId="28" fillId="0" borderId="0" xfId="18"/>
    <xf numFmtId="0" fontId="24" fillId="0" borderId="0" xfId="28" applyFont="1" applyAlignment="1">
      <alignment horizontal="left"/>
    </xf>
    <xf numFmtId="0" fontId="31" fillId="0" borderId="0" xfId="18" applyFont="1" applyAlignment="1">
      <alignment horizontal="center"/>
    </xf>
    <xf numFmtId="0" fontId="32" fillId="32" borderId="0" xfId="18" applyFont="1" applyFill="1" applyAlignment="1">
      <alignment horizontal="left"/>
    </xf>
    <xf numFmtId="0" fontId="30" fillId="0" borderId="0" xfId="18" applyFont="1" applyAlignment="1">
      <alignment horizontal="center" vertical="center" wrapText="1"/>
    </xf>
    <xf numFmtId="0" fontId="34" fillId="33" borderId="21" xfId="28" applyFont="1" applyFill="1" applyBorder="1" applyAlignment="1">
      <alignment horizontal="center" vertical="center" wrapText="1"/>
    </xf>
    <xf numFmtId="0" fontId="34" fillId="17" borderId="21" xfId="28" applyFont="1" applyFill="1" applyBorder="1" applyAlignment="1">
      <alignment horizontal="center" vertical="center" wrapText="1"/>
    </xf>
    <xf numFmtId="164" fontId="34" fillId="33" borderId="20" xfId="18" applyNumberFormat="1" applyFont="1" applyFill="1" applyBorder="1" applyAlignment="1">
      <alignment horizontal="center" vertical="center" wrapText="1"/>
    </xf>
    <xf numFmtId="164" fontId="22" fillId="17" borderId="20" xfId="18" applyNumberFormat="1" applyFont="1" applyFill="1" applyBorder="1" applyAlignment="1">
      <alignment horizontal="center" vertical="center" wrapText="1"/>
    </xf>
    <xf numFmtId="164" fontId="22" fillId="17" borderId="25" xfId="18" applyNumberFormat="1" applyFont="1" applyFill="1" applyBorder="1" applyAlignment="1">
      <alignment horizontal="center" vertical="center" wrapText="1"/>
    </xf>
    <xf numFmtId="164" fontId="29" fillId="18" borderId="22" xfId="29" applyNumberFormat="1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</cellXfs>
  <cellStyles count="550">
    <cellStyle name="20% - Accent1 2" xfId="30" xr:uid="{E97AEB33-47EC-4480-BFC6-EF768DBE034C}"/>
    <cellStyle name="20% - Accent1 3" xfId="31" xr:uid="{27748777-BC27-4C0E-9A53-B223A349F8FA}"/>
    <cellStyle name="20% - Accent1 3 2" xfId="32" xr:uid="{257B49C8-D02C-4111-8341-20EE3E0FEC45}"/>
    <cellStyle name="20% - Accent1 3 3" xfId="33" xr:uid="{294EA8FB-F61E-48AE-AE22-9E118444DF66}"/>
    <cellStyle name="20% - Accent1 4" xfId="34" xr:uid="{1FF19250-384F-4938-9433-DFA2B2294E78}"/>
    <cellStyle name="20% - Accent1 4 2" xfId="35" xr:uid="{99BEBDE9-C892-433F-A80E-8A5645001411}"/>
    <cellStyle name="20% - Accent1 4 3" xfId="36" xr:uid="{35C4CE01-AF3A-43B3-A1E7-79D31EEF7A48}"/>
    <cellStyle name="20% - Accent1 5" xfId="37" xr:uid="{837C0558-89CF-4291-801A-CE766A22263E}"/>
    <cellStyle name="20% - Accent1 6" xfId="38" xr:uid="{2B58E8FE-5AED-4604-8350-725A531B0057}"/>
    <cellStyle name="20% - Accent2 2" xfId="39" xr:uid="{D16E460C-12CA-4FA3-9FA7-F94E91F5A95F}"/>
    <cellStyle name="20% - Accent2 3" xfId="40" xr:uid="{474DF195-E888-43D4-B92C-720105AFE811}"/>
    <cellStyle name="20% - Accent2 3 2" xfId="41" xr:uid="{E29B6417-95AA-40D1-A235-C20062DC3632}"/>
    <cellStyle name="20% - Accent2 3 3" xfId="42" xr:uid="{6C76A580-EE8A-4D96-BC52-07E6AC3219AA}"/>
    <cellStyle name="20% - Accent2 4" xfId="43" xr:uid="{400CDA3E-5726-4AD0-8B89-4427607ACF6C}"/>
    <cellStyle name="20% - Accent2 4 2" xfId="44" xr:uid="{3C43D865-AA62-4C12-8800-676E93B965A2}"/>
    <cellStyle name="20% - Accent2 4 3" xfId="45" xr:uid="{30409B64-9B56-4E24-9B5A-07E0A6AD1385}"/>
    <cellStyle name="20% - Accent2 5" xfId="46" xr:uid="{D3512D29-E589-453D-BF2D-45DD7F5BDB1C}"/>
    <cellStyle name="20% - Accent2 6" xfId="47" xr:uid="{9D894BD5-6973-4AB4-847D-B184F388C04E}"/>
    <cellStyle name="20% - Accent3 2" xfId="48" xr:uid="{DD14C062-B3CC-4526-A6D8-0580363828DC}"/>
    <cellStyle name="20% - Accent3 3" xfId="49" xr:uid="{B6B07538-0F00-476C-AA3A-58A7A11BA02D}"/>
    <cellStyle name="20% - Accent3 3 2" xfId="3" xr:uid="{ABC4988B-8BA7-47D0-A9D6-448C999748B6}"/>
    <cellStyle name="20% - Accent3 3 2 2" xfId="50" xr:uid="{43E1EC35-2527-4525-B311-3523FC58E676}"/>
    <cellStyle name="20% - Accent3 3 3" xfId="51" xr:uid="{52B25A1C-A543-45B7-838B-D1AD48E69A05}"/>
    <cellStyle name="20% - Accent3 4" xfId="52" xr:uid="{5871F9CE-6C91-4780-A65C-0868C2A567F8}"/>
    <cellStyle name="20% - Accent3 4 2" xfId="53" xr:uid="{D5685BE3-EAE9-495D-98F6-413D7F670F13}"/>
    <cellStyle name="20% - Accent3 4 3" xfId="54" xr:uid="{A05122D9-F607-4EB1-A0CA-4E16EE91C531}"/>
    <cellStyle name="20% - Accent3 5" xfId="55" xr:uid="{5051137A-B2B0-4682-B722-8A81175CFB1A}"/>
    <cellStyle name="20% - Accent3 6" xfId="56" xr:uid="{26D3CF0D-1ED3-48C0-A247-151367544D8C}"/>
    <cellStyle name="20% - Accent4 2" xfId="57" xr:uid="{251B1693-BCA3-4546-9FC1-368C2E9E9736}"/>
    <cellStyle name="20% - Accent4 3" xfId="58" xr:uid="{2D4E3A72-61E9-4B8B-BAAE-0F9EC9ECE16E}"/>
    <cellStyle name="20% - Accent4 3 2" xfId="59" xr:uid="{AC71F314-BD36-4E41-880C-658199CE7613}"/>
    <cellStyle name="20% - Accent4 3 3" xfId="60" xr:uid="{4B6401B2-373F-4E0F-9F3E-97E5219864BA}"/>
    <cellStyle name="20% - Accent4 4" xfId="61" xr:uid="{23B499A2-9179-4162-A0FB-2FF582010204}"/>
    <cellStyle name="20% - Accent4 4 2" xfId="62" xr:uid="{330E9B53-D9DC-4A6D-9762-AD87D0DC2790}"/>
    <cellStyle name="20% - Accent4 4 3" xfId="63" xr:uid="{3079820F-FA2B-4E94-A44B-64AF820A1580}"/>
    <cellStyle name="20% - Accent4 5" xfId="64" xr:uid="{EDD4FEA1-02D9-410A-94D9-D0FF572E08CF}"/>
    <cellStyle name="20% - Accent4 6" xfId="65" xr:uid="{025DA84D-B474-4DD8-85DC-FFCFA13DD93C}"/>
    <cellStyle name="20% - Accent5 2" xfId="66" xr:uid="{5CA53E26-ECF6-4D79-BF7F-45B2DA05F7E5}"/>
    <cellStyle name="20% - Accent5 3" xfId="67" xr:uid="{3F560C56-C377-42C6-AEE3-342D0C20B22C}"/>
    <cellStyle name="20% - Accent5 3 2" xfId="68" xr:uid="{B3409024-EDF7-4B0F-8669-1AE846BA32F4}"/>
    <cellStyle name="20% - Accent5 3 3" xfId="69" xr:uid="{8F783CEC-FA27-4F1F-BDC9-BB2D31E63DDA}"/>
    <cellStyle name="20% - Accent5 4" xfId="70" xr:uid="{89C19C84-E7FC-486C-814D-BADA1C6C96EC}"/>
    <cellStyle name="20% - Accent5 4 2" xfId="71" xr:uid="{AEEFA2AE-2AEB-476C-8551-DA5759008F37}"/>
    <cellStyle name="20% - Accent5 4 3" xfId="72" xr:uid="{03A23B01-888E-4477-870D-ADAFBE881D1A}"/>
    <cellStyle name="20% - Accent5 5" xfId="73" xr:uid="{EFCB5485-D033-4240-96CE-42CB1271ECC6}"/>
    <cellStyle name="20% - Accent5 6" xfId="74" xr:uid="{C28B637E-E466-434E-AA6E-56A38AF5D8B2}"/>
    <cellStyle name="20% - Accent6 2" xfId="75" xr:uid="{ECA586F0-C4BF-47F1-9412-DED721D03B8A}"/>
    <cellStyle name="20% - Accent6 3" xfId="76" xr:uid="{37673988-EDCF-428F-BBAA-382512438226}"/>
    <cellStyle name="20% - Accent6 3 2" xfId="77" xr:uid="{C52E46FE-0EEE-4825-89EE-4EC96E090D98}"/>
    <cellStyle name="20% - Accent6 3 3" xfId="78" xr:uid="{4E963613-A9D6-4A1C-A33A-99DF376676D8}"/>
    <cellStyle name="20% - Accent6 4" xfId="79" xr:uid="{C71246FD-E826-464B-B289-9B1F38485102}"/>
    <cellStyle name="20% - Accent6 4 2" xfId="80" xr:uid="{E8A64EBE-CC4C-4FD7-AA41-CE1C715AE9C6}"/>
    <cellStyle name="20% - Accent6 4 3" xfId="81" xr:uid="{F56E994C-6E61-49FF-BBB1-19C2B94DE0F7}"/>
    <cellStyle name="20% - Accent6 5" xfId="82" xr:uid="{2A50DFAF-A3B4-4717-B9F2-01938329112D}"/>
    <cellStyle name="20% - Accent6 6" xfId="83" xr:uid="{15C7A9E2-4125-4074-920B-A33D259E20C4}"/>
    <cellStyle name="40% - Accent1 2" xfId="84" xr:uid="{D78C72D4-EC16-4401-B6EE-56BD9A7D8226}"/>
    <cellStyle name="40% - Accent1 3" xfId="85" xr:uid="{8DD0B2CC-7A63-4CBD-BF27-8A83F9273350}"/>
    <cellStyle name="40% - Accent1 3 2" xfId="86" xr:uid="{DD5B09ED-200C-43D4-BCAC-993A388ADE17}"/>
    <cellStyle name="40% - Accent1 3 3" xfId="87" xr:uid="{DC56BF19-43B7-4A76-AA7A-FFEF4ED01142}"/>
    <cellStyle name="40% - Accent1 4" xfId="88" xr:uid="{12FA1711-3FE4-49B6-8F28-FA170C122E5D}"/>
    <cellStyle name="40% - Accent1 4 2" xfId="89" xr:uid="{B7162096-796C-4E85-9634-AF22F6AC9812}"/>
    <cellStyle name="40% - Accent1 4 3" xfId="90" xr:uid="{F615D64F-6368-470D-BC12-892A6F7FECC8}"/>
    <cellStyle name="40% - Accent1 5" xfId="91" xr:uid="{3BB1E855-FAC3-4630-8AA6-FF8420050C10}"/>
    <cellStyle name="40% - Accent1 6" xfId="92" xr:uid="{5C8B947A-09AB-41CE-AE6F-88D882360348}"/>
    <cellStyle name="40% - Accent2 2" xfId="93" xr:uid="{2C96139C-ECAC-4F0C-97DE-2019CB432F91}"/>
    <cellStyle name="40% - Accent2 3" xfId="94" xr:uid="{803132E4-7075-44D6-A9FA-3F221ED3EC92}"/>
    <cellStyle name="40% - Accent2 3 2" xfId="95" xr:uid="{C53285BF-81BE-4AA9-8B79-ED096272C477}"/>
    <cellStyle name="40% - Accent2 3 3" xfId="96" xr:uid="{A9F5FAB3-9443-4EB0-B47C-AAAD8E5F139D}"/>
    <cellStyle name="40% - Accent2 4" xfId="97" xr:uid="{2B05D371-4A90-456D-97B0-26D3A718EE0F}"/>
    <cellStyle name="40% - Accent2 4 2" xfId="98" xr:uid="{E7FA7B08-4B89-49FB-97D5-E7DD78AD15FD}"/>
    <cellStyle name="40% - Accent2 4 3" xfId="99" xr:uid="{5EE49C7A-E5FB-4168-8E73-BFFBE07447F8}"/>
    <cellStyle name="40% - Accent2 5" xfId="100" xr:uid="{687B21A8-F2C8-4936-BC4A-12DD1C142507}"/>
    <cellStyle name="40% - Accent2 6" xfId="101" xr:uid="{E4CBF407-85CE-4737-9176-8BBD56D561C7}"/>
    <cellStyle name="40% - Accent3 2" xfId="102" xr:uid="{03362F84-6876-42BE-9E92-68AF1336EDF0}"/>
    <cellStyle name="40% - Accent3 3" xfId="103" xr:uid="{047C02E7-1C9B-48BB-A02A-75E5CA9CA9A6}"/>
    <cellStyle name="40% - Accent3 3 2" xfId="104" xr:uid="{7B98F21D-4574-4872-A850-7A70141A01A4}"/>
    <cellStyle name="40% - Accent3 3 2 2" xfId="105" xr:uid="{6D89E9F3-63BC-4FBB-96FA-066C6471BCF9}"/>
    <cellStyle name="40% - Accent3 3 2 2 2" xfId="106" xr:uid="{41F14275-CC93-40E3-B6A0-D1FA1AC0FD01}"/>
    <cellStyle name="40% - Accent3 3 2 2 3" xfId="107" xr:uid="{0F8A3C00-60ED-47FE-9F55-7E0417DF45D7}"/>
    <cellStyle name="40% - Accent3 3 2 3" xfId="108" xr:uid="{9A02219A-9C98-42CD-914E-D653DB180AE4}"/>
    <cellStyle name="40% - Accent3 3 2 4" xfId="109" xr:uid="{F7DAB53B-C11E-4636-97A1-918CAE09D4F2}"/>
    <cellStyle name="40% - Accent3 3 3" xfId="110" xr:uid="{48F23845-27A9-4946-A028-12CD7A2D1C16}"/>
    <cellStyle name="40% - Accent3 3 3 2" xfId="111" xr:uid="{09E498B4-ED56-43CC-9F4B-AAB7832B8DC2}"/>
    <cellStyle name="40% - Accent3 3 3 3" xfId="112" xr:uid="{ECEECA13-F974-408E-BF86-FDA49E413DF4}"/>
    <cellStyle name="40% - Accent3 3 4" xfId="113" xr:uid="{4F5F6985-3CD8-4143-B063-D468C3E7705C}"/>
    <cellStyle name="40% - Accent3 3 5" xfId="114" xr:uid="{64E895CB-B2C9-4736-8102-DA308925F7F0}"/>
    <cellStyle name="40% - Accent3 4" xfId="115" xr:uid="{57FCC5CE-1D87-4496-BD5A-825B44F8723B}"/>
    <cellStyle name="40% - Accent3 4 2" xfId="116" xr:uid="{42AB52FD-DA56-4D46-8DA6-BB95A1B34ADC}"/>
    <cellStyle name="40% - Accent3 4 2 2" xfId="117" xr:uid="{7AEC0DBA-3A84-4CF2-9279-32E18DB1B547}"/>
    <cellStyle name="40% - Accent3 4 2 3" xfId="118" xr:uid="{DDDDC51C-ED06-490D-A9AB-4A835826D101}"/>
    <cellStyle name="40% - Accent3 4 3" xfId="119" xr:uid="{E7EA8E22-DD94-48A7-B9AC-A75662012DF9}"/>
    <cellStyle name="40% - Accent3 4 4" xfId="120" xr:uid="{7C02465B-5CAB-4C5A-9849-57D5E39A0995}"/>
    <cellStyle name="40% - Accent3 5" xfId="121" xr:uid="{F8772FB1-03BD-46D9-9C6F-21B89B50D9AE}"/>
    <cellStyle name="40% - Accent3 5 2" xfId="122" xr:uid="{8ADC1832-A803-4F55-8C8D-9063DE6A0E85}"/>
    <cellStyle name="40% - Accent3 5 2 2" xfId="123" xr:uid="{2E04B1DB-B561-4451-8DF3-16FA72A5BEE6}"/>
    <cellStyle name="40% - Accent3 5 2 3" xfId="124" xr:uid="{92726762-CF9E-4F34-BCF4-D06219C71597}"/>
    <cellStyle name="40% - Accent3 5 3" xfId="125" xr:uid="{18D24401-49AA-47B0-A958-25287E8C11C9}"/>
    <cellStyle name="40% - Accent3 5 4" xfId="126" xr:uid="{881E6453-1106-4D39-854E-2F0D43F7C9E0}"/>
    <cellStyle name="40% - Accent3 6" xfId="127" xr:uid="{A6E24A19-CC23-44F1-8CF3-DBA0ADAB6F23}"/>
    <cellStyle name="40% - Accent3 6 2" xfId="128" xr:uid="{5567462A-2338-4894-BEE4-FE9DBEF65C89}"/>
    <cellStyle name="40% - Accent3 6 3" xfId="129" xr:uid="{3671CA68-D813-407C-BA62-921EBB5F849E}"/>
    <cellStyle name="40% - Accent3 7" xfId="130" xr:uid="{7DC6120E-4C8C-4AC4-BA46-CBF6208D2CE1}"/>
    <cellStyle name="40% - Accent3 8" xfId="131" xr:uid="{F55061F7-EF73-4A91-A36B-D6F35E01ED0C}"/>
    <cellStyle name="40% - Accent4 2" xfId="132" xr:uid="{B8084F8E-560C-4EE8-8F40-6684832FAA91}"/>
    <cellStyle name="40% - Accent4 3" xfId="133" xr:uid="{DFAFCB21-764A-4E7F-80A6-8675F33BA539}"/>
    <cellStyle name="40% - Accent4 3 2" xfId="134" xr:uid="{D988ADC9-1FCF-41F0-983E-F42B62CE4155}"/>
    <cellStyle name="40% - Accent4 3 3" xfId="135" xr:uid="{684FF639-5297-4B84-BD69-BA3D80A9E232}"/>
    <cellStyle name="40% - Accent4 4" xfId="136" xr:uid="{C628AC17-64AF-4A2E-BBAB-5B9F59CB5F1A}"/>
    <cellStyle name="40% - Accent4 4 2" xfId="137" xr:uid="{794F89EB-62E4-4999-9D6D-EAF656029F16}"/>
    <cellStyle name="40% - Accent4 4 3" xfId="138" xr:uid="{291DDB8E-5CC4-4657-8774-2303734572EE}"/>
    <cellStyle name="40% - Accent4 5" xfId="139" xr:uid="{586E20BF-8333-4CFB-80C0-80D8D6C6A927}"/>
    <cellStyle name="40% - Accent4 6" xfId="140" xr:uid="{18929D73-7F38-4C01-850E-B229AE25ED63}"/>
    <cellStyle name="40% - Accent5 2" xfId="141" xr:uid="{71EDAC4E-80B9-443A-8119-E0B50712D7F9}"/>
    <cellStyle name="40% - Accent5 3" xfId="142" xr:uid="{342EC369-B097-47C5-A664-6892D210AB83}"/>
    <cellStyle name="40% - Accent5 3 2" xfId="143" xr:uid="{A8DDAD09-B174-4203-ACA6-D050C62FA872}"/>
    <cellStyle name="40% - Accent5 3 3" xfId="144" xr:uid="{C1F73C12-2763-4BB4-ADA1-AE5DE63B319E}"/>
    <cellStyle name="40% - Accent5 4" xfId="145" xr:uid="{BE90DDDD-BBF4-486A-9024-05DACF53BE87}"/>
    <cellStyle name="40% - Accent5 4 2" xfId="146" xr:uid="{E3ED70FF-2964-4A21-8EAE-2CA0590EAE07}"/>
    <cellStyle name="40% - Accent5 4 3" xfId="147" xr:uid="{2711AAD1-EA2A-4074-A41B-E62AC84C4DD0}"/>
    <cellStyle name="40% - Accent5 5" xfId="148" xr:uid="{573C3DC3-A763-4C27-992C-C507F8C09B04}"/>
    <cellStyle name="40% - Accent5 6" xfId="149" xr:uid="{DFD45D0E-E5F1-49AC-875E-3ADA067AEFF2}"/>
    <cellStyle name="40% - Accent6 2" xfId="150" xr:uid="{4A881024-C4A1-411E-B913-33A32750DD2E}"/>
    <cellStyle name="40% - Accent6 3" xfId="151" xr:uid="{0B060F05-20B6-40E9-9988-45379BEDFE41}"/>
    <cellStyle name="40% - Accent6 3 2" xfId="152" xr:uid="{4C44517A-C3FE-41E2-8C72-0D7C4056A2CB}"/>
    <cellStyle name="40% - Accent6 3 3" xfId="153" xr:uid="{9E2B61DC-E8AA-4945-B1F9-794A1D194E57}"/>
    <cellStyle name="40% - Accent6 4" xfId="154" xr:uid="{565EDAB6-0526-4687-8368-9AFE87832456}"/>
    <cellStyle name="40% - Accent6 4 2" xfId="155" xr:uid="{B6EF8645-1582-4F32-B2BF-B3C3B09C518B}"/>
    <cellStyle name="40% - Accent6 4 3" xfId="156" xr:uid="{6CC65D62-E916-4E08-8328-21F9BC2E0A47}"/>
    <cellStyle name="40% - Accent6 5" xfId="157" xr:uid="{F710F022-6AE8-4965-A21C-0609E66D2295}"/>
    <cellStyle name="40% - Accent6 6" xfId="158" xr:uid="{E971AF09-D7CA-404A-B80B-DE6E5BB70E70}"/>
    <cellStyle name="60% - Accent1 2" xfId="159" xr:uid="{F6161292-C28E-4069-A7DE-C52B6A0D0D73}"/>
    <cellStyle name="60% - Accent2 2" xfId="160" xr:uid="{9CE50D68-44FE-4AAF-A709-E8366606A3CF}"/>
    <cellStyle name="60% - Accent3 2" xfId="161" xr:uid="{9CCD901C-FEFC-4E08-A221-0CBF759D8A4D}"/>
    <cellStyle name="60% - Accent4 2" xfId="162" xr:uid="{77917787-6203-4153-B295-4CC0B7887280}"/>
    <cellStyle name="60% - Accent5 2" xfId="163" xr:uid="{809515CB-9C42-4DCF-94B0-D80E7171F3BD}"/>
    <cellStyle name="60% - Accent6 2" xfId="164" xr:uid="{BE1CAE69-486E-4113-96AB-C937C6984539}"/>
    <cellStyle name="Accent1 2" xfId="165" xr:uid="{3B9A5DBE-E385-4D69-8D19-0DC79269B117}"/>
    <cellStyle name="Accent2 2" xfId="166" xr:uid="{FD20EBC5-7EA0-4403-A5C7-4484A53D2960}"/>
    <cellStyle name="Accent3 2" xfId="167" xr:uid="{BCB62E26-3989-43FB-81BE-505B4E675FBF}"/>
    <cellStyle name="Accent4 2" xfId="168" xr:uid="{0208688D-1504-4CA5-BF5E-46A430273D47}"/>
    <cellStyle name="Accent5 2" xfId="169" xr:uid="{CC7094C6-F876-4313-B362-C181FE6959DB}"/>
    <cellStyle name="Accent6 2" xfId="170" xr:uid="{E590BFD2-74F5-4324-B7B8-5AD8FAAAF38C}"/>
    <cellStyle name="Bad 2" xfId="171" xr:uid="{07B7B446-2F51-4EC8-837A-6DFDEC0F2E27}"/>
    <cellStyle name="Body: normal cell" xfId="172" xr:uid="{8FE86A23-6261-4769-AA97-C820A5B73361}"/>
    <cellStyle name="Calculation 2" xfId="173" xr:uid="{CCEBD4EB-D7D0-464F-8EA9-31A64D55772D}"/>
    <cellStyle name="Check Cell 2" xfId="174" xr:uid="{9A8FA095-F74C-4AA2-8C50-E46835863613}"/>
    <cellStyle name="Comma 2" xfId="8" xr:uid="{DF4BF3A2-D7A3-47EF-AC54-A7FAB7C9E75A}"/>
    <cellStyle name="Comma 2 2" xfId="175" xr:uid="{4883EDFC-0000-4462-A17A-8B98E1FF6225}"/>
    <cellStyle name="Comma 2 3" xfId="176" xr:uid="{ED6A614A-94C0-4324-B43A-3B89B1B62D91}"/>
    <cellStyle name="Comma 2 4" xfId="24" xr:uid="{48742AE1-099F-4054-BC12-9459DF1F471A}"/>
    <cellStyle name="Comma 3" xfId="177" xr:uid="{11A118A1-7F93-475E-B237-3C9410F6DF02}"/>
    <cellStyle name="Comma 3 2" xfId="178" xr:uid="{739DFCDC-A10C-4363-A9D9-922B87CB0FC3}"/>
    <cellStyle name="Comma 3 2 2" xfId="179" xr:uid="{F3BF5E6C-5F38-4CD0-B859-995EDB7D84DE}"/>
    <cellStyle name="Comma 3 2 2 2" xfId="180" xr:uid="{1E20A1C4-C2CD-49B7-A35D-FC3AA4377982}"/>
    <cellStyle name="Comma 3 2 2 2 2" xfId="181" xr:uid="{C347D2E2-E39B-4D5D-84DA-0DE94EDE4A02}"/>
    <cellStyle name="Comma 3 2 2 2 3" xfId="182" xr:uid="{A6793D6F-4856-438B-9003-E641D7F07A0B}"/>
    <cellStyle name="Comma 3 2 2 3" xfId="183" xr:uid="{0585DF62-E0CC-43E1-AEE7-DF1120081DF3}"/>
    <cellStyle name="Comma 3 2 2 4" xfId="184" xr:uid="{AB2BFD39-44AF-4CB5-864A-138F4B13344F}"/>
    <cellStyle name="Comma 3 2 3" xfId="185" xr:uid="{D5AF8FE4-D45D-4D68-9F39-A33A8F9D29C4}"/>
    <cellStyle name="Comma 3 2 3 2" xfId="186" xr:uid="{4E16B147-3C6B-4186-9D69-CA56D7791785}"/>
    <cellStyle name="Comma 3 2 3 3" xfId="187" xr:uid="{6EF0156D-C88D-445C-9BF1-7E2E3F871C13}"/>
    <cellStyle name="Comma 3 2 4" xfId="188" xr:uid="{D7C33CCC-C8BF-40E7-8169-F10D61349BCE}"/>
    <cellStyle name="Comma 3 2 5" xfId="189" xr:uid="{6F376246-BDCF-4344-9AC2-BC5BA31872DE}"/>
    <cellStyle name="Comma 3 3" xfId="190" xr:uid="{772817A2-2347-4768-98A5-A636DA4D13EC}"/>
    <cellStyle name="Comma 3 3 2" xfId="191" xr:uid="{B929F49E-5B43-4327-BF7A-AEC560A2C87B}"/>
    <cellStyle name="Comma 3 3 2 2" xfId="192" xr:uid="{698C1155-51CE-4E8D-9792-09973BB730EB}"/>
    <cellStyle name="Comma 3 3 2 3" xfId="193" xr:uid="{1ADF6201-2479-403A-9ACA-93208616BA08}"/>
    <cellStyle name="Comma 3 3 3" xfId="194" xr:uid="{F3D49C0A-0CDD-4CE3-877E-637C3995F8DF}"/>
    <cellStyle name="Comma 3 3 4" xfId="195" xr:uid="{40DAF340-CE7F-405E-BC79-472762AED85C}"/>
    <cellStyle name="Comma 3 4" xfId="196" xr:uid="{27E858FF-B946-4074-A8DA-90301DA8F2BD}"/>
    <cellStyle name="Comma 3 4 2" xfId="197" xr:uid="{DB2DED60-885D-4859-8756-C8663980B102}"/>
    <cellStyle name="Comma 3 4 3" xfId="198" xr:uid="{F7A2EC76-C78D-49BA-BE5E-0942C0DE5DB2}"/>
    <cellStyle name="Comma 3 5" xfId="199" xr:uid="{F4F7D6F5-4B6E-47DD-84E8-0C73FCC5D53B}"/>
    <cellStyle name="Comma 3 6" xfId="200" xr:uid="{CEF60BB6-40B4-4B7E-8DDE-08BB9A654243}"/>
    <cellStyle name="Comma 3 7" xfId="201" xr:uid="{43D1CC55-D5B3-479F-AEC7-05D177BB1721}"/>
    <cellStyle name="Comma 4" xfId="202" xr:uid="{909ED4AA-1B22-403F-BA5C-E8C06163F887}"/>
    <cellStyle name="Comma 4 2" xfId="203" xr:uid="{58FED57B-BE34-489A-84C0-7EF82E9F2334}"/>
    <cellStyle name="Comma 4 2 2" xfId="204" xr:uid="{176804D9-7ED5-4BC4-8F5B-6D55B0C2E971}"/>
    <cellStyle name="Comma 4 2 2 2" xfId="205" xr:uid="{7A9B8682-919C-4FF7-B809-70DBED181654}"/>
    <cellStyle name="Comma 4 2 3" xfId="206" xr:uid="{B546B6F0-8CB6-42A1-BB06-C966FB6BDC51}"/>
    <cellStyle name="Comma 4 3" xfId="207" xr:uid="{DA386FEF-296A-4994-8F5B-BBA5F00FF8E4}"/>
    <cellStyle name="Comma 4 3 2" xfId="208" xr:uid="{F5E40304-952A-4155-98DA-4B4B5303437C}"/>
    <cellStyle name="Comma 4 4" xfId="209" xr:uid="{1952A939-9307-4553-8175-A6A22DAFDACB}"/>
    <cellStyle name="Comma 4 4 2" xfId="210" xr:uid="{AF0AAF66-767D-4AD0-AA74-C263A32DD5B4}"/>
    <cellStyle name="Comma 4 5" xfId="211" xr:uid="{6C67E039-5754-4B39-AA58-E420CA53A0A7}"/>
    <cellStyle name="Comma 5" xfId="212" xr:uid="{A86664A0-0F5F-4CE3-BA9E-3300D24F2692}"/>
    <cellStyle name="Comma 5 2" xfId="213" xr:uid="{1C3AB56F-01C1-4A6A-A47F-8BF95D7F3381}"/>
    <cellStyle name="Comma 5 2 2" xfId="214" xr:uid="{DF9468ED-8548-4FF3-9548-476447D974A0}"/>
    <cellStyle name="Comma 5 2 3" xfId="215" xr:uid="{B65A2F22-0A07-4952-97E8-380314677B5F}"/>
    <cellStyle name="Comma 6" xfId="216" xr:uid="{CC9DEDA1-CFD7-4FBC-8036-68653DE88FE5}"/>
    <cellStyle name="Comma 6 2" xfId="217" xr:uid="{6F225FCC-2D17-4404-A361-BC84A96B0C60}"/>
    <cellStyle name="Comma 6 2 2" xfId="218" xr:uid="{6518AFF0-CFD5-489E-BA37-751AFFA9DF1C}"/>
    <cellStyle name="Comma 6 2 3" xfId="219" xr:uid="{281ED2B3-79C5-4815-9672-8AA7C9DC018E}"/>
    <cellStyle name="Comma 6 3" xfId="220" xr:uid="{4FC9A4B8-97BF-44C3-A3E8-32AE9478E0C6}"/>
    <cellStyle name="Comma 6 4" xfId="221" xr:uid="{AC26A753-4B1B-4A33-BAC6-C2C51F8A1B7E}"/>
    <cellStyle name="Comma 6 5" xfId="222" xr:uid="{B277B361-34BB-478B-84BE-8CD137B9F8D7}"/>
    <cellStyle name="Comma 7" xfId="223" xr:uid="{A6D70FEC-B81C-498B-8985-902A890D2357}"/>
    <cellStyle name="Comma 8" xfId="224" xr:uid="{463ED123-521B-4E7C-AD4D-1702D4172624}"/>
    <cellStyle name="Comma 9" xfId="548" xr:uid="{6CE13892-6C2E-4DD9-8787-874A57870B4C}"/>
    <cellStyle name="Currency 2" xfId="225" xr:uid="{8DA8D1E5-1018-4475-93E7-18227C45704A}"/>
    <cellStyle name="Currency 2 2" xfId="226" xr:uid="{61DFC3EB-05DF-466A-AB78-A1065BBFFFED}"/>
    <cellStyle name="Currency 2 2 2" xfId="227" xr:uid="{EC06E75E-7025-4FEA-99D1-32ABCEF2D617}"/>
    <cellStyle name="Currency 2 2 2 2" xfId="228" xr:uid="{1AB45ACE-9AA9-43CA-A528-4C57842947F2}"/>
    <cellStyle name="Currency 2 3" xfId="229" xr:uid="{A737F38C-8D7B-4763-AAF4-C65C73B13885}"/>
    <cellStyle name="Currency 2 3 2" xfId="230" xr:uid="{60E0EF60-311B-444C-8E67-65D14C6360AE}"/>
    <cellStyle name="Currency 2 4" xfId="231" xr:uid="{DBF81011-307D-4CD3-9E8F-7DABA1953E0A}"/>
    <cellStyle name="Currency 2 4 2" xfId="232" xr:uid="{644CD56B-B9D5-4623-BE67-169FDEA5E68F}"/>
    <cellStyle name="Currency 2 5" xfId="233" xr:uid="{FF23A2D1-69AB-4BE7-84F0-86B7A6BA3D95}"/>
    <cellStyle name="Currency 3" xfId="234" xr:uid="{DB16496A-DD6C-49EB-919A-C5FE80B96011}"/>
    <cellStyle name="Date" xfId="235" xr:uid="{E1F4F0F8-06E6-4088-8D01-FE9DD137CAFA}"/>
    <cellStyle name="Date 2" xfId="236" xr:uid="{47355E72-C35B-4F4B-9774-38B3AFA0BD69}"/>
    <cellStyle name="Date 2 2" xfId="237" xr:uid="{61FAD31B-A26C-4B33-B774-76C9116BAFD8}"/>
    <cellStyle name="Date 2 3" xfId="238" xr:uid="{A25A2129-9871-4592-8496-0AEF37AE3532}"/>
    <cellStyle name="Explanatory Text 2" xfId="239" xr:uid="{68872BCC-CF6B-4FDE-A6CB-D4EE3B8FD220}"/>
    <cellStyle name="Fixed" xfId="240" xr:uid="{FE662E3C-3D10-404C-A1A8-FD2762A10FE9}"/>
    <cellStyle name="Fixed 2" xfId="241" xr:uid="{69BCEF4F-35B0-4BAB-BFB8-485BFB3DE35E}"/>
    <cellStyle name="Fixed 2 2" xfId="242" xr:uid="{39AEDB94-D142-4B53-A63E-2C2D82E58A02}"/>
    <cellStyle name="Fixed 2 3" xfId="243" xr:uid="{D830E4B9-80FF-40E6-A51B-83EB1383253C}"/>
    <cellStyle name="Good" xfId="4" builtinId="26"/>
    <cellStyle name="Good 2" xfId="244" xr:uid="{08357131-A344-42E2-B483-23BA0943A05D}"/>
    <cellStyle name="Heading 1 2" xfId="245" xr:uid="{6A6B3A0A-DB5B-495E-8C61-71346FA415EA}"/>
    <cellStyle name="Heading 2" xfId="15" builtinId="17"/>
    <cellStyle name="Heading 2 2" xfId="246" xr:uid="{C060250F-F542-49D4-8D39-5F924D9B6A34}"/>
    <cellStyle name="Heading 3 2" xfId="247" xr:uid="{579ED0F7-05CD-4DA5-80F6-62D1A35C9435}"/>
    <cellStyle name="Heading 4" xfId="16" builtinId="19"/>
    <cellStyle name="Heading 4 2" xfId="248" xr:uid="{E2DD0D04-34BE-4C74-A04B-0165B5D6AC06}"/>
    <cellStyle name="Heading1" xfId="249" xr:uid="{83D64525-4485-44F8-920B-1C42661645AF}"/>
    <cellStyle name="Heading1 2" xfId="250" xr:uid="{74C8ABCE-BEC2-4BB0-8049-4714002E71E1}"/>
    <cellStyle name="Heading1 2 2" xfId="251" xr:uid="{1E818EB5-554A-4977-9455-24CC6C76A88D}"/>
    <cellStyle name="Heading1 2 3" xfId="252" xr:uid="{37E8C192-BD46-4CD1-8147-96A33CD90E16}"/>
    <cellStyle name="Heading2" xfId="253" xr:uid="{8B2D360F-2FBB-42D1-A5CA-01DBD8B96B26}"/>
    <cellStyle name="Heading2 2" xfId="254" xr:uid="{B332D15F-E9E4-4F28-B80B-028919EB0120}"/>
    <cellStyle name="Heading2 2 2" xfId="255" xr:uid="{C5132BC0-0D24-4B57-9A4F-59592AC801B1}"/>
    <cellStyle name="Heading2 2 3" xfId="256" xr:uid="{643BD7A7-3034-4FD1-8CDA-9D434B994781}"/>
    <cellStyle name="Hyperlink 2" xfId="26" xr:uid="{27F665C9-933A-43AB-83B2-96802C7EBEF4}"/>
    <cellStyle name="Hyperlink 2 2" xfId="257" xr:uid="{B05D5386-C02A-40A1-BD1C-41352B7CBB4E}"/>
    <cellStyle name="Hyperlink 2 3" xfId="258" xr:uid="{5558A52A-9451-4929-9E77-7841CF33E931}"/>
    <cellStyle name="Hyperlink 2 4" xfId="259" xr:uid="{BF788E11-B3A6-44AF-B55F-7DF25234E5E2}"/>
    <cellStyle name="Input 2" xfId="260" xr:uid="{2D2DF48D-4EAB-44F7-9905-1CBE767C376E}"/>
    <cellStyle name="Linked Cell 2" xfId="261" xr:uid="{DCD94AE9-2D62-421B-AF15-8EDB198E3B09}"/>
    <cellStyle name="Neutral" xfId="17" builtinId="28"/>
    <cellStyle name="Neutral 2" xfId="1" xr:uid="{3BCEFBE8-9934-4FD3-8457-D9BAD006E4B1}"/>
    <cellStyle name="Neutral 2 2" xfId="262" xr:uid="{88C76FE4-FE78-4CB5-84AC-B6D91659F6C7}"/>
    <cellStyle name="Normal" xfId="0" builtinId="0"/>
    <cellStyle name="Normal 10" xfId="14" xr:uid="{9E72CD5A-5E8E-4F4A-BAA7-54C5D99D2714}"/>
    <cellStyle name="Normal 10 2" xfId="264" xr:uid="{16C357B6-E3E1-4835-91F7-043F522FEA83}"/>
    <cellStyle name="Normal 10 2 2" xfId="265" xr:uid="{6928B62F-580C-415E-99B2-F36ED5057054}"/>
    <cellStyle name="Normal 10 2 3" xfId="266" xr:uid="{E46BD5D3-53BD-438C-BD29-A76F093300C3}"/>
    <cellStyle name="Normal 10 3" xfId="267" xr:uid="{97DADBD8-8269-4C52-98DE-B53A9CBE2EB7}"/>
    <cellStyle name="Normal 10 4" xfId="25" xr:uid="{17339F03-376E-4B12-B3D7-A2475844DA84}"/>
    <cellStyle name="Normal 10 5" xfId="29" xr:uid="{7CEDAB52-840B-44CF-A574-50750A7C8014}"/>
    <cellStyle name="Normal 10 6" xfId="263" xr:uid="{639EAD3E-EA82-4D58-8A09-87456D614D79}"/>
    <cellStyle name="Normal 11" xfId="268" xr:uid="{EDEAA4DA-07E8-4DE6-B600-231BCF914D53}"/>
    <cellStyle name="Normal 11 2" xfId="269" xr:uid="{4B7A1285-9B12-4BD3-9F61-210BBA1AC666}"/>
    <cellStyle name="Normal 11 2 2" xfId="270" xr:uid="{5D75C312-1DA8-455D-998F-F484A071F9E2}"/>
    <cellStyle name="Normal 11 2 3" xfId="271" xr:uid="{2AE4260E-D5EC-48AD-AC60-E51D541F573A}"/>
    <cellStyle name="Normal 11 3" xfId="272" xr:uid="{A1729C5B-B3A6-4CD7-B541-AAA2BFBF7A16}"/>
    <cellStyle name="Normal 11 4" xfId="273" xr:uid="{380AA1A4-541F-47BC-820F-A667E799F411}"/>
    <cellStyle name="Normal 12" xfId="274" xr:uid="{478978FD-5732-450A-97FE-46E02A1F4D8E}"/>
    <cellStyle name="Normal 12 2" xfId="275" xr:uid="{1F0D9A53-663B-4ED5-A512-EEDFCF781833}"/>
    <cellStyle name="Normal 12 2 2" xfId="276" xr:uid="{A80E4AC3-1B16-409F-99B4-CED393DA83D1}"/>
    <cellStyle name="Normal 12 2 3" xfId="277" xr:uid="{6C18BE66-AB19-4E2E-86E1-A8082C42B821}"/>
    <cellStyle name="Normal 12 3" xfId="278" xr:uid="{FF62889C-C933-41F9-982A-F93D67C80F4E}"/>
    <cellStyle name="Normal 12 4" xfId="279" xr:uid="{BEBB6A03-9875-484C-B04B-C8B317F12617}"/>
    <cellStyle name="Normal 13" xfId="21" xr:uid="{CAA2315F-1580-4AEE-8838-456AE3A57018}"/>
    <cellStyle name="Normal 14" xfId="280" xr:uid="{A68E9A12-C2FE-484A-A26A-6E704A4A9A1A}"/>
    <cellStyle name="Normal 14 2" xfId="281" xr:uid="{76243136-7B06-4649-A63F-18B0C991A280}"/>
    <cellStyle name="Normal 14 3" xfId="282" xr:uid="{5C89C875-71BF-469A-9995-FC4C3BB00448}"/>
    <cellStyle name="Normal 15" xfId="549" xr:uid="{DB7D4400-C1C8-4757-81C1-8655FC523241}"/>
    <cellStyle name="Normal 16" xfId="18" xr:uid="{0315D79E-188D-4C71-A180-7F51A8EF594C}"/>
    <cellStyle name="Normal 2" xfId="10" xr:uid="{BA9D4942-E3CF-409B-BCDE-38EDFD9D6F29}"/>
    <cellStyle name="Normal 2 2" xfId="22" xr:uid="{31FDC041-276B-4391-B29A-EE0D578EC74E}"/>
    <cellStyle name="Normal 2 2 2" xfId="20" xr:uid="{33C25172-1F75-4C6F-A33F-AE35A39C8911}"/>
    <cellStyle name="Normal 2 2 2 2" xfId="23" xr:uid="{54A9A07D-0BB3-4F55-A82E-22631DAC429A}"/>
    <cellStyle name="Normal 2 2 3" xfId="283" xr:uid="{EDBE73BF-F2A5-4007-96CE-914844E6512A}"/>
    <cellStyle name="Normal 2 2 4" xfId="284" xr:uid="{EDB79D9D-2080-4B36-ABE1-1E6A2C09A6D1}"/>
    <cellStyle name="Normal 2 3" xfId="285" xr:uid="{F189F09B-5F40-47C3-B87F-10644C354FEE}"/>
    <cellStyle name="Normal 2 4" xfId="286" xr:uid="{B53B8F51-2FD9-40DD-9B5A-AAD26CE9C077}"/>
    <cellStyle name="Normal 2 4 2" xfId="287" xr:uid="{5497B8F3-4273-4B7C-811B-742F94E26F40}"/>
    <cellStyle name="Normal 2 4 2 2" xfId="288" xr:uid="{E6553E03-2259-4EC1-BF24-8D67D1A49FE0}"/>
    <cellStyle name="Normal 2 4 2 2 2" xfId="289" xr:uid="{4A007195-602B-4893-89E5-B670CE95EB4E}"/>
    <cellStyle name="Normal 2 4 2 2 3" xfId="290" xr:uid="{9B105CF0-C14F-429C-A91F-AB8F12F14CB3}"/>
    <cellStyle name="Normal 2 4 2 3" xfId="291" xr:uid="{F7C1B500-A75E-403F-A260-DFDA1B25766A}"/>
    <cellStyle name="Normal 2 4 2 4" xfId="292" xr:uid="{D7A9E8CE-588C-4AEB-BBB2-32B1966EE5CF}"/>
    <cellStyle name="Normal 2 4 3" xfId="293" xr:uid="{16033481-E0E6-4423-AFD7-9C8E4D300CAA}"/>
    <cellStyle name="Normal 2 4 3 2" xfId="294" xr:uid="{2E37D850-6E1F-45CF-9D42-9D16AFC1D6BC}"/>
    <cellStyle name="Normal 2 4 3 3" xfId="295" xr:uid="{7240601D-4AB1-4A6F-A61D-E6A882B7895A}"/>
    <cellStyle name="Normal 2 4 4" xfId="296" xr:uid="{0663447E-AE18-4663-958A-C625D285C692}"/>
    <cellStyle name="Normal 2 4 5" xfId="297" xr:uid="{2C4D89B5-D78B-49D0-9B54-C00ECB073E55}"/>
    <cellStyle name="Normal 2 5" xfId="19" xr:uid="{B95A10A2-1ADC-4CC5-BA36-04BC7A335E31}"/>
    <cellStyle name="Normal 3" xfId="2" xr:uid="{5030BCE0-FC65-47A7-9892-47CF2F6D47AC}"/>
    <cellStyle name="Normal 3 2" xfId="5" xr:uid="{9B8EF505-F528-4131-8F0F-83EBFBF25AE1}"/>
    <cellStyle name="Normal 3 2 2" xfId="300" xr:uid="{95A9D36E-A260-4F11-A2B6-EFB36A5E9035}"/>
    <cellStyle name="Normal 3 2 2 2" xfId="301" xr:uid="{3B57D9DC-8369-40EA-AE55-EA04DBD79441}"/>
    <cellStyle name="Normal 3 2 3" xfId="302" xr:uid="{0994933A-FA9B-45C7-8EDB-7B4DABA18DC4}"/>
    <cellStyle name="Normal 3 2 3 2" xfId="303" xr:uid="{D96C86F7-B445-490F-8134-8DBD18CD6BCC}"/>
    <cellStyle name="Normal 3 2 4" xfId="304" xr:uid="{E992C855-EE4F-4EF5-8220-93087043BB52}"/>
    <cellStyle name="Normal 3 2 4 2" xfId="305" xr:uid="{2881B957-39AE-42DE-A1D7-D6869718F4FB}"/>
    <cellStyle name="Normal 3 2 5" xfId="306" xr:uid="{8539B0F5-F2BE-46C9-8A97-0ADB629D24D1}"/>
    <cellStyle name="Normal 3 2 5 2" xfId="307" xr:uid="{10F44B32-8C7F-4A10-A807-A36065A5F239}"/>
    <cellStyle name="Normal 3 2 6" xfId="308" xr:uid="{E5A161B6-FA28-4251-B0E0-AB2C8D180194}"/>
    <cellStyle name="Normal 3 2 6 2" xfId="309" xr:uid="{54FAD09D-062A-417C-B9A6-E2355045A1AC}"/>
    <cellStyle name="Normal 3 2 7" xfId="310" xr:uid="{08BAC847-3CEE-4F5D-9452-CF401E5A1E72}"/>
    <cellStyle name="Normal 3 2 8" xfId="299" xr:uid="{981AA574-6A92-4104-9BBD-3671ED902728}"/>
    <cellStyle name="Normal 3 3" xfId="311" xr:uid="{85F93940-42C3-4BCE-A43C-31CF9D822C55}"/>
    <cellStyle name="Normal 3 3 2" xfId="312" xr:uid="{5E4460B3-2898-4804-A3DA-E35927911E7F}"/>
    <cellStyle name="Normal 3 3 2 2" xfId="313" xr:uid="{EFC51CD1-FDFA-49B3-BA74-021D3C58D0CC}"/>
    <cellStyle name="Normal 3 3 2 2 2" xfId="314" xr:uid="{444E3FBE-790F-436D-87E6-DD38D3674647}"/>
    <cellStyle name="Normal 3 3 2 2 3" xfId="315" xr:uid="{D6E9C5BF-1708-4543-9995-B5F32D1679BA}"/>
    <cellStyle name="Normal 3 3 2 3" xfId="316" xr:uid="{9FA10BD9-1582-4C39-9A10-0FA89CBF2827}"/>
    <cellStyle name="Normal 3 3 2 4" xfId="317" xr:uid="{C6865F96-19B3-4CA7-B242-C2D883B6B809}"/>
    <cellStyle name="Normal 3 3 3" xfId="318" xr:uid="{89E8406C-1D1E-44D9-A0C2-41A4338C3545}"/>
    <cellStyle name="Normal 3 3 3 2" xfId="319" xr:uid="{F7410DB6-BEA0-403D-9852-9177C6E2303E}"/>
    <cellStyle name="Normal 3 3 3 3" xfId="320" xr:uid="{E1F477EE-907C-4B31-8A53-F5A064B94941}"/>
    <cellStyle name="Normal 3 3 4" xfId="321" xr:uid="{3C2D8753-685D-4713-B68B-405EE6251551}"/>
    <cellStyle name="Normal 3 3 5" xfId="322" xr:uid="{289558D1-B6C7-4869-A1C2-4926DCC564AD}"/>
    <cellStyle name="Normal 3 4" xfId="323" xr:uid="{D020A80E-6F35-49BF-A85D-8145998227CB}"/>
    <cellStyle name="Normal 3 4 2" xfId="324" xr:uid="{F8340054-9E75-4CDE-BA8A-D5FE95EB17D5}"/>
    <cellStyle name="Normal 3 4 2 2" xfId="325" xr:uid="{B4CC8917-9CB3-434F-968E-68CF9AF71922}"/>
    <cellStyle name="Normal 3 4 2 3" xfId="326" xr:uid="{3705254D-EDFB-410F-B5CC-AFA4025DCA53}"/>
    <cellStyle name="Normal 3 4 3" xfId="327" xr:uid="{137DDA49-2E12-4CD8-AC22-C445A5E2C8BB}"/>
    <cellStyle name="Normal 3 4 4" xfId="328" xr:uid="{16CA7DB1-DB2B-43B7-A5C0-724288A41C2D}"/>
    <cellStyle name="Normal 3 5" xfId="329" xr:uid="{1376112F-BAE6-438C-BD2E-9CCC01510BFE}"/>
    <cellStyle name="Normal 3 5 2" xfId="330" xr:uid="{986C6726-D883-45A4-B797-E85D78354132}"/>
    <cellStyle name="Normal 3 5 3" xfId="331" xr:uid="{9CC37357-3616-4D11-9D3F-C834FBFC30D5}"/>
    <cellStyle name="Normal 3 6" xfId="27" xr:uid="{23C20977-75A3-4819-BFDF-2102BB91FD71}"/>
    <cellStyle name="Normal 3 7" xfId="332" xr:uid="{3E99A985-96DC-4DCD-BB22-19C68F5D87D1}"/>
    <cellStyle name="Normal 3 8" xfId="333" xr:uid="{C98483ED-42C6-4D01-8B9E-CDBFB8FD80B9}"/>
    <cellStyle name="Normal 3 9" xfId="298" xr:uid="{F171C9AF-F01D-45C1-A66F-57AD50A985D6}"/>
    <cellStyle name="Normal 4" xfId="6" xr:uid="{C9EADCC0-E05D-4CAA-AD1B-687D16D77867}"/>
    <cellStyle name="Normal 4 2" xfId="11" xr:uid="{91361594-6ABA-41C3-AAFC-59E0F69BF033}"/>
    <cellStyle name="Normal 4 2 2" xfId="28" xr:uid="{3248C154-DF08-43BD-B668-42E6220D9AB9}"/>
    <cellStyle name="Normal 4 2 3" xfId="334" xr:uid="{5710FD5A-ECBA-4D64-BD64-21D2E6FB0B5F}"/>
    <cellStyle name="Normal 4 3" xfId="335" xr:uid="{C4CCEF29-6EF7-4976-9F22-DDE6B385C853}"/>
    <cellStyle name="Normal 4 3 2" xfId="336" xr:uid="{2D3CD16E-853C-4D4F-A72E-10DCEEB2768F}"/>
    <cellStyle name="Normal 4 3 2 2" xfId="337" xr:uid="{BD70B597-7B04-4B9B-8649-65852E1B1431}"/>
    <cellStyle name="Normal 4 3 2 2 2" xfId="338" xr:uid="{58E3E60B-8443-4CA7-BBB7-2C7F5D3A410B}"/>
    <cellStyle name="Normal 4 3 2 2 2 2" xfId="339" xr:uid="{9F691480-1250-421C-BD4C-0C456B173A5C}"/>
    <cellStyle name="Normal 4 3 2 2 2 3" xfId="340" xr:uid="{84CEABD9-5C41-482C-B248-9D6D1C174BDF}"/>
    <cellStyle name="Normal 4 3 2 2 3" xfId="341" xr:uid="{93087EF4-0022-4C12-84CF-19FD700A9380}"/>
    <cellStyle name="Normal 4 3 2 2 4" xfId="342" xr:uid="{8FC65426-01A7-49AD-A8AF-CC21DF1C12E2}"/>
    <cellStyle name="Normal 4 3 2 3" xfId="343" xr:uid="{D2F96A6B-A84E-4073-9328-AAFE1B76149F}"/>
    <cellStyle name="Normal 4 3 2 3 2" xfId="344" xr:uid="{64956787-9322-4AA3-BB2A-D022A47A2983}"/>
    <cellStyle name="Normal 4 3 2 3 3" xfId="345" xr:uid="{4B2BAF06-9176-4632-9C82-1E0904560BE9}"/>
    <cellStyle name="Normal 4 3 2 4" xfId="346" xr:uid="{A8D632A5-48EA-457E-8E8A-FEA8C698DE10}"/>
    <cellStyle name="Normal 4 3 2 5" xfId="347" xr:uid="{D1EBE7CB-C5C7-49F2-8336-1CD3E72F6FDA}"/>
    <cellStyle name="Normal 4 3 3" xfId="348" xr:uid="{21696788-E701-47D2-9F27-071BBF808F1C}"/>
    <cellStyle name="Normal 4 3 3 2" xfId="349" xr:uid="{CAB68F2A-C400-464B-BE39-B3C53E8D708F}"/>
    <cellStyle name="Normal 4 3 3 2 2" xfId="350" xr:uid="{D08093C6-488B-4ED9-ACF7-C089667C505A}"/>
    <cellStyle name="Normal 4 3 3 2 3" xfId="351" xr:uid="{56B62E39-BEB3-4C51-976C-0AC76576E8AA}"/>
    <cellStyle name="Normal 4 3 3 3" xfId="352" xr:uid="{427AC49B-3908-403E-B28F-63C5DEC001AD}"/>
    <cellStyle name="Normal 4 3 3 4" xfId="353" xr:uid="{A96D4F34-E91D-4285-9664-B658F34834D3}"/>
    <cellStyle name="Normal 4 3 4" xfId="354" xr:uid="{2E0C8DEE-783E-4420-A1DB-0CF6843F99C3}"/>
    <cellStyle name="Normal 4 3 4 2" xfId="355" xr:uid="{FF871904-6B7E-4836-8DE5-C0B5D309F214}"/>
    <cellStyle name="Normal 4 3 4 3" xfId="356" xr:uid="{27331D01-7051-45C4-9278-86E7492C04F6}"/>
    <cellStyle name="Normal 4 3 5" xfId="357" xr:uid="{4A9DB317-BB48-4D55-8E23-EF856E6382CD}"/>
    <cellStyle name="Normal 4 3 6" xfId="358" xr:uid="{D46D178C-30BB-4640-8AAF-50D76B8286F3}"/>
    <cellStyle name="Normal 4 4" xfId="359" xr:uid="{24BD4FB8-4964-4311-BBCD-CA7ACE4E1549}"/>
    <cellStyle name="Normal 4 4 2" xfId="360" xr:uid="{C2B787FC-87E9-4277-8F9E-1E3D4CCA89CF}"/>
    <cellStyle name="Normal 4 4 2 2" xfId="361" xr:uid="{E0E0E5DD-BF41-4B58-A520-F1C5881358E6}"/>
    <cellStyle name="Normal 4 4 2 2 2" xfId="362" xr:uid="{C0936858-9B54-47A5-B058-39E9A1D00716}"/>
    <cellStyle name="Normal 4 4 2 2 3" xfId="363" xr:uid="{8EF2AFAB-6633-4361-992C-950A6A647CEB}"/>
    <cellStyle name="Normal 4 4 2 3" xfId="364" xr:uid="{1E6F587E-BE3B-49EB-AB81-B244E25CD009}"/>
    <cellStyle name="Normal 4 4 2 4" xfId="365" xr:uid="{1FC409A2-AC0D-4402-9704-0891DC2056F1}"/>
    <cellStyle name="Normal 4 4 3" xfId="366" xr:uid="{59CA1DBB-8722-41FF-8C95-CFB95813E31A}"/>
    <cellStyle name="Normal 4 4 3 2" xfId="367" xr:uid="{3F8C411B-5562-4D69-BD6A-0E62BF7A24FA}"/>
    <cellStyle name="Normal 4 4 3 3" xfId="368" xr:uid="{3771BF96-9D74-47CE-9297-A055721F7A3C}"/>
    <cellStyle name="Normal 4 4 4" xfId="369" xr:uid="{7135C3AB-1C4E-4C48-BA5F-9C1544C4E94D}"/>
    <cellStyle name="Normal 4 4 5" xfId="370" xr:uid="{3D025CF7-94FA-4702-9EA1-D76A8155DC1F}"/>
    <cellStyle name="Normal 4 5" xfId="371" xr:uid="{53E757D4-823B-49BD-94D1-061572F4EC2F}"/>
    <cellStyle name="Normal 4 5 2" xfId="372" xr:uid="{84502F53-1494-4E68-8B97-217B05B70B0C}"/>
    <cellStyle name="Normal 4 5 2 2" xfId="373" xr:uid="{6A81FBAE-28F4-48EC-AF6B-D0AE2F6465EE}"/>
    <cellStyle name="Normal 4 5 2 3" xfId="374" xr:uid="{3E4B7259-AFF1-4579-A6C3-6789636E31B0}"/>
    <cellStyle name="Normal 4 5 3" xfId="375" xr:uid="{E6958891-D90D-4D51-96F2-628898B558A6}"/>
    <cellStyle name="Normal 4 5 4" xfId="376" xr:uid="{E47ABF2F-C147-469B-BD82-BCBD4263CD86}"/>
    <cellStyle name="Normal 4 6" xfId="377" xr:uid="{30CE5376-16EA-4C85-8C47-8F6B45DB7751}"/>
    <cellStyle name="Normal 4 6 2" xfId="378" xr:uid="{B7FD4FC9-6609-4FC1-8D62-9C86D1313B60}"/>
    <cellStyle name="Normal 4 6 3" xfId="379" xr:uid="{C65FE02D-17B7-4D6A-A59B-AF663CA33878}"/>
    <cellStyle name="Normal 4 7" xfId="380" xr:uid="{DB23264B-67A8-4A9F-9373-907DAE9B2EC8}"/>
    <cellStyle name="Normal 4 8" xfId="381" xr:uid="{5A5350A8-7DD2-48A3-889A-5CBFDA1105BE}"/>
    <cellStyle name="Normal 5" xfId="12" xr:uid="{249A49C2-5C59-4012-BA96-9AABBBDE472F}"/>
    <cellStyle name="Normal 5 2" xfId="13" xr:uid="{23F20049-36C2-4A53-BDCA-3499D1C90EE1}"/>
    <cellStyle name="Normal 5 2 2" xfId="383" xr:uid="{52E78CF9-FFA8-4B0F-87F1-D08BE1D7C111}"/>
    <cellStyle name="Normal 5 2 2 2" xfId="384" xr:uid="{9A548C1C-07C4-43DA-812F-C5ED610566AF}"/>
    <cellStyle name="Normal 5 2 2 2 2" xfId="385" xr:uid="{29F74428-AA58-44C0-BC7B-C42653152ED2}"/>
    <cellStyle name="Normal 5 2 2 2 2 2" xfId="386" xr:uid="{4CCF9947-0916-46AE-921B-CBEFAE38D76A}"/>
    <cellStyle name="Normal 5 2 2 2 2 3" xfId="387" xr:uid="{2E86B3D2-7728-4D89-AD28-5B87EBA11F0F}"/>
    <cellStyle name="Normal 5 2 2 2 3" xfId="388" xr:uid="{71CE4557-889D-4E75-9A97-DBB0FA0AEFA3}"/>
    <cellStyle name="Normal 5 2 2 2 4" xfId="389" xr:uid="{44735346-2B70-41F6-B467-B83F6CCCA7DD}"/>
    <cellStyle name="Normal 5 2 2 3" xfId="390" xr:uid="{15E0C504-4419-4FE7-9AD6-4FE16D53B65E}"/>
    <cellStyle name="Normal 5 2 2 3 2" xfId="391" xr:uid="{9E942782-8EFA-4C05-A78F-5E97CB558E20}"/>
    <cellStyle name="Normal 5 2 2 3 3" xfId="392" xr:uid="{D67CF9F2-AFBD-43CB-83C0-D4420DF4F243}"/>
    <cellStyle name="Normal 5 2 2 4" xfId="393" xr:uid="{D82FC10B-CDE2-403C-B3D7-FED407DB5516}"/>
    <cellStyle name="Normal 5 2 2 5" xfId="394" xr:uid="{B04BD362-E35D-49E8-9A1E-4D5195D76D19}"/>
    <cellStyle name="Normal 5 2 3" xfId="395" xr:uid="{CB00F4C9-44E6-4D14-B469-12620A0A7542}"/>
    <cellStyle name="Normal 5 2 3 2" xfId="396" xr:uid="{077294F1-4B50-4FC9-9096-101BE4E56E7B}"/>
    <cellStyle name="Normal 5 2 3 2 2" xfId="397" xr:uid="{C3B597E7-3111-4A5A-9CE5-5162C140A0DE}"/>
    <cellStyle name="Normal 5 2 3 2 3" xfId="398" xr:uid="{B008B5E1-6EB9-4495-8360-4D4D09A5FD6E}"/>
    <cellStyle name="Normal 5 2 3 3" xfId="399" xr:uid="{588D65EE-D553-45BB-82E9-D89EBD4F3F0D}"/>
    <cellStyle name="Normal 5 2 3 4" xfId="400" xr:uid="{4CF55175-0B48-4C0E-8CCF-822B9B03AD66}"/>
    <cellStyle name="Normal 5 2 4" xfId="401" xr:uid="{46C2439C-93C4-4344-95E2-EFA682A5F5B0}"/>
    <cellStyle name="Normal 5 2 4 2" xfId="402" xr:uid="{3F3049E1-8365-4FB4-A375-897006E423ED}"/>
    <cellStyle name="Normal 5 2 4 3" xfId="403" xr:uid="{6BE284E2-425D-4FE1-8DC1-5A4100B95E95}"/>
    <cellStyle name="Normal 5 2 5" xfId="404" xr:uid="{B37DE974-7752-4473-BB26-23E7FED3A987}"/>
    <cellStyle name="Normal 5 2 6" xfId="405" xr:uid="{20B45403-7ED3-4F1D-91AA-D77018B6F208}"/>
    <cellStyle name="Normal 5 2 7" xfId="382" xr:uid="{BD56CA68-845E-42DC-9B20-D73679B8F164}"/>
    <cellStyle name="Normal 5 3" xfId="406" xr:uid="{DEC838A0-DEEF-4480-9200-454DD145EF48}"/>
    <cellStyle name="Normal 5 3 2" xfId="407" xr:uid="{719BEAAB-893C-4206-8BF6-D4C8DDBAFB0A}"/>
    <cellStyle name="Normal 5 3 2 2" xfId="408" xr:uid="{08E4A154-DFB7-4A8C-8F42-CDB7B89F5D93}"/>
    <cellStyle name="Normal 5 3 2 2 2" xfId="409" xr:uid="{FF2B9D08-F604-4852-92AF-88A7139A4263}"/>
    <cellStyle name="Normal 5 3 2 2 3" xfId="410" xr:uid="{A9419659-3C8F-410A-9D30-1455BCF018F0}"/>
    <cellStyle name="Normal 5 3 2 3" xfId="411" xr:uid="{8AE689FF-0C79-4B44-A485-AA10D2E4A6C9}"/>
    <cellStyle name="Normal 5 3 2 4" xfId="412" xr:uid="{BD0ED3AD-A108-4D73-A8AE-5EC6B6525659}"/>
    <cellStyle name="Normal 5 3 3" xfId="413" xr:uid="{66F6C159-A570-4286-A756-9BFACFD46B80}"/>
    <cellStyle name="Normal 5 3 3 2" xfId="414" xr:uid="{7472CE45-2E42-4123-8C34-AD4508877252}"/>
    <cellStyle name="Normal 5 3 3 3" xfId="415" xr:uid="{4F63D5E3-D2CE-4611-B4AB-74B31DD8BD29}"/>
    <cellStyle name="Normal 5 3 4" xfId="416" xr:uid="{A7521C9B-1544-46E2-9E79-D8472EA2437D}"/>
    <cellStyle name="Normal 5 3 5" xfId="417" xr:uid="{1FDC23C9-D419-427C-9421-E24D6DF65822}"/>
    <cellStyle name="Normal 5 4" xfId="418" xr:uid="{3587A777-C840-4CE7-85E2-B4F051E3357F}"/>
    <cellStyle name="Normal 5 4 2" xfId="419" xr:uid="{33CD4BA7-8653-4AEE-BCF2-0577B4CD399A}"/>
    <cellStyle name="Normal 5 4 2 2" xfId="420" xr:uid="{9608D7A4-AAE4-4F71-97D2-0F1788B1A55E}"/>
    <cellStyle name="Normal 5 4 2 3" xfId="421" xr:uid="{D6DFC2A1-3DA3-4E3D-B42F-AADC2A64E0A7}"/>
    <cellStyle name="Normal 5 4 3" xfId="422" xr:uid="{84BC6E13-3830-421E-86FB-E78EB7A933B1}"/>
    <cellStyle name="Normal 5 4 4" xfId="423" xr:uid="{A6857AFD-6468-4846-A0B5-6FEB880E33D7}"/>
    <cellStyle name="Normal 5 5" xfId="424" xr:uid="{8F82A33B-7208-43E8-9200-DDF478D0BD9C}"/>
    <cellStyle name="Normal 5 5 2" xfId="425" xr:uid="{0AA884B0-1865-4F50-B267-586227353FC4}"/>
    <cellStyle name="Normal 5 5 3" xfId="426" xr:uid="{876260C8-E234-4D73-8EA7-4D1FEF009D27}"/>
    <cellStyle name="Normal 5 6" xfId="427" xr:uid="{13064ED0-7B16-4865-B10F-F2CDA92EAF5C}"/>
    <cellStyle name="Normal 5 6 2" xfId="428" xr:uid="{CB0CEDB3-FA82-4384-B67E-5512B983F1C2}"/>
    <cellStyle name="Normal 5 6 3" xfId="429" xr:uid="{AC3B711D-9644-4DD0-A3F7-787ABBD0DAF5}"/>
    <cellStyle name="Normal 5 7" xfId="430" xr:uid="{4188AED1-8EF0-4B1C-86CB-5EC07D45EEB1}"/>
    <cellStyle name="Normal 5 8" xfId="431" xr:uid="{2B0273D9-8F3C-4025-B590-3D8D26B9B2E5}"/>
    <cellStyle name="Normal 6" xfId="9" xr:uid="{7F616784-26AC-4FA4-9A32-4DE4FFE70B6B}"/>
    <cellStyle name="Normal 6 2" xfId="433" xr:uid="{C5BA6644-A7B8-4334-88F1-0C5798AF3502}"/>
    <cellStyle name="Normal 6 2 2" xfId="434" xr:uid="{1AE2D147-948F-4E01-9EB9-5317BA4A1487}"/>
    <cellStyle name="Normal 6 2 2 2" xfId="435" xr:uid="{E8B892BF-8820-4D9A-B46A-57AA5897CD92}"/>
    <cellStyle name="Normal 6 2 2 2 2" xfId="436" xr:uid="{F10A351B-7805-42FF-AD46-ACA6D9B3F5C2}"/>
    <cellStyle name="Normal 6 2 2 2 2 2" xfId="437" xr:uid="{B9370102-1F8C-4EAC-9F05-449849AF613F}"/>
    <cellStyle name="Normal 6 2 2 2 2 3" xfId="438" xr:uid="{BD6F5F1E-5CAC-4489-8C57-C993240552CA}"/>
    <cellStyle name="Normal 6 2 2 2 3" xfId="439" xr:uid="{640E7E70-3F68-4473-BDE1-C42FC62FCB70}"/>
    <cellStyle name="Normal 6 2 2 2 4" xfId="440" xr:uid="{4C5AE58E-BD15-4BD0-B362-3A46F1C80477}"/>
    <cellStyle name="Normal 6 2 2 3" xfId="441" xr:uid="{90C957B0-76F3-442F-AFDB-4A58288FDAAD}"/>
    <cellStyle name="Normal 6 2 2 3 2" xfId="442" xr:uid="{63BF66F1-BFAD-4459-8600-31CCDA82063C}"/>
    <cellStyle name="Normal 6 2 2 3 3" xfId="443" xr:uid="{7E13B494-915C-4ED3-BD68-3E0577351CF5}"/>
    <cellStyle name="Normal 6 2 2 4" xfId="444" xr:uid="{DE55DB4F-2EFE-4882-B566-2C032C659FF0}"/>
    <cellStyle name="Normal 6 2 2 5" xfId="445" xr:uid="{7FC7D855-D805-48B4-8B2E-BB58DBF3A184}"/>
    <cellStyle name="Normal 6 2 3" xfId="446" xr:uid="{B59FA588-DB72-45F6-A9D3-B776A3F7766F}"/>
    <cellStyle name="Normal 6 2 3 2" xfId="447" xr:uid="{D3B69223-7F49-4AC6-9C61-EB6370282B5E}"/>
    <cellStyle name="Normal 6 2 3 2 2" xfId="448" xr:uid="{DD5C3D3C-AC70-456B-A622-5FC526CE5B62}"/>
    <cellStyle name="Normal 6 2 3 2 3" xfId="449" xr:uid="{839B603F-46E6-4257-BB5A-90DBFB716BFA}"/>
    <cellStyle name="Normal 6 2 3 3" xfId="450" xr:uid="{B3282CE9-3F57-49BC-BF76-5289C484EC64}"/>
    <cellStyle name="Normal 6 2 3 4" xfId="451" xr:uid="{EE10181D-D37D-4C0C-A646-8A701A5790D5}"/>
    <cellStyle name="Normal 6 2 4" xfId="452" xr:uid="{990C6DE2-CEC0-4217-A4B3-CBB1096D84F6}"/>
    <cellStyle name="Normal 6 2 4 2" xfId="453" xr:uid="{913527AF-5A8E-4D9E-A771-0625575C8DED}"/>
    <cellStyle name="Normal 6 2 4 3" xfId="454" xr:uid="{9BE6F17D-301D-40DD-87E7-957397453632}"/>
    <cellStyle name="Normal 6 2 5" xfId="455" xr:uid="{2EC3C916-4368-4076-979C-254BA7C14041}"/>
    <cellStyle name="Normal 6 2 6" xfId="456" xr:uid="{0C4E85E2-724C-45DC-839A-1151515A561F}"/>
    <cellStyle name="Normal 6 3" xfId="457" xr:uid="{EEC0E2F5-11D4-412A-843A-B21A80CEE8C2}"/>
    <cellStyle name="Normal 6 3 2" xfId="458" xr:uid="{C5D7F2C3-1BE8-4C3E-A9A9-E5EE3A680A16}"/>
    <cellStyle name="Normal 6 3 2 2" xfId="459" xr:uid="{A77072CB-56FD-468F-9BD3-46536FBB6C61}"/>
    <cellStyle name="Normal 6 3 2 2 2" xfId="460" xr:uid="{DABE84A4-8C51-49F9-B04D-D88A34C3DF5A}"/>
    <cellStyle name="Normal 6 3 2 2 3" xfId="461" xr:uid="{31704AA8-730F-4A55-BDAB-2DB96AD61610}"/>
    <cellStyle name="Normal 6 3 2 3" xfId="462" xr:uid="{A119E07B-B4B5-4401-A2E4-0C671A0A3672}"/>
    <cellStyle name="Normal 6 3 2 4" xfId="463" xr:uid="{76B612A3-34D4-42F5-B99B-D4C1ABF45439}"/>
    <cellStyle name="Normal 6 3 3" xfId="464" xr:uid="{31380B44-B2FE-425D-8D11-D0E325199961}"/>
    <cellStyle name="Normal 6 3 3 2" xfId="465" xr:uid="{F8B05209-E842-4FC8-AB8E-8C476A6D4ACD}"/>
    <cellStyle name="Normal 6 3 3 3" xfId="466" xr:uid="{C83D827F-DBF4-4D0D-929C-C2DE533AA09E}"/>
    <cellStyle name="Normal 6 3 4" xfId="467" xr:uid="{D4712212-9BF1-47CC-8E29-A0558339F07B}"/>
    <cellStyle name="Normal 6 3 5" xfId="468" xr:uid="{B74B236E-9541-482D-B1FE-BA0B74B083DD}"/>
    <cellStyle name="Normal 6 4" xfId="469" xr:uid="{2573E229-2C1F-451E-822A-6E1CFDB1584B}"/>
    <cellStyle name="Normal 6 4 2" xfId="470" xr:uid="{0D86FB6F-4246-4DA1-B2EF-E044E1B553FB}"/>
    <cellStyle name="Normal 6 4 2 2" xfId="471" xr:uid="{413A5F1D-AF62-49D1-AD88-FF1F1FBFAF99}"/>
    <cellStyle name="Normal 6 4 2 3" xfId="472" xr:uid="{C8683545-8A72-404F-BA53-EE0133CF4978}"/>
    <cellStyle name="Normal 6 4 3" xfId="473" xr:uid="{04F88893-5E16-4F69-8206-7536F1A33F82}"/>
    <cellStyle name="Normal 6 4 4" xfId="474" xr:uid="{579184B7-4EAE-42B1-B883-CD8A386A87F7}"/>
    <cellStyle name="Normal 6 5" xfId="475" xr:uid="{4F9E4D44-EAB0-439F-98C6-80DC73390D34}"/>
    <cellStyle name="Normal 6 5 2" xfId="476" xr:uid="{724E2FC7-F601-45D3-B254-AAF2267E6100}"/>
    <cellStyle name="Normal 6 5 3" xfId="477" xr:uid="{76172806-71EA-44B0-BB48-F50CB69876AF}"/>
    <cellStyle name="Normal 6 6" xfId="478" xr:uid="{AACB2C97-1F0D-4FAA-B105-577BCB3C4CEC}"/>
    <cellStyle name="Normal 6 7" xfId="479" xr:uid="{08873C40-8142-4F5D-98BD-0E5F2ADA7B4D}"/>
    <cellStyle name="Normal 6 8" xfId="480" xr:uid="{53752733-FA1E-45B5-87EF-A64D3C7FC6C7}"/>
    <cellStyle name="Normal 6 9" xfId="432" xr:uid="{E6DA5E22-1B72-4538-9126-64401EAB177A}"/>
    <cellStyle name="Normal 7" xfId="481" xr:uid="{43F9B1A3-D88B-4B08-A4D7-1967D71BFEB7}"/>
    <cellStyle name="Normal 7 2" xfId="482" xr:uid="{FC93C3D9-2250-4B83-993E-CAE61E67F898}"/>
    <cellStyle name="Normal 7 2 2" xfId="483" xr:uid="{7520AD98-6542-445D-8576-2024641019F8}"/>
    <cellStyle name="Normal 7 2 2 2" xfId="484" xr:uid="{55E4A728-435F-4A38-9880-1A86C3DD18D5}"/>
    <cellStyle name="Normal 7 2 2 3" xfId="485" xr:uid="{0D8E82C7-496B-4674-B738-65663C59A6E4}"/>
    <cellStyle name="Normal 7 2 3" xfId="486" xr:uid="{DCE5F185-65DA-43B7-841A-7E6D73E274E0}"/>
    <cellStyle name="Normal 7 2 4" xfId="487" xr:uid="{8083E11D-9222-46C1-BEE8-085DB28BB324}"/>
    <cellStyle name="Normal 7 3" xfId="488" xr:uid="{5A928AB3-4DBF-47FA-B6B0-8D9A8989DCDE}"/>
    <cellStyle name="Normal 7 3 2" xfId="489" xr:uid="{228A0C06-9E25-4F4D-992E-85625DFBD180}"/>
    <cellStyle name="Normal 7 3 3" xfId="490" xr:uid="{55AB533F-3150-4037-9058-A3F5339AAA77}"/>
    <cellStyle name="Normal 7 4" xfId="491" xr:uid="{F2B018D3-D206-41CC-A6BA-96173E86288C}"/>
    <cellStyle name="Normal 7 5" xfId="492" xr:uid="{4472AF5E-15D5-40F2-BC9A-D3A3B3904480}"/>
    <cellStyle name="Normal 8" xfId="493" xr:uid="{D3959F5F-58C7-4AA5-9D32-F7ABB8C960D9}"/>
    <cellStyle name="Normal 9" xfId="494" xr:uid="{AE697E1A-D04C-400E-9E72-7B2EB932A68F}"/>
    <cellStyle name="Normal 9 2" xfId="495" xr:uid="{27E457AF-2784-4D16-AD03-B2BD31AB74AB}"/>
    <cellStyle name="Note 2" xfId="496" xr:uid="{D9255959-C2F1-4591-AB4F-8F4EA7F0780F}"/>
    <cellStyle name="Note 2 2" xfId="497" xr:uid="{9F11F314-2286-47DF-A49B-DC701131EB2E}"/>
    <cellStyle name="Note 2 2 2" xfId="498" xr:uid="{8F6CF358-95DD-4A7C-95F4-E697F79D793D}"/>
    <cellStyle name="Note 2 2 3" xfId="499" xr:uid="{606EDF03-8BED-4A13-9C2E-E421C9C4902F}"/>
    <cellStyle name="Note 3" xfId="500" xr:uid="{7DAD049A-F6EC-416C-B884-01037590491C}"/>
    <cellStyle name="Note 3 2" xfId="501" xr:uid="{EFBFEFC5-7E8C-4651-B8FA-915B19723D2C}"/>
    <cellStyle name="Note 3 2 2" xfId="502" xr:uid="{456669E0-EFD4-4DE3-87E7-9B82901C2097}"/>
    <cellStyle name="Note 3 2 3" xfId="503" xr:uid="{24C95F96-5F73-4C72-A04E-21DA0AEB5A20}"/>
    <cellStyle name="Note 3 3" xfId="504" xr:uid="{4AF0D473-1B86-406F-90A4-414DBDA577C0}"/>
    <cellStyle name="Note 3 4" xfId="505" xr:uid="{C577768A-0D22-4784-8356-889837685990}"/>
    <cellStyle name="Output 2" xfId="506" xr:uid="{C85DA860-B24B-4F24-93F3-7806E8588C3B}"/>
    <cellStyle name="Parent row" xfId="507" xr:uid="{44315BDA-B526-4A6E-B766-91C99CE0D534}"/>
    <cellStyle name="Percent 2" xfId="508" xr:uid="{FF199FDB-4460-4C87-814C-612597F270FA}"/>
    <cellStyle name="Percent 2 2" xfId="509" xr:uid="{3F75256C-F524-480C-A7FC-C5297D709FA9}"/>
    <cellStyle name="Percent 3" xfId="510" xr:uid="{A3082DCA-9134-460B-9E00-E0F985A51332}"/>
    <cellStyle name="Percent 3 2" xfId="511" xr:uid="{DF0B8767-1338-42F9-91C3-D09791834A0F}"/>
    <cellStyle name="Percent 3 2 2" xfId="512" xr:uid="{C64B81B6-4671-4AD3-9235-CA380EF65184}"/>
    <cellStyle name="Percent 3 2 2 2" xfId="513" xr:uid="{AD959656-2B25-4F47-A2C8-9B6BFD73156B}"/>
    <cellStyle name="Percent 3 3" xfId="514" xr:uid="{45B0FAEC-B01C-40AE-937B-77B29D114B77}"/>
    <cellStyle name="Percent 3 3 2" xfId="515" xr:uid="{74E99DDE-E0D4-4B26-8BD9-83E927AE5EF4}"/>
    <cellStyle name="Percent 3 4" xfId="516" xr:uid="{4EE754D6-F8A5-4837-8E5F-081A2E665A0C}"/>
    <cellStyle name="Percent 3 4 2" xfId="517" xr:uid="{17D0B0A9-960C-44A9-9965-A098F7CBDD14}"/>
    <cellStyle name="Percent 4" xfId="7" xr:uid="{CACF3872-4D05-4235-AEE5-387E165BA7D4}"/>
    <cellStyle name="Percent 4 2" xfId="519" xr:uid="{9A9E0F7D-CDA5-476D-94EB-DA6E224B525E}"/>
    <cellStyle name="Percent 4 3" xfId="520" xr:uid="{5A4C4DDD-DAFE-4A1F-B162-8AFBF8459300}"/>
    <cellStyle name="Percent 4 3 2" xfId="521" xr:uid="{8D10445A-373F-4D9D-87FC-E6133975210A}"/>
    <cellStyle name="Percent 4 3 3" xfId="522" xr:uid="{A9255607-3A06-498F-A1A8-88E49EE2852F}"/>
    <cellStyle name="Percent 4 4" xfId="518" xr:uid="{45810D45-6D43-4F91-9F69-AD3CAF669DCA}"/>
    <cellStyle name="Percent 5" xfId="523" xr:uid="{43C805BD-45D0-42DC-A706-49FAD9A4DC3B}"/>
    <cellStyle name="Percent 5 2" xfId="524" xr:uid="{A311CC87-8CA4-42CE-9FE3-13CE510D9D6D}"/>
    <cellStyle name="Percent 5 2 2" xfId="525" xr:uid="{CDAE14D1-A543-4C33-ACE5-F6C70599603D}"/>
    <cellStyle name="Percent 5 2 3" xfId="526" xr:uid="{5588FF11-5F43-4477-A320-E01A40EFD543}"/>
    <cellStyle name="Percent 5 3" xfId="527" xr:uid="{86B2882F-86C1-4B0B-A1E0-908F81125C35}"/>
    <cellStyle name="Percent 5 4" xfId="528" xr:uid="{1B9D81B2-3306-4D71-A3BE-6D76BCF9BD7F}"/>
    <cellStyle name="Percent 5 5" xfId="529" xr:uid="{6A04C48A-4A76-48A9-9A3A-C47FE0C022CF}"/>
    <cellStyle name="Percent 6" xfId="530" xr:uid="{5A09DD6A-F298-4933-9A2C-8E71AEEAACCE}"/>
    <cellStyle name="Percent 6 2" xfId="531" xr:uid="{EBBA52E8-7B5E-40B8-8CED-A0674E71E3AA}"/>
    <cellStyle name="Percent 6 2 2" xfId="532" xr:uid="{1AD2857C-6A5D-47C9-9B52-733C3F390ADF}"/>
    <cellStyle name="Percent 6 2 3" xfId="533" xr:uid="{46A42B76-5EC2-4696-B8AB-2B65E8684E65}"/>
    <cellStyle name="Percent 6 3" xfId="534" xr:uid="{7DBD9572-1760-429E-BF60-BF2A382ACEE2}"/>
    <cellStyle name="Percent 6 4" xfId="535" xr:uid="{A61C47E0-852E-4464-A806-8360F5FF51F7}"/>
    <cellStyle name="Percent 7" xfId="536" xr:uid="{324E9B9C-948D-4D9E-AA2D-EEA6AEEE77A8}"/>
    <cellStyle name="Percent 8" xfId="537" xr:uid="{DEBF1708-3C04-4CF1-B840-946D9DA409D5}"/>
    <cellStyle name="Percent 8 2" xfId="538" xr:uid="{5529A765-5FD2-4498-A9E1-4F5C71FC4B8F}"/>
    <cellStyle name="Percent 8 3" xfId="539" xr:uid="{EFB55845-A610-4514-AD08-C714A5AD6ADF}"/>
    <cellStyle name="Title 2" xfId="540" xr:uid="{B7FA2327-B0C8-4E38-B0CC-E975EC519C96}"/>
    <cellStyle name="Title 3" xfId="541" xr:uid="{124A0556-22B3-472B-BB7E-ED0ADB13E484}"/>
    <cellStyle name="Total 2" xfId="542" xr:uid="{793C1D92-39B6-4D0C-B9F6-60BFE8BC86C3}"/>
    <cellStyle name="Total 2 2" xfId="543" xr:uid="{5CC91C5C-0BAA-498A-99F0-5E6E0A765125}"/>
    <cellStyle name="Total 2 3" xfId="544" xr:uid="{F9238018-1D97-4E97-B57F-2A0B1DECE9F6}"/>
    <cellStyle name="Total 3" xfId="545" xr:uid="{0D187317-B976-40B2-B7FC-6C2DACE71836}"/>
    <cellStyle name="Total 4" xfId="546" xr:uid="{608B1F08-35FA-4972-B135-CE8002941829}"/>
    <cellStyle name="Warning Text 2" xfId="547" xr:uid="{8A5E0B0D-0083-4A53-9418-084BA49E692F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F1ACF3C7-931E-4F0C-AA00-A3C49A0DE3F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2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55"/>
  <sheetViews>
    <sheetView tabSelected="1" topLeftCell="A4" zoomScale="68" workbookViewId="0">
      <selection activeCell="N20" sqref="N20"/>
    </sheetView>
  </sheetViews>
  <sheetFormatPr defaultRowHeight="15"/>
  <cols>
    <col min="2" max="2" width="15" bestFit="1" customWidth="1"/>
    <col min="3" max="3" width="21.28515625" bestFit="1" customWidth="1"/>
    <col min="4" max="4" width="24" bestFit="1" customWidth="1"/>
    <col min="5" max="5" width="6.7109375" customWidth="1"/>
    <col min="6" max="6" width="8.42578125" customWidth="1"/>
    <col min="7" max="7" width="8.85546875" bestFit="1" customWidth="1"/>
    <col min="8" max="8" width="11.85546875" customWidth="1"/>
    <col min="9" max="9" width="11.140625" customWidth="1"/>
    <col min="10" max="10" width="21.28515625" bestFit="1" customWidth="1"/>
    <col min="11" max="11" width="4.140625" bestFit="1" customWidth="1"/>
    <col min="12" max="12" width="17.140625" bestFit="1" customWidth="1"/>
    <col min="13" max="13" width="9.5703125" bestFit="1" customWidth="1"/>
    <col min="14" max="14" width="9.7109375" bestFit="1" customWidth="1"/>
    <col min="15" max="15" width="55.5703125" bestFit="1" customWidth="1"/>
    <col min="16" max="16" width="4.42578125" bestFit="1" customWidth="1"/>
    <col min="17" max="17" width="8.42578125" bestFit="1" customWidth="1"/>
    <col min="18" max="18" width="7.85546875" bestFit="1" customWidth="1"/>
    <col min="19" max="19" width="5.28515625" bestFit="1" customWidth="1"/>
    <col min="20" max="20" width="2.140625" bestFit="1" customWidth="1"/>
    <col min="21" max="21" width="7.5703125" bestFit="1" customWidth="1"/>
    <col min="22" max="22" width="5.140625" bestFit="1" customWidth="1"/>
  </cols>
  <sheetData>
    <row r="2" spans="2:22">
      <c r="G2" s="1"/>
      <c r="H2" s="1"/>
      <c r="I2" s="1"/>
      <c r="P2" s="1"/>
    </row>
    <row r="3" spans="2:22" ht="18">
      <c r="B3" s="167"/>
      <c r="C3" s="178"/>
      <c r="D3" s="178"/>
      <c r="E3" s="178"/>
      <c r="F3" s="178"/>
      <c r="G3" s="178"/>
      <c r="H3" s="178"/>
      <c r="I3" s="180"/>
      <c r="Q3" s="1"/>
      <c r="R3" s="1"/>
      <c r="S3" s="1"/>
    </row>
    <row r="4" spans="2:22" ht="15.75">
      <c r="B4" s="181" t="s">
        <v>0</v>
      </c>
      <c r="C4" s="178"/>
      <c r="D4" s="178"/>
      <c r="E4" s="178"/>
      <c r="F4" s="178"/>
      <c r="G4" s="178"/>
      <c r="H4" s="178"/>
      <c r="I4" s="182"/>
      <c r="L4" s="165"/>
      <c r="M4" s="165"/>
      <c r="N4" s="165"/>
      <c r="O4" s="175" t="s">
        <v>269</v>
      </c>
    </row>
    <row r="5" spans="2:22" ht="15.75" thickBot="1">
      <c r="B5" s="185" t="s">
        <v>6</v>
      </c>
      <c r="C5" s="185" t="s">
        <v>1</v>
      </c>
      <c r="D5" s="185" t="s">
        <v>7</v>
      </c>
      <c r="E5" s="186" t="s">
        <v>46</v>
      </c>
      <c r="F5" s="186" t="s">
        <v>47</v>
      </c>
      <c r="G5" s="186" t="s">
        <v>9</v>
      </c>
      <c r="H5" s="186" t="s">
        <v>85</v>
      </c>
      <c r="I5" s="187" t="s">
        <v>86</v>
      </c>
      <c r="L5" s="183" t="s">
        <v>1</v>
      </c>
      <c r="M5" s="183" t="s">
        <v>49</v>
      </c>
      <c r="N5" s="183" t="s">
        <v>304</v>
      </c>
      <c r="O5" s="183" t="s">
        <v>305</v>
      </c>
      <c r="P5" s="184" t="s">
        <v>4</v>
      </c>
      <c r="Q5" s="184" t="s">
        <v>5</v>
      </c>
      <c r="R5" s="184" t="s">
        <v>25</v>
      </c>
      <c r="S5" s="184">
        <v>2022</v>
      </c>
      <c r="T5" s="184">
        <v>0</v>
      </c>
      <c r="U5" s="184" t="s">
        <v>94</v>
      </c>
      <c r="V5" s="184" t="s">
        <v>97</v>
      </c>
    </row>
    <row r="6" spans="2:22" ht="45.75" thickBot="1">
      <c r="B6" s="188" t="s">
        <v>299</v>
      </c>
      <c r="C6" s="188" t="s">
        <v>259</v>
      </c>
      <c r="D6" s="188" t="s">
        <v>260</v>
      </c>
      <c r="E6" s="188" t="s">
        <v>261</v>
      </c>
      <c r="F6" s="188" t="s">
        <v>262</v>
      </c>
      <c r="G6" s="188" t="s">
        <v>300</v>
      </c>
      <c r="H6" s="188" t="s">
        <v>301</v>
      </c>
      <c r="I6" s="188" t="s">
        <v>302</v>
      </c>
      <c r="L6" s="188" t="s">
        <v>306</v>
      </c>
      <c r="M6" s="188"/>
      <c r="N6" s="188"/>
      <c r="O6" s="188"/>
      <c r="P6" s="188"/>
      <c r="Q6" s="188"/>
      <c r="R6" s="188"/>
      <c r="S6" s="188"/>
      <c r="T6" s="188"/>
      <c r="U6" s="188"/>
      <c r="V6" s="188"/>
    </row>
    <row r="7" spans="2:22">
      <c r="B7" s="1" t="s">
        <v>14</v>
      </c>
      <c r="C7" s="1" t="s">
        <v>10</v>
      </c>
      <c r="E7" s="1" t="s">
        <v>18</v>
      </c>
      <c r="F7" t="s">
        <v>8</v>
      </c>
      <c r="G7" t="s">
        <v>11</v>
      </c>
      <c r="L7" s="1" t="str">
        <f>C7</f>
        <v>ElcAgg_Solar</v>
      </c>
      <c r="O7" s="1" t="s">
        <v>12</v>
      </c>
      <c r="P7" s="1">
        <v>1</v>
      </c>
      <c r="Q7" s="1">
        <v>8.76</v>
      </c>
      <c r="R7" s="1"/>
    </row>
    <row r="8" spans="2:22">
      <c r="B8" s="1" t="s">
        <v>14</v>
      </c>
      <c r="C8" s="1" t="s">
        <v>13</v>
      </c>
      <c r="E8" s="1" t="s">
        <v>18</v>
      </c>
      <c r="F8" t="s">
        <v>8</v>
      </c>
      <c r="G8" t="s">
        <v>11</v>
      </c>
      <c r="L8" s="1" t="str">
        <f>C8</f>
        <v>ElcAgg_Wind</v>
      </c>
      <c r="O8" s="1" t="s">
        <v>12</v>
      </c>
      <c r="P8" s="1">
        <v>1</v>
      </c>
      <c r="Q8" s="1">
        <v>8.76</v>
      </c>
      <c r="R8" s="1"/>
    </row>
    <row r="9" spans="2:22">
      <c r="B9" t="s">
        <v>17</v>
      </c>
      <c r="C9" t="s">
        <v>96</v>
      </c>
      <c r="D9" s="1" t="s">
        <v>98</v>
      </c>
      <c r="E9" s="1" t="s">
        <v>18</v>
      </c>
      <c r="F9" t="s">
        <v>8</v>
      </c>
      <c r="G9" s="1"/>
      <c r="L9" s="1" t="str">
        <f>C9</f>
        <v>e_demand</v>
      </c>
      <c r="N9" s="1" t="s">
        <v>16</v>
      </c>
      <c r="O9" t="s">
        <v>184</v>
      </c>
      <c r="P9" s="1">
        <v>1</v>
      </c>
      <c r="Q9" s="1">
        <v>8.76</v>
      </c>
      <c r="R9" s="1"/>
    </row>
    <row r="10" spans="2:22">
      <c r="B10" t="s">
        <v>17</v>
      </c>
      <c r="C10" t="s">
        <v>138</v>
      </c>
      <c r="D10" s="1" t="s">
        <v>139</v>
      </c>
      <c r="E10" s="1" t="s">
        <v>18</v>
      </c>
      <c r="F10" t="s">
        <v>8</v>
      </c>
      <c r="G10" s="1"/>
      <c r="L10" s="1" t="str">
        <f>C10</f>
        <v>h_demand</v>
      </c>
      <c r="N10" s="1" t="s">
        <v>30</v>
      </c>
      <c r="O10" t="s">
        <v>140</v>
      </c>
      <c r="P10" s="1">
        <v>1</v>
      </c>
      <c r="Q10" s="1">
        <v>8.76</v>
      </c>
      <c r="R10" s="1"/>
    </row>
    <row r="11" spans="2:22">
      <c r="L11" s="1" t="str">
        <f>C47</f>
        <v>solar_potential</v>
      </c>
      <c r="N11" s="1"/>
      <c r="O11" s="1" t="s">
        <v>22</v>
      </c>
      <c r="Q11" s="1"/>
      <c r="R11" s="1">
        <f>V53*3.6</f>
        <v>0.36000000000000004</v>
      </c>
    </row>
    <row r="12" spans="2:22">
      <c r="L12" s="1" t="str">
        <f>C48</f>
        <v>winon_potential</v>
      </c>
      <c r="N12" s="1"/>
      <c r="O12" s="1" t="s">
        <v>141</v>
      </c>
      <c r="Q12" s="1"/>
      <c r="R12" s="1">
        <f>V54*3.6</f>
        <v>0.36000000000000004</v>
      </c>
    </row>
    <row r="13" spans="2:22">
      <c r="L13" s="1" t="str">
        <f>C49</f>
        <v>winoff_potential</v>
      </c>
      <c r="N13" s="1"/>
      <c r="O13" s="1" t="s">
        <v>142</v>
      </c>
      <c r="Q13" s="1"/>
      <c r="R13" s="1">
        <f>V55*3.6</f>
        <v>0.36000000000000004</v>
      </c>
    </row>
    <row r="20" ht="22.5" customHeight="1"/>
    <row r="38" spans="2:22">
      <c r="G38" s="1"/>
      <c r="H38" s="1"/>
      <c r="I38" s="1"/>
      <c r="P38" s="1"/>
    </row>
    <row r="39" spans="2:22">
      <c r="G39" s="1"/>
      <c r="H39" s="1"/>
      <c r="I39" s="1"/>
      <c r="P39" s="1"/>
    </row>
    <row r="40" spans="2:22">
      <c r="B40" s="1"/>
      <c r="C40" s="1"/>
      <c r="D40" s="1"/>
      <c r="E40" s="1"/>
      <c r="F40" s="1"/>
      <c r="G40" s="1"/>
      <c r="H40" s="1"/>
      <c r="I40" s="1"/>
      <c r="P40" s="1"/>
    </row>
    <row r="41" spans="2:22">
      <c r="B41" s="1"/>
      <c r="C41" s="1"/>
      <c r="D41" s="1"/>
      <c r="E41" s="1"/>
      <c r="F41" s="1"/>
      <c r="G41" s="1"/>
      <c r="H41" s="1"/>
      <c r="I41" s="1"/>
      <c r="P41" s="1"/>
    </row>
    <row r="42" spans="2:22">
      <c r="B42" t="s">
        <v>24</v>
      </c>
      <c r="C42" t="s">
        <v>91</v>
      </c>
      <c r="D42" s="1"/>
      <c r="E42" s="1" t="s">
        <v>18</v>
      </c>
      <c r="F42" t="s">
        <v>8</v>
      </c>
      <c r="G42" t="s">
        <v>15</v>
      </c>
    </row>
    <row r="43" spans="2:22">
      <c r="B43" t="s">
        <v>90</v>
      </c>
      <c r="C43" t="s">
        <v>92</v>
      </c>
      <c r="D43" s="1"/>
      <c r="E43" s="1" t="s">
        <v>18</v>
      </c>
      <c r="F43" t="s">
        <v>8</v>
      </c>
      <c r="G43" t="s">
        <v>15</v>
      </c>
    </row>
    <row r="44" spans="2:22">
      <c r="B44" s="1" t="s">
        <v>24</v>
      </c>
      <c r="C44" s="1" t="s">
        <v>143</v>
      </c>
      <c r="D44" s="1" t="s">
        <v>99</v>
      </c>
      <c r="E44" s="1" t="s">
        <v>18</v>
      </c>
      <c r="F44" t="s">
        <v>8</v>
      </c>
      <c r="J44" t="str">
        <f>C42</f>
        <v>Trd_electricity import</v>
      </c>
      <c r="L44" t="s">
        <v>16</v>
      </c>
      <c r="P44">
        <v>0</v>
      </c>
      <c r="Q44">
        <v>3</v>
      </c>
      <c r="R44">
        <v>1000</v>
      </c>
      <c r="S44">
        <v>50</v>
      </c>
      <c r="V44" t="s">
        <v>93</v>
      </c>
    </row>
    <row r="45" spans="2:22">
      <c r="B45" s="1" t="s">
        <v>24</v>
      </c>
      <c r="C45" s="1" t="s">
        <v>145</v>
      </c>
      <c r="D45" s="1" t="s">
        <v>144</v>
      </c>
      <c r="E45" s="1" t="s">
        <v>18</v>
      </c>
      <c r="F45" t="s">
        <v>8</v>
      </c>
      <c r="J45" t="str">
        <f>C43</f>
        <v>Trd_electricity export</v>
      </c>
      <c r="K45" t="s">
        <v>16</v>
      </c>
      <c r="P45">
        <v>0</v>
      </c>
      <c r="Q45">
        <v>3</v>
      </c>
      <c r="R45">
        <v>1000</v>
      </c>
      <c r="S45">
        <v>50</v>
      </c>
    </row>
    <row r="46" spans="2:22">
      <c r="B46" s="1" t="s">
        <v>24</v>
      </c>
      <c r="C46" s="1" t="s">
        <v>146</v>
      </c>
      <c r="D46" s="1" t="s">
        <v>147</v>
      </c>
      <c r="E46" s="1" t="s">
        <v>18</v>
      </c>
      <c r="F46" t="s">
        <v>8</v>
      </c>
      <c r="J46" s="1" t="str">
        <f>C44</f>
        <v>fossil_supply</v>
      </c>
      <c r="K46" s="1"/>
      <c r="L46" s="1" t="s">
        <v>27</v>
      </c>
      <c r="M46" s="1"/>
      <c r="N46" s="1"/>
      <c r="O46" s="1">
        <v>97.330783938814534</v>
      </c>
      <c r="V46" s="1">
        <v>2</v>
      </c>
    </row>
    <row r="47" spans="2:22">
      <c r="B47" s="1" t="s">
        <v>24</v>
      </c>
      <c r="C47" s="1" t="s">
        <v>148</v>
      </c>
      <c r="D47" s="1" t="s">
        <v>151</v>
      </c>
      <c r="E47" s="1" t="s">
        <v>18</v>
      </c>
      <c r="F47" t="s">
        <v>8</v>
      </c>
      <c r="K47" s="1"/>
      <c r="L47" s="1" t="s">
        <v>28</v>
      </c>
      <c r="M47" s="1"/>
      <c r="N47" s="1"/>
      <c r="O47" s="1">
        <v>35.496509410102867</v>
      </c>
      <c r="V47" s="1">
        <v>5</v>
      </c>
    </row>
    <row r="48" spans="2:22">
      <c r="B48" s="1" t="s">
        <v>24</v>
      </c>
      <c r="C48" t="s">
        <v>149</v>
      </c>
      <c r="D48" t="s">
        <v>152</v>
      </c>
      <c r="E48" s="1" t="s">
        <v>18</v>
      </c>
      <c r="F48" t="s">
        <v>8</v>
      </c>
      <c r="K48" s="1"/>
      <c r="L48" s="1" t="s">
        <v>32</v>
      </c>
      <c r="M48" s="1"/>
      <c r="N48" s="1"/>
      <c r="O48" s="1">
        <v>46.935294117647068</v>
      </c>
      <c r="V48">
        <v>10</v>
      </c>
    </row>
    <row r="49" spans="2:22">
      <c r="B49" s="1" t="s">
        <v>24</v>
      </c>
      <c r="C49" t="s">
        <v>150</v>
      </c>
      <c r="D49" t="s">
        <v>153</v>
      </c>
      <c r="E49" s="1" t="s">
        <v>18</v>
      </c>
      <c r="F49" t="s">
        <v>8</v>
      </c>
      <c r="J49" s="1" t="str">
        <f>C45</f>
        <v>renewable</v>
      </c>
      <c r="K49" s="1"/>
      <c r="L49" s="1" t="s">
        <v>29</v>
      </c>
      <c r="M49" s="1"/>
      <c r="N49" s="1"/>
      <c r="O49" s="1">
        <f>V49*3.6</f>
        <v>0.36000000000000004</v>
      </c>
      <c r="V49">
        <v>0.1</v>
      </c>
    </row>
    <row r="50" spans="2:22">
      <c r="K50" s="1"/>
      <c r="L50" s="1" t="s">
        <v>23</v>
      </c>
      <c r="M50" s="1"/>
      <c r="N50" s="1"/>
      <c r="O50" s="1">
        <f>V50*3.6</f>
        <v>0.36000000000000004</v>
      </c>
      <c r="V50">
        <v>0.1</v>
      </c>
    </row>
    <row r="51" spans="2:22">
      <c r="L51" s="1" t="s">
        <v>26</v>
      </c>
      <c r="M51" s="1"/>
      <c r="N51" s="1"/>
      <c r="O51" s="1">
        <v>46.249920000000003</v>
      </c>
      <c r="V51" s="1">
        <v>6</v>
      </c>
    </row>
    <row r="52" spans="2:22">
      <c r="J52" s="1" t="str">
        <f>C46</f>
        <v>nuclear_fuel</v>
      </c>
      <c r="K52" s="1"/>
      <c r="L52" s="1" t="s">
        <v>31</v>
      </c>
      <c r="M52" s="1"/>
      <c r="N52" s="1"/>
      <c r="O52" s="1">
        <v>6</v>
      </c>
      <c r="V52">
        <v>0.1</v>
      </c>
    </row>
    <row r="53" spans="2:22">
      <c r="V53">
        <v>0.1</v>
      </c>
    </row>
    <row r="54" spans="2:22">
      <c r="V54">
        <v>0.1</v>
      </c>
    </row>
    <row r="55" spans="2:22">
      <c r="V55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66" workbookViewId="0">
      <selection activeCell="K26" sqref="K26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64" t="s">
        <v>269</v>
      </c>
    </row>
    <row r="6" spans="2:23" ht="38.25">
      <c r="B6" s="147" t="s">
        <v>1</v>
      </c>
      <c r="C6" s="147" t="s">
        <v>264</v>
      </c>
      <c r="D6" s="147" t="s">
        <v>19</v>
      </c>
      <c r="E6" s="147" t="s">
        <v>2</v>
      </c>
      <c r="F6" s="160" t="s">
        <v>296</v>
      </c>
      <c r="G6" s="147" t="s">
        <v>3</v>
      </c>
      <c r="H6" s="160" t="s">
        <v>51</v>
      </c>
      <c r="I6" s="147" t="s">
        <v>49</v>
      </c>
      <c r="J6" s="148" t="s">
        <v>279</v>
      </c>
      <c r="K6" s="148" t="s">
        <v>52</v>
      </c>
      <c r="L6" s="148" t="s">
        <v>81</v>
      </c>
      <c r="M6" s="148" t="s">
        <v>289</v>
      </c>
      <c r="N6" s="148" t="s">
        <v>290</v>
      </c>
      <c r="O6" s="148" t="s">
        <v>291</v>
      </c>
      <c r="P6" s="148" t="s">
        <v>292</v>
      </c>
      <c r="Q6" s="148" t="s">
        <v>280</v>
      </c>
      <c r="R6" s="148" t="s">
        <v>62</v>
      </c>
      <c r="S6" s="148" t="s">
        <v>281</v>
      </c>
      <c r="T6" s="148" t="s">
        <v>133</v>
      </c>
      <c r="U6" s="148" t="s">
        <v>282</v>
      </c>
      <c r="V6" s="148" t="s">
        <v>283</v>
      </c>
      <c r="W6" s="161" t="s">
        <v>59</v>
      </c>
    </row>
    <row r="7" spans="2:23" ht="39" thickBot="1">
      <c r="B7" s="149" t="s">
        <v>265</v>
      </c>
      <c r="C7" s="149" t="s">
        <v>260</v>
      </c>
      <c r="D7" s="149" t="s">
        <v>19</v>
      </c>
      <c r="E7" s="149" t="s">
        <v>266</v>
      </c>
      <c r="F7" s="149" t="s">
        <v>297</v>
      </c>
      <c r="G7" s="149" t="s">
        <v>267</v>
      </c>
      <c r="H7" s="149" t="s">
        <v>293</v>
      </c>
      <c r="I7" s="149" t="s">
        <v>268</v>
      </c>
      <c r="J7" s="150"/>
      <c r="K7" s="150" t="s">
        <v>284</v>
      </c>
      <c r="L7" s="150" t="s">
        <v>285</v>
      </c>
      <c r="M7" s="150"/>
      <c r="N7" s="150"/>
      <c r="O7" s="150"/>
      <c r="P7" s="150"/>
      <c r="Q7" s="150" t="s">
        <v>286</v>
      </c>
      <c r="R7" s="150" t="s">
        <v>286</v>
      </c>
      <c r="S7" s="150"/>
      <c r="T7" s="150"/>
      <c r="U7" s="150" t="s">
        <v>287</v>
      </c>
      <c r="V7" s="150" t="s">
        <v>288</v>
      </c>
    </row>
    <row r="8" spans="2:23">
      <c r="B8" t="s">
        <v>294</v>
      </c>
      <c r="E8" t="s">
        <v>16</v>
      </c>
      <c r="F8" t="s">
        <v>298</v>
      </c>
      <c r="G8" t="s">
        <v>16</v>
      </c>
      <c r="H8" t="s">
        <v>44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294</v>
      </c>
      <c r="D9" t="s">
        <v>16</v>
      </c>
      <c r="I9" t="s">
        <v>60</v>
      </c>
      <c r="W9">
        <f>2/24</f>
        <v>8.3333333333333329E-2</v>
      </c>
    </row>
    <row r="10" spans="2:23">
      <c r="B10" t="s">
        <v>294</v>
      </c>
      <c r="D10" t="s">
        <v>21</v>
      </c>
      <c r="W10">
        <v>1</v>
      </c>
    </row>
    <row r="14" spans="2:23">
      <c r="B14" s="162" t="s">
        <v>0</v>
      </c>
      <c r="C14" s="151"/>
      <c r="D14" s="156"/>
      <c r="E14" s="156"/>
      <c r="F14" s="156"/>
      <c r="G14" s="156"/>
      <c r="H14" s="156"/>
      <c r="I14" s="156"/>
    </row>
    <row r="15" spans="2:23">
      <c r="B15" s="158" t="s">
        <v>6</v>
      </c>
      <c r="C15" s="158" t="s">
        <v>1</v>
      </c>
      <c r="D15" s="158" t="s">
        <v>7</v>
      </c>
      <c r="E15" s="158" t="s">
        <v>46</v>
      </c>
      <c r="F15" s="158" t="s">
        <v>47</v>
      </c>
      <c r="G15" s="158" t="s">
        <v>9</v>
      </c>
      <c r="H15" s="158" t="s">
        <v>85</v>
      </c>
      <c r="I15" s="158" t="s">
        <v>86</v>
      </c>
    </row>
    <row r="16" spans="2:23" ht="39" thickBot="1">
      <c r="B16" s="159" t="s">
        <v>258</v>
      </c>
      <c r="C16" s="159" t="s">
        <v>259</v>
      </c>
      <c r="D16" s="159" t="s">
        <v>260</v>
      </c>
      <c r="E16" s="159" t="s">
        <v>261</v>
      </c>
      <c r="F16" s="159" t="s">
        <v>262</v>
      </c>
      <c r="G16" s="159" t="s">
        <v>276</v>
      </c>
      <c r="H16" s="159" t="s">
        <v>277</v>
      </c>
      <c r="I16" s="159" t="s">
        <v>263</v>
      </c>
    </row>
    <row r="17" spans="2:9">
      <c r="B17" t="s">
        <v>278</v>
      </c>
      <c r="C17" t="s">
        <v>294</v>
      </c>
      <c r="D17" t="s">
        <v>295</v>
      </c>
      <c r="E17" t="s">
        <v>18</v>
      </c>
      <c r="F17" t="s">
        <v>8</v>
      </c>
      <c r="G17" t="s">
        <v>11</v>
      </c>
    </row>
    <row r="19" spans="2:9">
      <c r="B19" s="152"/>
      <c r="C19" s="152"/>
      <c r="D19" s="156"/>
      <c r="E19" s="152"/>
      <c r="F19" s="152"/>
      <c r="G19" s="152"/>
      <c r="H19" s="152"/>
      <c r="I19" s="152"/>
    </row>
    <row r="20" spans="2:9">
      <c r="B20" s="152"/>
      <c r="C20" s="152"/>
      <c r="D20" s="152"/>
      <c r="E20" s="152"/>
      <c r="F20" s="152"/>
      <c r="G20" s="152"/>
      <c r="H20" s="152"/>
      <c r="I20" s="152"/>
    </row>
    <row r="21" spans="2:9">
      <c r="B21" s="152"/>
      <c r="C21" s="152"/>
      <c r="D21" s="152"/>
      <c r="E21" s="152"/>
      <c r="F21" s="152"/>
      <c r="G21" s="152"/>
      <c r="H21" s="152"/>
      <c r="I21" s="152"/>
    </row>
    <row r="22" spans="2:9">
      <c r="B22" s="152"/>
      <c r="C22" s="152"/>
      <c r="D22" s="152"/>
      <c r="E22" s="152"/>
      <c r="F22" s="152"/>
      <c r="G22" s="152"/>
      <c r="H22" s="152"/>
      <c r="I22" s="152"/>
    </row>
    <row r="24" spans="2:9">
      <c r="B24" s="163" t="s">
        <v>188</v>
      </c>
      <c r="C24" s="152"/>
      <c r="D24" s="152"/>
      <c r="E24" s="152"/>
      <c r="F24" s="152"/>
      <c r="G24" s="152"/>
      <c r="H24" s="152"/>
      <c r="I24" s="152"/>
    </row>
    <row r="25" spans="2:9">
      <c r="B25" s="153" t="s">
        <v>33</v>
      </c>
      <c r="C25" s="153" t="s">
        <v>34</v>
      </c>
      <c r="D25" s="153" t="s">
        <v>35</v>
      </c>
      <c r="E25" s="154" t="s">
        <v>20</v>
      </c>
      <c r="F25" s="154" t="s">
        <v>36</v>
      </c>
      <c r="G25" s="154" t="s">
        <v>37</v>
      </c>
      <c r="H25" s="154" t="s">
        <v>38</v>
      </c>
      <c r="I25" s="154" t="s">
        <v>39</v>
      </c>
    </row>
    <row r="26" spans="2:9" ht="39" thickBot="1">
      <c r="B26" s="155" t="s">
        <v>253</v>
      </c>
      <c r="C26" s="155" t="s">
        <v>254</v>
      </c>
      <c r="D26" s="155" t="s">
        <v>255</v>
      </c>
      <c r="E26" s="155" t="s">
        <v>20</v>
      </c>
      <c r="F26" s="155" t="s">
        <v>273</v>
      </c>
      <c r="G26" s="155" t="s">
        <v>274</v>
      </c>
      <c r="H26" s="155" t="s">
        <v>256</v>
      </c>
      <c r="I26" s="155" t="s">
        <v>257</v>
      </c>
    </row>
    <row r="27" spans="2:9">
      <c r="B27" s="152" t="s">
        <v>21</v>
      </c>
      <c r="C27" s="2" t="s">
        <v>44</v>
      </c>
      <c r="D27" s="2" t="s">
        <v>45</v>
      </c>
      <c r="E27" s="152" t="s">
        <v>18</v>
      </c>
      <c r="F27" s="152" t="s">
        <v>275</v>
      </c>
      <c r="G27" s="152" t="s">
        <v>11</v>
      </c>
      <c r="H27" s="152"/>
      <c r="I27" s="152"/>
    </row>
    <row r="29" spans="2:9">
      <c r="B29" s="157"/>
      <c r="C29" s="157"/>
      <c r="D29" s="157"/>
      <c r="E29" s="157"/>
      <c r="F29" s="157"/>
      <c r="G29" s="157"/>
      <c r="H29" s="157"/>
      <c r="I29" s="157"/>
    </row>
    <row r="50" spans="3:24">
      <c r="J50" s="2"/>
    </row>
    <row r="52" spans="3:24">
      <c r="C52" s="2" t="s">
        <v>271</v>
      </c>
      <c r="D52" s="2"/>
      <c r="E52" s="2"/>
      <c r="F52" s="2"/>
      <c r="G52" s="2"/>
      <c r="H52" s="2"/>
      <c r="I52" s="2"/>
    </row>
    <row r="53" spans="3:24">
      <c r="C53" s="2" t="s">
        <v>33</v>
      </c>
      <c r="D53" s="2" t="s">
        <v>34</v>
      </c>
      <c r="E53" s="2" t="s">
        <v>35</v>
      </c>
      <c r="F53" s="2" t="s">
        <v>20</v>
      </c>
      <c r="G53" s="2" t="s">
        <v>36</v>
      </c>
      <c r="H53" s="2" t="s">
        <v>37</v>
      </c>
      <c r="I53" s="2" t="s">
        <v>38</v>
      </c>
      <c r="J53" s="2" t="s">
        <v>39</v>
      </c>
    </row>
    <row r="54" spans="3:24">
      <c r="C54" s="2" t="s">
        <v>40</v>
      </c>
      <c r="D54" s="2" t="s">
        <v>41</v>
      </c>
      <c r="E54" s="2" t="s">
        <v>42</v>
      </c>
      <c r="F54" s="2" t="s">
        <v>43</v>
      </c>
      <c r="G54" s="2"/>
      <c r="H54" s="4" t="s">
        <v>11</v>
      </c>
      <c r="I54" s="2"/>
    </row>
    <row r="55" spans="3:24">
      <c r="D55" s="2" t="s">
        <v>44</v>
      </c>
      <c r="E55" s="2" t="s">
        <v>45</v>
      </c>
      <c r="F55" s="2" t="s">
        <v>43</v>
      </c>
      <c r="G55" s="2"/>
      <c r="H55" s="4" t="s">
        <v>11</v>
      </c>
    </row>
    <row r="57" spans="3:24">
      <c r="J57" s="2"/>
    </row>
    <row r="58" spans="3:24">
      <c r="C58" s="4" t="s">
        <v>185</v>
      </c>
      <c r="D58" s="4"/>
      <c r="E58" s="4"/>
      <c r="F58" s="4"/>
      <c r="G58" s="4"/>
      <c r="H58" s="4"/>
      <c r="I58" s="5"/>
    </row>
    <row r="59" spans="3:24">
      <c r="C59" s="4" t="s">
        <v>6</v>
      </c>
      <c r="D59" s="4" t="s">
        <v>1</v>
      </c>
      <c r="E59" s="4" t="s">
        <v>7</v>
      </c>
      <c r="F59" s="4" t="s">
        <v>46</v>
      </c>
      <c r="G59" s="4" t="s">
        <v>47</v>
      </c>
      <c r="H59" s="4" t="s">
        <v>9</v>
      </c>
      <c r="I59" s="5"/>
    </row>
    <row r="60" spans="3:24">
      <c r="C60" s="4" t="s">
        <v>53</v>
      </c>
      <c r="D60" s="4" t="s">
        <v>54</v>
      </c>
      <c r="E60" s="7" t="s">
        <v>55</v>
      </c>
      <c r="F60" s="4" t="s">
        <v>43</v>
      </c>
      <c r="G60" s="4" t="s">
        <v>8</v>
      </c>
      <c r="H60" s="4" t="s">
        <v>11</v>
      </c>
      <c r="I60" s="5"/>
    </row>
    <row r="61" spans="3:24">
      <c r="C61" s="4"/>
      <c r="D61" s="6" t="s">
        <v>56</v>
      </c>
      <c r="E61" s="6" t="s">
        <v>58</v>
      </c>
      <c r="F61" s="4" t="s">
        <v>43</v>
      </c>
      <c r="G61" s="4" t="s">
        <v>8</v>
      </c>
      <c r="H61" s="4" t="s">
        <v>11</v>
      </c>
      <c r="I61" s="5"/>
      <c r="J61" s="5"/>
      <c r="K61" s="5"/>
      <c r="L61" s="5"/>
      <c r="M61" s="5"/>
      <c r="N61" s="6" t="s">
        <v>270</v>
      </c>
      <c r="P61" s="5"/>
      <c r="Q61" s="5"/>
      <c r="R61" s="5"/>
      <c r="S61" s="5"/>
      <c r="T61" s="5"/>
      <c r="U61" s="5"/>
      <c r="V61" s="5"/>
      <c r="W61" s="5"/>
      <c r="X61" s="5"/>
    </row>
    <row r="62" spans="3:24">
      <c r="C62" s="4"/>
      <c r="D62" s="4"/>
      <c r="E62" s="4"/>
      <c r="F62" s="4"/>
      <c r="G62" s="4"/>
      <c r="H62" s="4"/>
      <c r="I62" s="5"/>
      <c r="J62" s="5" t="s">
        <v>1</v>
      </c>
      <c r="K62" s="5" t="s">
        <v>48</v>
      </c>
      <c r="L62" s="5" t="s">
        <v>49</v>
      </c>
      <c r="M62" s="5" t="s">
        <v>19</v>
      </c>
      <c r="N62" s="6" t="s">
        <v>50</v>
      </c>
      <c r="O62" s="5">
        <f>K88</f>
        <v>2020</v>
      </c>
      <c r="P62" s="5">
        <f>L88</f>
        <v>2025</v>
      </c>
      <c r="Q62" s="5">
        <f>M88</f>
        <v>2030</v>
      </c>
      <c r="R62" s="5">
        <f t="shared" ref="R62:U62" si="0">N88</f>
        <v>2035</v>
      </c>
      <c r="S62" s="5">
        <f t="shared" si="0"/>
        <v>2040</v>
      </c>
      <c r="T62" s="5">
        <f t="shared" si="0"/>
        <v>2045</v>
      </c>
      <c r="U62" s="5">
        <f t="shared" si="0"/>
        <v>2050</v>
      </c>
      <c r="V62" s="5" t="s">
        <v>3</v>
      </c>
      <c r="W62" s="5" t="s">
        <v>51</v>
      </c>
      <c r="X62" t="s">
        <v>52</v>
      </c>
    </row>
    <row r="63" spans="3:24">
      <c r="C63" s="4"/>
      <c r="D63" s="4"/>
      <c r="E63" s="4"/>
      <c r="F63" s="4"/>
      <c r="G63" s="4"/>
      <c r="H63" s="4"/>
      <c r="I63" s="5"/>
      <c r="J63" s="5" t="s">
        <v>56</v>
      </c>
      <c r="K63" s="5" t="s">
        <v>57</v>
      </c>
      <c r="L63" s="2" t="s">
        <v>44</v>
      </c>
      <c r="M63" s="2" t="s">
        <v>16</v>
      </c>
      <c r="N63" s="5" t="s">
        <v>15</v>
      </c>
      <c r="O63" s="8">
        <f>1/O70</f>
        <v>1.1764705882352942</v>
      </c>
      <c r="P63" s="8"/>
      <c r="Q63" s="8"/>
      <c r="R63" s="8"/>
      <c r="S63" s="8"/>
      <c r="T63" s="8"/>
      <c r="U63" s="8"/>
      <c r="V63" s="5"/>
      <c r="W63" s="4" t="str">
        <f>L63</f>
        <v>AuxStoOUT</v>
      </c>
      <c r="X63">
        <v>20</v>
      </c>
    </row>
    <row r="64" spans="3:24">
      <c r="J64" s="5" t="s">
        <v>56</v>
      </c>
      <c r="K64" s="5" t="s">
        <v>59</v>
      </c>
      <c r="L64" s="5" t="s">
        <v>60</v>
      </c>
      <c r="M64" s="5" t="s">
        <v>16</v>
      </c>
      <c r="N64" s="5" t="s">
        <v>11</v>
      </c>
      <c r="O64" s="8">
        <f>4/24</f>
        <v>0.16666666666666666</v>
      </c>
      <c r="P64" s="3"/>
      <c r="Q64" s="3"/>
      <c r="R64" s="3"/>
      <c r="S64" s="3"/>
      <c r="T64" s="3"/>
      <c r="U64" s="3"/>
      <c r="V64" s="4" t="str">
        <f>M64</f>
        <v>ELC</v>
      </c>
    </row>
    <row r="65" spans="10:24">
      <c r="J65" s="5" t="s">
        <v>56</v>
      </c>
      <c r="K65" s="5" t="s">
        <v>59</v>
      </c>
      <c r="L65" s="5" t="s">
        <v>21</v>
      </c>
      <c r="M65" s="5"/>
      <c r="N65" s="6" t="s">
        <v>11</v>
      </c>
      <c r="O65" s="8">
        <v>1</v>
      </c>
      <c r="P65" s="8"/>
      <c r="Q65" s="8"/>
      <c r="R65" s="8"/>
      <c r="S65" s="8"/>
      <c r="T65" s="8"/>
      <c r="U65" s="8"/>
      <c r="V65" s="5"/>
      <c r="W65" s="5"/>
    </row>
    <row r="66" spans="10:24">
      <c r="J66" s="5" t="s">
        <v>56</v>
      </c>
      <c r="K66" s="5" t="s">
        <v>61</v>
      </c>
      <c r="L66" s="5"/>
      <c r="M66" s="5"/>
      <c r="N66" s="6"/>
      <c r="O66" s="8">
        <f>K93</f>
        <v>1363</v>
      </c>
      <c r="P66" s="8">
        <f>L93</f>
        <v>956</v>
      </c>
      <c r="Q66" s="8">
        <f>M93</f>
        <v>784</v>
      </c>
      <c r="R66" s="8">
        <f t="shared" ref="R66:U66" si="1">N93</f>
        <v>735</v>
      </c>
      <c r="S66" s="8">
        <f t="shared" si="1"/>
        <v>686</v>
      </c>
      <c r="T66" s="8">
        <f t="shared" si="1"/>
        <v>637</v>
      </c>
      <c r="U66" s="8">
        <f t="shared" si="1"/>
        <v>588</v>
      </c>
      <c r="V66" s="5"/>
      <c r="W66" s="5"/>
    </row>
    <row r="67" spans="10:24">
      <c r="J67" t="s">
        <v>56</v>
      </c>
      <c r="K67" t="s">
        <v>62</v>
      </c>
      <c r="O67" s="3">
        <f>K97</f>
        <v>34</v>
      </c>
      <c r="P67" s="3">
        <f>L97</f>
        <v>24</v>
      </c>
      <c r="Q67" s="3">
        <f>M97</f>
        <v>20</v>
      </c>
      <c r="R67" s="3">
        <f t="shared" ref="R67:U67" si="2">N97</f>
        <v>18</v>
      </c>
      <c r="S67" s="3">
        <f t="shared" si="2"/>
        <v>17</v>
      </c>
      <c r="T67" s="3">
        <f t="shared" si="2"/>
        <v>16</v>
      </c>
      <c r="U67" s="3">
        <f t="shared" si="2"/>
        <v>15</v>
      </c>
    </row>
    <row r="68" spans="10:24">
      <c r="J68" t="s">
        <v>56</v>
      </c>
      <c r="K68" t="s">
        <v>63</v>
      </c>
      <c r="N68" t="s">
        <v>15</v>
      </c>
      <c r="O68" s="3">
        <v>1</v>
      </c>
      <c r="P68" s="3"/>
      <c r="Q68" s="3"/>
      <c r="R68" s="3"/>
      <c r="S68" s="3"/>
      <c r="T68" s="3"/>
      <c r="U68" s="3"/>
    </row>
    <row r="69" spans="10:24">
      <c r="J69" t="s">
        <v>56</v>
      </c>
      <c r="K69" t="s">
        <v>64</v>
      </c>
      <c r="O69" s="8">
        <v>31.536000000000001</v>
      </c>
      <c r="P69" s="3"/>
      <c r="Q69" s="3"/>
      <c r="R69" s="3"/>
      <c r="S69" s="3"/>
      <c r="T69" s="3"/>
      <c r="U69" s="3"/>
    </row>
    <row r="70" spans="10:24">
      <c r="J70" t="s">
        <v>56</v>
      </c>
      <c r="K70" t="s">
        <v>65</v>
      </c>
      <c r="O70" s="3">
        <v>0.85</v>
      </c>
      <c r="P70" s="3"/>
      <c r="Q70" s="3"/>
      <c r="R70" s="3"/>
      <c r="S70" s="3"/>
      <c r="T70" s="3"/>
      <c r="U70" s="3"/>
    </row>
    <row r="71" spans="10:24">
      <c r="J71" t="s">
        <v>54</v>
      </c>
      <c r="K71" t="s">
        <v>57</v>
      </c>
      <c r="L71" s="2" t="s">
        <v>44</v>
      </c>
      <c r="M71" s="2" t="s">
        <v>16</v>
      </c>
      <c r="N71" t="s">
        <v>15</v>
      </c>
      <c r="O71" s="8">
        <f>1/O78</f>
        <v>1.1764705882352942</v>
      </c>
      <c r="P71" s="3"/>
      <c r="Q71" s="3"/>
      <c r="R71" s="3"/>
      <c r="S71" s="3"/>
      <c r="T71" s="3"/>
      <c r="U71" s="3"/>
      <c r="V71" s="5"/>
      <c r="W71" s="4" t="str">
        <f>L71</f>
        <v>AuxStoOUT</v>
      </c>
      <c r="X71">
        <v>20</v>
      </c>
    </row>
    <row r="72" spans="10:24">
      <c r="J72" t="s">
        <v>54</v>
      </c>
      <c r="K72" t="s">
        <v>59</v>
      </c>
      <c r="L72" t="s">
        <v>60</v>
      </c>
      <c r="M72" t="s">
        <v>16</v>
      </c>
      <c r="N72" t="s">
        <v>11</v>
      </c>
      <c r="O72" s="3">
        <f>8/24</f>
        <v>0.33333333333333331</v>
      </c>
      <c r="P72" s="3"/>
      <c r="Q72" s="3"/>
      <c r="R72" s="3"/>
      <c r="S72" s="3"/>
      <c r="T72" s="3"/>
      <c r="U72" s="3"/>
      <c r="V72" s="4" t="str">
        <f>M72</f>
        <v>ELC</v>
      </c>
    </row>
    <row r="73" spans="10:24">
      <c r="J73" t="s">
        <v>54</v>
      </c>
      <c r="K73" t="s">
        <v>59</v>
      </c>
      <c r="L73" t="s">
        <v>21</v>
      </c>
      <c r="N73" t="s">
        <v>11</v>
      </c>
      <c r="O73" s="3">
        <v>1</v>
      </c>
      <c r="P73" s="3"/>
      <c r="Q73" s="3"/>
      <c r="R73" s="3"/>
      <c r="S73" s="3"/>
      <c r="T73" s="3"/>
      <c r="U73" s="3"/>
    </row>
    <row r="74" spans="10:24">
      <c r="J74" t="s">
        <v>54</v>
      </c>
      <c r="K74" t="s">
        <v>61</v>
      </c>
      <c r="O74" s="3">
        <f>K102</f>
        <v>2470</v>
      </c>
      <c r="P74" s="3">
        <f>L102</f>
        <v>1714</v>
      </c>
      <c r="Q74" s="3">
        <f>M102</f>
        <v>1371</v>
      </c>
      <c r="R74" s="3">
        <f t="shared" ref="R74:U74" si="3">N102</f>
        <v>1277</v>
      </c>
      <c r="S74" s="3">
        <f t="shared" si="3"/>
        <v>1183</v>
      </c>
      <c r="T74" s="3">
        <f t="shared" si="3"/>
        <v>1089</v>
      </c>
      <c r="U74" s="3">
        <f t="shared" si="3"/>
        <v>995</v>
      </c>
    </row>
    <row r="75" spans="10:24">
      <c r="J75" t="s">
        <v>54</v>
      </c>
      <c r="K75" t="s">
        <v>62</v>
      </c>
      <c r="O75" s="3">
        <f>K106</f>
        <v>62</v>
      </c>
      <c r="P75" s="3">
        <f>L106</f>
        <v>43</v>
      </c>
      <c r="Q75" s="3">
        <f>M106</f>
        <v>34</v>
      </c>
      <c r="R75" s="3">
        <f t="shared" ref="R75:U75" si="4">N106</f>
        <v>32</v>
      </c>
      <c r="S75" s="3">
        <f t="shared" si="4"/>
        <v>30</v>
      </c>
      <c r="T75" s="3">
        <f t="shared" si="4"/>
        <v>27</v>
      </c>
      <c r="U75" s="3">
        <f t="shared" si="4"/>
        <v>25</v>
      </c>
    </row>
    <row r="76" spans="10:24">
      <c r="J76" t="s">
        <v>54</v>
      </c>
      <c r="K76" t="s">
        <v>63</v>
      </c>
      <c r="N76" t="s">
        <v>15</v>
      </c>
      <c r="O76" s="3">
        <v>1</v>
      </c>
      <c r="P76" s="3"/>
      <c r="Q76" s="3"/>
      <c r="R76" s="3"/>
      <c r="S76" s="3"/>
      <c r="T76" s="3"/>
      <c r="U76" s="3"/>
    </row>
    <row r="77" spans="10:24">
      <c r="J77" t="s">
        <v>54</v>
      </c>
      <c r="K77" t="s">
        <v>64</v>
      </c>
      <c r="O77" s="8">
        <v>31.536000000000001</v>
      </c>
      <c r="P77" s="3"/>
      <c r="Q77" s="3"/>
      <c r="R77" s="3"/>
      <c r="S77" s="3"/>
      <c r="T77" s="3"/>
      <c r="U77" s="3"/>
    </row>
    <row r="78" spans="10:24">
      <c r="J78" t="s">
        <v>54</v>
      </c>
      <c r="K78" t="s">
        <v>65</v>
      </c>
      <c r="O78" s="3">
        <v>0.85</v>
      </c>
      <c r="P78" s="3"/>
      <c r="Q78" s="3"/>
      <c r="R78" s="3"/>
      <c r="S78" s="3"/>
      <c r="T78" s="3"/>
      <c r="U78" s="3"/>
    </row>
    <row r="84" spans="10:23" ht="15.75">
      <c r="J84" s="9" t="s">
        <v>66</v>
      </c>
      <c r="K84" s="10"/>
      <c r="L84" s="10"/>
      <c r="M84" s="10"/>
      <c r="N84" s="10"/>
      <c r="O84" s="10"/>
      <c r="P84" s="10"/>
      <c r="Q84" s="10"/>
    </row>
    <row r="85" spans="10:23" ht="15.75">
      <c r="J85" s="9" t="s">
        <v>67</v>
      </c>
      <c r="K85" s="10"/>
      <c r="L85" s="10"/>
      <c r="M85" s="10"/>
      <c r="N85" s="10"/>
      <c r="O85" s="10"/>
      <c r="P85" s="10"/>
      <c r="Q85" s="10"/>
    </row>
    <row r="86" spans="10:23">
      <c r="J86" s="11"/>
      <c r="K86" s="11"/>
      <c r="L86" s="11"/>
      <c r="M86" s="11"/>
      <c r="N86" s="11"/>
      <c r="O86" s="11"/>
      <c r="P86" s="11"/>
      <c r="Q86" s="11"/>
    </row>
    <row r="87" spans="10:23" ht="15.75">
      <c r="J87" s="12" t="s">
        <v>68</v>
      </c>
      <c r="K87" s="13"/>
      <c r="L87" s="13"/>
      <c r="M87" s="13"/>
      <c r="N87" s="13"/>
      <c r="O87" s="13"/>
      <c r="P87" s="13"/>
      <c r="Q87" s="13"/>
      <c r="W87">
        <f>24/8</f>
        <v>3</v>
      </c>
    </row>
    <row r="88" spans="10:23" ht="15.75">
      <c r="J88" s="13"/>
      <c r="K88" s="13">
        <v>2020</v>
      </c>
      <c r="L88" s="13">
        <v>2025</v>
      </c>
      <c r="M88" s="13">
        <v>2030</v>
      </c>
      <c r="N88" s="13">
        <v>2035</v>
      </c>
      <c r="O88" s="13">
        <v>2040</v>
      </c>
      <c r="P88" s="13">
        <v>2045</v>
      </c>
      <c r="Q88" s="13">
        <v>2050</v>
      </c>
    </row>
    <row r="89" spans="10:23" ht="15.75">
      <c r="J89" s="14" t="s">
        <v>69</v>
      </c>
      <c r="K89" s="13"/>
      <c r="L89" s="13"/>
      <c r="M89" s="13"/>
      <c r="N89" s="13"/>
      <c r="O89" s="13"/>
      <c r="P89" s="13"/>
      <c r="Q89" s="13"/>
    </row>
    <row r="90" spans="10:23" ht="15.75">
      <c r="J90" s="12" t="s">
        <v>70</v>
      </c>
      <c r="K90" s="13"/>
      <c r="L90" s="13"/>
      <c r="M90" s="13"/>
      <c r="N90" s="13"/>
      <c r="O90" s="13"/>
      <c r="P90" s="13"/>
      <c r="Q90" s="13"/>
    </row>
    <row r="91" spans="10:23" ht="15.75">
      <c r="J91" s="13" t="s">
        <v>71</v>
      </c>
      <c r="K91" s="15">
        <v>1363</v>
      </c>
      <c r="L91" s="15">
        <v>839</v>
      </c>
      <c r="M91" s="15">
        <v>566</v>
      </c>
      <c r="N91" s="15">
        <v>512</v>
      </c>
      <c r="O91" s="15">
        <v>454</v>
      </c>
      <c r="P91" s="15">
        <v>400</v>
      </c>
      <c r="Q91" s="15">
        <v>346</v>
      </c>
    </row>
    <row r="92" spans="10:23" ht="15.75">
      <c r="J92" s="13" t="s">
        <v>72</v>
      </c>
      <c r="K92" s="15">
        <v>1363</v>
      </c>
      <c r="L92" s="15">
        <v>1167</v>
      </c>
      <c r="M92" s="15">
        <v>981</v>
      </c>
      <c r="N92" s="15">
        <v>981</v>
      </c>
      <c r="O92" s="15">
        <v>981</v>
      </c>
      <c r="P92" s="15">
        <v>981</v>
      </c>
      <c r="Q92" s="15">
        <v>981</v>
      </c>
    </row>
    <row r="93" spans="10:23" ht="15.75">
      <c r="J93" s="13" t="s">
        <v>73</v>
      </c>
      <c r="K93" s="15">
        <v>1363</v>
      </c>
      <c r="L93" s="15">
        <v>956</v>
      </c>
      <c r="M93" s="15">
        <v>784</v>
      </c>
      <c r="N93" s="15">
        <v>735</v>
      </c>
      <c r="O93" s="15">
        <v>686</v>
      </c>
      <c r="P93" s="15">
        <v>637</v>
      </c>
      <c r="Q93" s="15">
        <v>588</v>
      </c>
    </row>
    <row r="94" spans="10:23" ht="15.75">
      <c r="J94" s="12" t="s">
        <v>74</v>
      </c>
      <c r="K94" s="16"/>
      <c r="L94" s="16"/>
      <c r="M94" s="16"/>
      <c r="N94" s="16"/>
      <c r="O94" s="16"/>
      <c r="P94" s="16"/>
      <c r="Q94" s="16"/>
    </row>
    <row r="95" spans="10:23" ht="15.75">
      <c r="J95" s="13" t="s">
        <v>71</v>
      </c>
      <c r="K95" s="17">
        <v>34</v>
      </c>
      <c r="L95" s="17">
        <v>21</v>
      </c>
      <c r="M95" s="17">
        <v>14</v>
      </c>
      <c r="N95" s="17">
        <v>13</v>
      </c>
      <c r="O95" s="17">
        <v>11</v>
      </c>
      <c r="P95" s="17">
        <v>10</v>
      </c>
      <c r="Q95" s="17">
        <v>9</v>
      </c>
    </row>
    <row r="96" spans="10:23" ht="15.75">
      <c r="J96" s="13" t="s">
        <v>72</v>
      </c>
      <c r="K96" s="17">
        <v>34</v>
      </c>
      <c r="L96" s="17">
        <v>29</v>
      </c>
      <c r="M96" s="17">
        <v>25</v>
      </c>
      <c r="N96" s="17">
        <v>25</v>
      </c>
      <c r="O96" s="17">
        <v>25</v>
      </c>
      <c r="P96" s="17">
        <v>25</v>
      </c>
      <c r="Q96" s="17">
        <v>25</v>
      </c>
    </row>
    <row r="97" spans="10:17" ht="15.75">
      <c r="J97" s="13" t="s">
        <v>73</v>
      </c>
      <c r="K97" s="17">
        <v>34</v>
      </c>
      <c r="L97" s="17">
        <v>24</v>
      </c>
      <c r="M97" s="17">
        <v>20</v>
      </c>
      <c r="N97" s="17">
        <v>18</v>
      </c>
      <c r="O97" s="17">
        <v>17</v>
      </c>
      <c r="P97" s="17">
        <v>16</v>
      </c>
      <c r="Q97" s="17">
        <v>15</v>
      </c>
    </row>
    <row r="98" spans="10:17" ht="15.75">
      <c r="J98" s="14" t="s">
        <v>75</v>
      </c>
      <c r="K98" s="16"/>
      <c r="L98" s="16"/>
      <c r="M98" s="16"/>
      <c r="N98" s="16"/>
      <c r="O98" s="16"/>
      <c r="P98" s="16"/>
      <c r="Q98" s="16"/>
    </row>
    <row r="99" spans="10:17" ht="15.75">
      <c r="J99" s="12" t="s">
        <v>70</v>
      </c>
      <c r="K99" s="16"/>
      <c r="L99" s="16"/>
      <c r="M99" s="16"/>
      <c r="N99" s="16"/>
      <c r="O99" s="16"/>
      <c r="P99" s="16"/>
      <c r="Q99" s="16"/>
    </row>
    <row r="100" spans="10:17" ht="15.75">
      <c r="J100" s="13" t="s">
        <v>71</v>
      </c>
      <c r="K100" s="15">
        <v>2470</v>
      </c>
      <c r="L100" s="15">
        <v>1518</v>
      </c>
      <c r="M100" s="15">
        <v>1024</v>
      </c>
      <c r="N100" s="15">
        <v>927</v>
      </c>
      <c r="O100" s="15">
        <v>822</v>
      </c>
      <c r="P100" s="15">
        <v>724</v>
      </c>
      <c r="Q100" s="15">
        <v>626</v>
      </c>
    </row>
    <row r="101" spans="10:17" ht="15.75">
      <c r="J101" s="13" t="s">
        <v>72</v>
      </c>
      <c r="K101" s="15">
        <v>2470</v>
      </c>
      <c r="L101" s="15">
        <v>2111</v>
      </c>
      <c r="M101" s="15">
        <v>1754</v>
      </c>
      <c r="N101" s="15">
        <v>1754</v>
      </c>
      <c r="O101" s="15">
        <v>1754</v>
      </c>
      <c r="P101" s="15">
        <v>1754</v>
      </c>
      <c r="Q101" s="15">
        <v>1754</v>
      </c>
    </row>
    <row r="102" spans="10:17" ht="15.75">
      <c r="J102" s="13" t="s">
        <v>73</v>
      </c>
      <c r="K102" s="15">
        <v>2470</v>
      </c>
      <c r="L102" s="15">
        <v>1714</v>
      </c>
      <c r="M102" s="15">
        <v>1371</v>
      </c>
      <c r="N102" s="15">
        <v>1277</v>
      </c>
      <c r="O102" s="15">
        <v>1183</v>
      </c>
      <c r="P102" s="15">
        <v>1089</v>
      </c>
      <c r="Q102" s="15">
        <v>995</v>
      </c>
    </row>
    <row r="103" spans="10:17" ht="15.75">
      <c r="J103" s="12" t="s">
        <v>74</v>
      </c>
      <c r="K103" s="16"/>
      <c r="L103" s="16"/>
      <c r="M103" s="16"/>
      <c r="N103" s="16"/>
      <c r="O103" s="16"/>
      <c r="P103" s="16"/>
      <c r="Q103" s="16"/>
    </row>
    <row r="104" spans="10:17" ht="15.75">
      <c r="J104" s="13" t="s">
        <v>71</v>
      </c>
      <c r="K104" s="17">
        <v>62</v>
      </c>
      <c r="L104" s="17">
        <v>38</v>
      </c>
      <c r="M104" s="17">
        <v>26</v>
      </c>
      <c r="N104" s="17">
        <v>23</v>
      </c>
      <c r="O104" s="17">
        <v>21</v>
      </c>
      <c r="P104" s="17">
        <v>18</v>
      </c>
      <c r="Q104" s="17">
        <v>16</v>
      </c>
    </row>
    <row r="105" spans="10:17" ht="15.75">
      <c r="J105" s="13" t="s">
        <v>72</v>
      </c>
      <c r="K105" s="17">
        <v>62</v>
      </c>
      <c r="L105" s="17">
        <v>53</v>
      </c>
      <c r="M105" s="17">
        <v>44</v>
      </c>
      <c r="N105" s="17">
        <v>44</v>
      </c>
      <c r="O105" s="17">
        <v>44</v>
      </c>
      <c r="P105" s="17">
        <v>44</v>
      </c>
      <c r="Q105" s="17">
        <v>44</v>
      </c>
    </row>
    <row r="106" spans="10:17" ht="15.75">
      <c r="J106" s="13" t="s">
        <v>73</v>
      </c>
      <c r="K106" s="17">
        <v>62</v>
      </c>
      <c r="L106" s="17">
        <v>43</v>
      </c>
      <c r="M106" s="17">
        <v>34</v>
      </c>
      <c r="N106" s="17">
        <v>32</v>
      </c>
      <c r="O106" s="17">
        <v>30</v>
      </c>
      <c r="P106" s="17">
        <v>27</v>
      </c>
      <c r="Q106" s="17">
        <v>25</v>
      </c>
    </row>
    <row r="107" spans="10:17">
      <c r="J107" s="11"/>
      <c r="K107" s="11"/>
      <c r="L107" s="11"/>
      <c r="M107" s="11"/>
      <c r="N107" s="11"/>
      <c r="O107" s="11"/>
      <c r="P107" s="11"/>
      <c r="Q107" s="11"/>
    </row>
    <row r="108" spans="10:17" ht="15.75">
      <c r="J108" s="10" t="s">
        <v>76</v>
      </c>
      <c r="K108" s="10">
        <v>0.85</v>
      </c>
      <c r="L108" s="10"/>
      <c r="M108" s="10"/>
      <c r="N108" s="10"/>
      <c r="O108" s="10"/>
      <c r="P108" s="10"/>
      <c r="Q108" s="10"/>
    </row>
    <row r="109" spans="10:17" ht="15.75">
      <c r="J109" s="10" t="s">
        <v>77</v>
      </c>
      <c r="K109" s="10"/>
      <c r="L109" s="10"/>
      <c r="M109" s="10"/>
      <c r="N109" s="10"/>
      <c r="O109" s="10"/>
      <c r="P109" s="10"/>
      <c r="Q109" s="10"/>
    </row>
    <row r="110" spans="10:17" ht="15.75">
      <c r="J110" s="10" t="s">
        <v>78</v>
      </c>
      <c r="K110" s="10"/>
      <c r="L110" s="10"/>
      <c r="M110" s="10"/>
      <c r="N110" s="18"/>
      <c r="O110" s="10"/>
      <c r="P110" s="10"/>
      <c r="Q110" s="10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H51" sqref="H51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2"/>
      <c r="C3" s="22"/>
      <c r="D3" s="22"/>
      <c r="E3" s="22"/>
      <c r="F3" s="22"/>
      <c r="G3" s="22"/>
      <c r="H3" s="22" t="s">
        <v>187</v>
      </c>
      <c r="I3" s="22"/>
      <c r="J3" s="22"/>
      <c r="K3" s="22"/>
      <c r="L3" s="22"/>
      <c r="M3" s="22"/>
      <c r="N3" s="22"/>
      <c r="O3" s="22"/>
      <c r="P3" s="22"/>
      <c r="Q3" s="22"/>
      <c r="R3" s="22" t="s">
        <v>185</v>
      </c>
      <c r="S3" s="22"/>
      <c r="T3" s="22"/>
      <c r="U3" s="22"/>
      <c r="V3" s="22"/>
      <c r="W3" s="22"/>
      <c r="X3" s="22"/>
      <c r="Y3" s="22"/>
    </row>
    <row r="4" spans="2:25">
      <c r="B4" s="22" t="s">
        <v>1</v>
      </c>
      <c r="C4" t="s">
        <v>2</v>
      </c>
      <c r="D4" t="s">
        <v>3</v>
      </c>
      <c r="E4" t="s">
        <v>51</v>
      </c>
      <c r="F4" t="s">
        <v>49</v>
      </c>
      <c r="G4" t="s">
        <v>79</v>
      </c>
      <c r="H4" t="s">
        <v>80</v>
      </c>
      <c r="I4">
        <v>2030</v>
      </c>
      <c r="J4">
        <v>0</v>
      </c>
      <c r="K4" s="22" t="s">
        <v>81</v>
      </c>
      <c r="L4" s="22" t="s">
        <v>82</v>
      </c>
      <c r="M4" s="22" t="s">
        <v>52</v>
      </c>
      <c r="N4" s="22" t="s">
        <v>94</v>
      </c>
      <c r="O4" s="22" t="s">
        <v>83</v>
      </c>
      <c r="P4" s="22" t="s">
        <v>84</v>
      </c>
      <c r="Q4" s="22"/>
      <c r="R4" s="22" t="s">
        <v>6</v>
      </c>
      <c r="S4" s="22" t="s">
        <v>1</v>
      </c>
      <c r="T4" s="22" t="s">
        <v>7</v>
      </c>
      <c r="U4" s="22" t="s">
        <v>46</v>
      </c>
      <c r="V4" s="22" t="s">
        <v>47</v>
      </c>
      <c r="W4" s="22" t="s">
        <v>9</v>
      </c>
      <c r="X4" s="22" t="s">
        <v>85</v>
      </c>
      <c r="Y4" s="22" t="s">
        <v>86</v>
      </c>
    </row>
    <row r="5" spans="2:25">
      <c r="B5" t="s">
        <v>95</v>
      </c>
      <c r="C5" t="s">
        <v>16</v>
      </c>
      <c r="F5" t="s">
        <v>21</v>
      </c>
      <c r="K5" s="22">
        <v>0.90249999999999997</v>
      </c>
      <c r="L5" s="24">
        <f>24/6</f>
        <v>4</v>
      </c>
      <c r="M5" s="22">
        <v>10</v>
      </c>
      <c r="N5" s="22">
        <v>150</v>
      </c>
      <c r="O5" s="24">
        <v>1</v>
      </c>
      <c r="P5" s="22">
        <v>1</v>
      </c>
      <c r="Q5" s="22"/>
      <c r="R5" s="22" t="s">
        <v>89</v>
      </c>
      <c r="S5" s="22" t="str">
        <f>B5</f>
        <v>ev_battery</v>
      </c>
      <c r="T5" s="22" t="s">
        <v>87</v>
      </c>
      <c r="U5" s="22" t="s">
        <v>18</v>
      </c>
      <c r="V5" s="22" t="s">
        <v>18</v>
      </c>
      <c r="W5" s="22" t="s">
        <v>11</v>
      </c>
      <c r="X5" s="22"/>
      <c r="Y5" s="22"/>
    </row>
    <row r="6" spans="2:25">
      <c r="B6" s="22"/>
      <c r="F6" t="s">
        <v>60</v>
      </c>
      <c r="K6" s="22"/>
      <c r="L6" s="23">
        <v>1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2:25">
      <c r="B7" s="22"/>
      <c r="D7" t="s">
        <v>88</v>
      </c>
      <c r="E7" t="s">
        <v>41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2:25" ht="18">
      <c r="B8" s="19"/>
      <c r="E8" s="25"/>
      <c r="F8" t="str">
        <f>C5</f>
        <v>ELC</v>
      </c>
      <c r="G8" t="str">
        <f>E7</f>
        <v>AuxStoIN</v>
      </c>
      <c r="H8" t="s">
        <v>57</v>
      </c>
      <c r="I8">
        <v>1</v>
      </c>
      <c r="J8">
        <v>3</v>
      </c>
      <c r="K8" s="20"/>
      <c r="L8" s="20"/>
      <c r="M8" s="20"/>
      <c r="N8" s="20"/>
      <c r="O8" s="20"/>
      <c r="P8" s="20"/>
      <c r="Q8" s="19"/>
      <c r="R8" s="19"/>
      <c r="S8" s="19"/>
      <c r="T8" s="19"/>
      <c r="U8" s="19"/>
      <c r="V8" s="19"/>
      <c r="W8" s="21"/>
      <c r="X8" s="21"/>
      <c r="Y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J35" sqref="J35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100</v>
      </c>
      <c r="C1" s="189" t="s">
        <v>101</v>
      </c>
      <c r="D1" s="189"/>
      <c r="E1" s="189"/>
      <c r="F1" s="190" t="s">
        <v>102</v>
      </c>
      <c r="G1" s="189"/>
      <c r="H1" s="191"/>
      <c r="I1" s="189" t="s">
        <v>103</v>
      </c>
      <c r="J1" s="189"/>
      <c r="K1" s="189"/>
      <c r="L1" s="189"/>
      <c r="M1" s="189"/>
      <c r="N1" s="189"/>
      <c r="O1" s="192" t="s">
        <v>104</v>
      </c>
      <c r="P1" s="26"/>
      <c r="Q1" s="26"/>
      <c r="R1" s="26"/>
    </row>
    <row r="2" spans="1:18">
      <c r="C2" s="27" t="s">
        <v>94</v>
      </c>
      <c r="D2" s="27" t="s">
        <v>94</v>
      </c>
      <c r="E2" s="27" t="s">
        <v>94</v>
      </c>
      <c r="F2" s="27" t="s">
        <v>105</v>
      </c>
      <c r="G2" s="27" t="s">
        <v>105</v>
      </c>
      <c r="H2" s="27" t="s">
        <v>105</v>
      </c>
      <c r="I2" s="27" t="s">
        <v>106</v>
      </c>
      <c r="J2" s="27" t="s">
        <v>137</v>
      </c>
      <c r="K2" s="27" t="str">
        <f>I2</f>
        <v>input~GASNGA</v>
      </c>
      <c r="L2" s="27" t="s">
        <v>137</v>
      </c>
      <c r="M2" s="27" t="str">
        <f>K2</f>
        <v>input~GASNGA</v>
      </c>
      <c r="N2" s="27" t="s">
        <v>137</v>
      </c>
      <c r="O2" s="193"/>
      <c r="P2" s="26"/>
      <c r="Q2" s="26"/>
      <c r="R2" s="26"/>
    </row>
    <row r="3" spans="1:18">
      <c r="C3" s="27">
        <v>2020</v>
      </c>
      <c r="D3" s="27">
        <v>2030</v>
      </c>
      <c r="E3" s="27">
        <v>2050</v>
      </c>
      <c r="F3" s="27">
        <f>C3</f>
        <v>2020</v>
      </c>
      <c r="G3" s="27">
        <f t="shared" ref="G3:H3" si="0">D3</f>
        <v>2030</v>
      </c>
      <c r="H3" s="27">
        <f t="shared" si="0"/>
        <v>2050</v>
      </c>
      <c r="I3" s="27">
        <v>2015</v>
      </c>
      <c r="J3" s="27">
        <v>2015</v>
      </c>
      <c r="K3" s="27">
        <v>2030</v>
      </c>
      <c r="L3" s="27">
        <v>2030</v>
      </c>
      <c r="M3" s="27">
        <v>2050</v>
      </c>
      <c r="N3" s="27">
        <v>2050</v>
      </c>
      <c r="O3" s="193"/>
      <c r="P3" s="26"/>
      <c r="Q3" s="26"/>
      <c r="R3" s="26"/>
    </row>
    <row r="4" spans="1:18" ht="25.5">
      <c r="C4" s="28">
        <v>2020</v>
      </c>
      <c r="D4" s="28">
        <v>2030</v>
      </c>
      <c r="E4" s="28" t="s">
        <v>107</v>
      </c>
      <c r="F4" s="29">
        <v>2015</v>
      </c>
      <c r="G4" s="28">
        <v>2030</v>
      </c>
      <c r="H4" s="30" t="s">
        <v>107</v>
      </c>
      <c r="I4" s="28" t="s">
        <v>108</v>
      </c>
      <c r="J4" s="28" t="s">
        <v>109</v>
      </c>
      <c r="K4" s="31" t="s">
        <v>110</v>
      </c>
      <c r="L4" s="32" t="s">
        <v>111</v>
      </c>
      <c r="M4" s="28" t="s">
        <v>112</v>
      </c>
      <c r="N4" s="28" t="s">
        <v>113</v>
      </c>
      <c r="O4" s="194"/>
      <c r="P4" s="26"/>
      <c r="Q4" s="26"/>
      <c r="R4" s="26"/>
    </row>
    <row r="5" spans="1:18">
      <c r="C5" s="33">
        <v>550</v>
      </c>
      <c r="D5" s="33">
        <v>500</v>
      </c>
      <c r="E5" s="33">
        <v>450</v>
      </c>
      <c r="F5" s="34">
        <v>22</v>
      </c>
      <c r="G5" s="35">
        <v>20</v>
      </c>
      <c r="H5" s="36">
        <v>18</v>
      </c>
      <c r="I5" s="37">
        <v>1.33</v>
      </c>
      <c r="J5" s="37">
        <v>9.4E-2</v>
      </c>
      <c r="K5" s="38">
        <v>1.3</v>
      </c>
      <c r="L5" s="39">
        <v>9.4E-2</v>
      </c>
      <c r="M5" s="37">
        <v>1.28</v>
      </c>
      <c r="N5" s="37">
        <v>9.4E-2</v>
      </c>
      <c r="O5" s="40" t="s">
        <v>114</v>
      </c>
      <c r="P5" s="41"/>
      <c r="Q5" s="41"/>
      <c r="R5" s="41"/>
    </row>
    <row r="6" spans="1:18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46">
        <v>1.33</v>
      </c>
      <c r="J6" s="46">
        <v>1.0940000000000001</v>
      </c>
      <c r="K6" s="47">
        <v>1.3</v>
      </c>
      <c r="L6" s="48">
        <v>1.0940000000000001</v>
      </c>
      <c r="M6" s="46">
        <v>1.28</v>
      </c>
      <c r="N6" s="46">
        <v>1.0940000000000001</v>
      </c>
      <c r="O6" s="49" t="s">
        <v>115</v>
      </c>
      <c r="P6" s="50"/>
      <c r="Q6" s="50"/>
      <c r="R6" s="50"/>
    </row>
    <row r="7" spans="1:18">
      <c r="C7" s="33">
        <v>1978</v>
      </c>
      <c r="D7" s="33">
        <v>1598</v>
      </c>
      <c r="E7" s="33">
        <v>1450</v>
      </c>
      <c r="F7" s="34">
        <v>57</v>
      </c>
      <c r="G7" s="35">
        <v>31</v>
      </c>
      <c r="H7" s="36">
        <v>28</v>
      </c>
      <c r="I7" s="37">
        <v>1.53</v>
      </c>
      <c r="J7" s="37">
        <v>9.4E-2</v>
      </c>
      <c r="K7" s="38">
        <v>1.47</v>
      </c>
      <c r="L7" s="39">
        <v>9.4E-2</v>
      </c>
      <c r="M7" s="37">
        <v>1.43</v>
      </c>
      <c r="N7" s="37">
        <v>9.4E-2</v>
      </c>
      <c r="O7" s="40" t="s">
        <v>116</v>
      </c>
      <c r="P7" s="41"/>
      <c r="Q7" s="41"/>
      <c r="R7" s="41"/>
    </row>
    <row r="8" spans="1:18">
      <c r="C8" s="51">
        <v>1609.9999999999998</v>
      </c>
      <c r="D8" s="51">
        <v>740</v>
      </c>
      <c r="E8" s="51">
        <v>200</v>
      </c>
      <c r="F8" s="43">
        <v>49.000000000000007</v>
      </c>
      <c r="G8" s="44">
        <v>15</v>
      </c>
      <c r="H8" s="45">
        <v>10</v>
      </c>
      <c r="I8" s="46">
        <v>0</v>
      </c>
      <c r="J8" s="46">
        <v>1.39</v>
      </c>
      <c r="K8" s="47">
        <v>0</v>
      </c>
      <c r="L8" s="48">
        <v>1.19</v>
      </c>
      <c r="M8" s="46">
        <v>0</v>
      </c>
      <c r="N8" s="46">
        <v>1.17</v>
      </c>
      <c r="O8" s="49" t="s">
        <v>117</v>
      </c>
      <c r="P8" s="50"/>
      <c r="Q8" s="50"/>
      <c r="R8" s="50"/>
    </row>
    <row r="9" spans="1:18">
      <c r="C9" s="52">
        <v>2530</v>
      </c>
      <c r="D9" s="52">
        <v>1175</v>
      </c>
      <c r="E9" s="52">
        <v>350</v>
      </c>
      <c r="F9" s="34">
        <v>77.000000000000014</v>
      </c>
      <c r="G9" s="35">
        <v>34</v>
      </c>
      <c r="H9" s="36">
        <v>18</v>
      </c>
      <c r="I9" s="37">
        <v>0</v>
      </c>
      <c r="J9" s="37">
        <v>1.5</v>
      </c>
      <c r="K9" s="38">
        <v>0</v>
      </c>
      <c r="L9" s="39">
        <v>1.25</v>
      </c>
      <c r="M9" s="37">
        <v>0</v>
      </c>
      <c r="N9" s="37">
        <v>1.19</v>
      </c>
      <c r="O9" s="40" t="s">
        <v>118</v>
      </c>
      <c r="P9" s="41"/>
      <c r="Q9" s="41"/>
      <c r="R9" s="41"/>
    </row>
    <row r="10" spans="1:18">
      <c r="C10" s="51">
        <v>1265</v>
      </c>
      <c r="D10" s="51">
        <v>600</v>
      </c>
      <c r="E10" s="51">
        <v>180</v>
      </c>
      <c r="F10" s="43">
        <v>28</v>
      </c>
      <c r="G10" s="44">
        <v>14</v>
      </c>
      <c r="H10" s="45">
        <v>9</v>
      </c>
      <c r="I10" s="46">
        <v>0</v>
      </c>
      <c r="J10" s="46">
        <v>1.3952</v>
      </c>
      <c r="K10" s="47">
        <v>0</v>
      </c>
      <c r="L10" s="48">
        <v>1.268</v>
      </c>
      <c r="M10" s="46">
        <v>0</v>
      </c>
      <c r="N10" s="46">
        <v>1.18</v>
      </c>
      <c r="O10" s="49" t="s">
        <v>119</v>
      </c>
      <c r="P10" s="50"/>
      <c r="Q10" s="50"/>
      <c r="R10" s="50"/>
    </row>
    <row r="11" spans="1:18">
      <c r="C11" s="52">
        <v>1897.4999999999998</v>
      </c>
      <c r="D11" s="52">
        <v>715</v>
      </c>
      <c r="E11" s="52">
        <v>300</v>
      </c>
      <c r="F11" s="34">
        <v>41</v>
      </c>
      <c r="G11" s="35">
        <v>17</v>
      </c>
      <c r="H11" s="36">
        <v>15</v>
      </c>
      <c r="I11" s="37">
        <v>0</v>
      </c>
      <c r="J11" s="37">
        <v>1.3952</v>
      </c>
      <c r="K11" s="38">
        <v>0</v>
      </c>
      <c r="L11" s="39">
        <v>1.268</v>
      </c>
      <c r="M11" s="37">
        <v>0</v>
      </c>
      <c r="N11" s="37">
        <v>1.2</v>
      </c>
      <c r="O11" s="40" t="s">
        <v>120</v>
      </c>
      <c r="P11" s="41"/>
      <c r="Q11" s="41"/>
      <c r="R11" s="41"/>
    </row>
    <row r="12" spans="1:18">
      <c r="C12" s="51">
        <v>3332.088235294118</v>
      </c>
      <c r="D12" s="51">
        <v>1421.3921568627452</v>
      </c>
      <c r="E12" s="51">
        <v>600</v>
      </c>
      <c r="F12" s="43">
        <v>55.825000000000003</v>
      </c>
      <c r="G12" s="44">
        <v>36.18</v>
      </c>
      <c r="H12" s="45">
        <v>39</v>
      </c>
      <c r="I12" s="46">
        <v>1.996667038759689</v>
      </c>
      <c r="J12" s="46">
        <v>0.83711999999999998</v>
      </c>
      <c r="K12" s="47">
        <v>1.4556272790939169</v>
      </c>
      <c r="L12" s="48">
        <v>0.76080000000000003</v>
      </c>
      <c r="M12" s="46">
        <v>0.33333333333333337</v>
      </c>
      <c r="N12" s="46">
        <v>0.70799999999999996</v>
      </c>
      <c r="O12" s="49" t="s">
        <v>121</v>
      </c>
      <c r="P12" s="50"/>
      <c r="Q12" s="50"/>
      <c r="R12" s="50"/>
    </row>
    <row r="13" spans="1:18">
      <c r="C13" s="52">
        <v>5331.3411764705888</v>
      </c>
      <c r="D13" s="52">
        <v>2920.8941176470589</v>
      </c>
      <c r="E13" s="52">
        <v>1100</v>
      </c>
      <c r="F13" s="34">
        <v>94.902500000000003</v>
      </c>
      <c r="G13" s="35">
        <v>63.314999999999998</v>
      </c>
      <c r="H13" s="36">
        <v>48.75</v>
      </c>
      <c r="I13" s="37">
        <v>1.996667038759689</v>
      </c>
      <c r="J13" s="37">
        <v>0.83711999999999998</v>
      </c>
      <c r="K13" s="38">
        <v>1.4556272790939169</v>
      </c>
      <c r="L13" s="39">
        <v>0.76080000000000003</v>
      </c>
      <c r="M13" s="37">
        <v>0.33333333333333337</v>
      </c>
      <c r="N13" s="37">
        <v>0.72</v>
      </c>
      <c r="O13" s="40" t="s">
        <v>122</v>
      </c>
      <c r="P13" s="41"/>
      <c r="Q13" s="41"/>
      <c r="R13" s="41"/>
    </row>
    <row r="14" spans="1:18">
      <c r="C14" s="53">
        <v>1200</v>
      </c>
      <c r="D14" s="53">
        <v>733</v>
      </c>
      <c r="E14" s="53">
        <v>263</v>
      </c>
      <c r="F14" s="54">
        <v>42</v>
      </c>
      <c r="G14" s="55">
        <v>22</v>
      </c>
      <c r="H14" s="56">
        <v>9</v>
      </c>
      <c r="I14" s="57">
        <v>0</v>
      </c>
      <c r="J14" s="58">
        <v>0.01</v>
      </c>
      <c r="K14" s="59">
        <v>0</v>
      </c>
      <c r="L14" s="60">
        <v>0.01</v>
      </c>
      <c r="M14" s="58">
        <v>0</v>
      </c>
      <c r="N14" s="58">
        <v>0.01</v>
      </c>
      <c r="O14" s="61" t="s">
        <v>123</v>
      </c>
      <c r="P14" s="62"/>
      <c r="Q14" s="62"/>
      <c r="R14" s="62"/>
    </row>
    <row r="15" spans="1:18">
      <c r="C15" s="63">
        <v>450</v>
      </c>
      <c r="D15" s="63">
        <v>450</v>
      </c>
      <c r="E15" s="63">
        <v>450</v>
      </c>
      <c r="F15" s="64">
        <v>18</v>
      </c>
      <c r="G15" s="65">
        <v>18</v>
      </c>
      <c r="H15" s="66">
        <v>18</v>
      </c>
      <c r="I15" s="67">
        <v>0.26582278481012644</v>
      </c>
      <c r="J15" s="68">
        <v>0.06</v>
      </c>
      <c r="K15" s="69">
        <v>0.26582278481012644</v>
      </c>
      <c r="L15" s="70">
        <v>0.06</v>
      </c>
      <c r="M15" s="68">
        <v>0.26582278481012644</v>
      </c>
      <c r="N15" s="68">
        <v>0.06</v>
      </c>
      <c r="O15" s="71" t="s">
        <v>124</v>
      </c>
      <c r="P15" s="72"/>
      <c r="Q15" s="72"/>
      <c r="R15" s="72"/>
    </row>
    <row r="16" spans="1:18">
      <c r="C16" s="73">
        <v>200</v>
      </c>
      <c r="D16" s="73">
        <v>200</v>
      </c>
      <c r="E16" s="73">
        <v>200</v>
      </c>
      <c r="F16" s="74">
        <v>20</v>
      </c>
      <c r="G16" s="75">
        <v>20</v>
      </c>
      <c r="H16" s="76">
        <v>20</v>
      </c>
      <c r="I16" s="77">
        <v>1.2999999999999999E-2</v>
      </c>
      <c r="J16" s="78">
        <v>3.5999999999999997E-2</v>
      </c>
      <c r="K16" s="79">
        <v>1.2999999999999999E-2</v>
      </c>
      <c r="L16" s="80">
        <v>3.5999999999999997E-2</v>
      </c>
      <c r="M16" s="78">
        <v>1.2999999999999999E-2</v>
      </c>
      <c r="N16" s="78">
        <v>3.5999999999999997E-2</v>
      </c>
      <c r="O16" s="81" t="s">
        <v>125</v>
      </c>
      <c r="P16" s="82"/>
      <c r="Q16" s="82"/>
      <c r="R16" s="82"/>
    </row>
    <row r="17" spans="1:26">
      <c r="C17" s="63">
        <v>175</v>
      </c>
      <c r="D17" s="63">
        <v>175</v>
      </c>
      <c r="E17" s="63">
        <v>175</v>
      </c>
      <c r="F17" s="64">
        <v>5</v>
      </c>
      <c r="G17" s="65">
        <v>5</v>
      </c>
      <c r="H17" s="66">
        <v>5</v>
      </c>
      <c r="I17" s="67">
        <v>1.4E-2</v>
      </c>
      <c r="J17" s="68">
        <v>0</v>
      </c>
      <c r="K17" s="69">
        <v>1.4E-2</v>
      </c>
      <c r="L17" s="70">
        <v>0</v>
      </c>
      <c r="M17" s="68">
        <v>1.4E-2</v>
      </c>
      <c r="N17" s="68">
        <v>0</v>
      </c>
      <c r="O17" s="71" t="s">
        <v>126</v>
      </c>
      <c r="P17" s="72"/>
      <c r="Q17" s="72"/>
      <c r="R17" s="72"/>
    </row>
    <row r="18" spans="1:26">
      <c r="C18" s="83">
        <v>1000</v>
      </c>
      <c r="D18" s="83">
        <v>720</v>
      </c>
      <c r="E18" s="83">
        <v>364</v>
      </c>
      <c r="F18" s="84">
        <v>50</v>
      </c>
      <c r="G18" s="85">
        <v>31</v>
      </c>
      <c r="H18" s="86">
        <v>18</v>
      </c>
      <c r="I18" s="87">
        <v>0.2389</v>
      </c>
      <c r="J18" s="88">
        <v>3.056E-2</v>
      </c>
      <c r="K18" s="89">
        <v>0.2389</v>
      </c>
      <c r="L18" s="90">
        <v>3.056E-2</v>
      </c>
      <c r="M18" s="88">
        <v>0.2389</v>
      </c>
      <c r="N18" s="88">
        <v>3.056E-2</v>
      </c>
      <c r="O18" s="91" t="s">
        <v>127</v>
      </c>
      <c r="P18" s="92"/>
      <c r="Q18" s="92"/>
      <c r="R18" s="92"/>
    </row>
    <row r="19" spans="1:26">
      <c r="C19" s="93">
        <v>1556</v>
      </c>
      <c r="D19" s="93">
        <v>1143</v>
      </c>
      <c r="E19" s="94">
        <v>673</v>
      </c>
      <c r="F19" s="95">
        <v>54</v>
      </c>
      <c r="G19" s="96">
        <v>40</v>
      </c>
      <c r="H19" s="97">
        <v>24</v>
      </c>
      <c r="I19" s="98">
        <v>3.5000000000000003E-2</v>
      </c>
      <c r="J19" s="99">
        <v>0.02</v>
      </c>
      <c r="K19" s="100">
        <v>3.5000000000000003E-2</v>
      </c>
      <c r="L19" s="101">
        <v>0.02</v>
      </c>
      <c r="M19" s="99">
        <v>3.5000000000000003E-2</v>
      </c>
      <c r="N19" s="99">
        <v>0.02</v>
      </c>
      <c r="O19" s="102" t="s">
        <v>128</v>
      </c>
      <c r="P19" s="103"/>
      <c r="Q19" s="103"/>
      <c r="R19" s="103"/>
    </row>
    <row r="20" spans="1:26">
      <c r="C20" s="104">
        <v>2332</v>
      </c>
      <c r="D20" s="104">
        <v>1511</v>
      </c>
      <c r="E20" s="104">
        <v>965</v>
      </c>
      <c r="F20" s="105">
        <v>163</v>
      </c>
      <c r="G20" s="106">
        <v>106</v>
      </c>
      <c r="H20" s="107">
        <v>68</v>
      </c>
      <c r="I20" s="108">
        <v>0.46326666666666666</v>
      </c>
      <c r="J20" s="109">
        <v>1.9188104089219331</v>
      </c>
      <c r="K20" s="110">
        <v>0.39244195142277988</v>
      </c>
      <c r="L20" s="111">
        <v>1.6009812088633062</v>
      </c>
      <c r="M20" s="109">
        <v>0.37890902062421039</v>
      </c>
      <c r="N20" s="109">
        <v>1.5694083453910281</v>
      </c>
      <c r="O20" s="112" t="s">
        <v>129</v>
      </c>
      <c r="P20" s="92"/>
      <c r="Q20" s="92"/>
      <c r="R20" s="92"/>
    </row>
    <row r="21" spans="1:26">
      <c r="C21" s="113">
        <v>769.8768197088466</v>
      </c>
      <c r="D21" s="113">
        <v>648.04446103438272</v>
      </c>
      <c r="E21" s="113">
        <v>518.29059243801294</v>
      </c>
      <c r="F21" s="114">
        <v>26.945688689809632</v>
      </c>
      <c r="G21" s="115">
        <v>22.681556136203398</v>
      </c>
      <c r="H21" s="116">
        <v>18.140170735330454</v>
      </c>
      <c r="I21" s="117">
        <v>2.7777777777777777</v>
      </c>
      <c r="J21" s="118">
        <v>2.2222222222222223</v>
      </c>
      <c r="K21" s="119">
        <v>1.6666666666666665</v>
      </c>
      <c r="L21" s="120">
        <v>1.3888888888888888</v>
      </c>
      <c r="M21" s="118">
        <v>1.1388888888888888</v>
      </c>
      <c r="N21" s="118">
        <v>0.3</v>
      </c>
      <c r="O21" s="121" t="s">
        <v>130</v>
      </c>
      <c r="P21" s="122"/>
      <c r="Q21" s="122"/>
      <c r="R21" s="122"/>
    </row>
    <row r="22" spans="1:26">
      <c r="C22" s="123">
        <v>1259.7984322508398</v>
      </c>
      <c r="D22" s="123">
        <v>894.30135622744808</v>
      </c>
      <c r="E22" s="123">
        <v>495</v>
      </c>
      <c r="F22" s="124">
        <v>44.092945128779398</v>
      </c>
      <c r="G22" s="125">
        <v>31.300547467960687</v>
      </c>
      <c r="H22" s="126">
        <v>17.325000000000003</v>
      </c>
      <c r="I22" s="127">
        <v>2</v>
      </c>
      <c r="J22" s="128">
        <v>0.3</v>
      </c>
      <c r="K22" s="129">
        <v>1.8055555555555556</v>
      </c>
      <c r="L22" s="130">
        <v>0.3</v>
      </c>
      <c r="M22" s="128">
        <v>1.5</v>
      </c>
      <c r="N22" s="128">
        <v>0.3</v>
      </c>
      <c r="O22" s="131" t="s">
        <v>131</v>
      </c>
      <c r="P22" s="132"/>
      <c r="Q22" s="132"/>
      <c r="R22" s="132"/>
    </row>
    <row r="23" spans="1:26">
      <c r="C23" s="133">
        <v>174</v>
      </c>
      <c r="D23" s="133">
        <v>174</v>
      </c>
      <c r="E23" s="133">
        <v>174</v>
      </c>
      <c r="F23" s="134">
        <v>3</v>
      </c>
      <c r="G23" s="135">
        <v>3</v>
      </c>
      <c r="H23" s="136">
        <v>3</v>
      </c>
      <c r="I23" s="137">
        <v>0</v>
      </c>
      <c r="J23" s="138">
        <v>0.20588235294117646</v>
      </c>
      <c r="K23" s="139">
        <v>0</v>
      </c>
      <c r="L23" s="140">
        <v>0.20588235294117646</v>
      </c>
      <c r="M23" s="138">
        <v>0</v>
      </c>
      <c r="N23" s="138">
        <v>0.20588235294117646</v>
      </c>
      <c r="O23" s="141" t="s">
        <v>132</v>
      </c>
      <c r="P23" s="122"/>
      <c r="Q23" s="122"/>
      <c r="R23" s="122"/>
    </row>
    <row r="26" spans="1:26" ht="18" thickBot="1">
      <c r="C26" s="142" t="s">
        <v>186</v>
      </c>
      <c r="T26" s="142" t="s">
        <v>185</v>
      </c>
    </row>
    <row r="27" spans="1:26" ht="15.75" thickTop="1">
      <c r="A27" s="143" t="s">
        <v>3</v>
      </c>
      <c r="B27" s="143" t="s">
        <v>2</v>
      </c>
      <c r="C27" s="143" t="str">
        <f>C2&amp;"~"&amp;C3</f>
        <v>invcost~2020</v>
      </c>
      <c r="D27" s="143" t="str">
        <f t="shared" ref="D27:N27" si="1">D2&amp;"~"&amp;D3</f>
        <v>invcost~2030</v>
      </c>
      <c r="E27" s="143" t="str">
        <f t="shared" si="1"/>
        <v>invcost~2050</v>
      </c>
      <c r="F27" s="143" t="str">
        <f t="shared" si="1"/>
        <v>fixom~2020</v>
      </c>
      <c r="G27" s="143" t="str">
        <f t="shared" si="1"/>
        <v>fixom~2030</v>
      </c>
      <c r="H27" s="143" t="str">
        <f t="shared" si="1"/>
        <v>fixom~2050</v>
      </c>
      <c r="I27" s="143" t="str">
        <f t="shared" si="1"/>
        <v>input~GASNGA~2015</v>
      </c>
      <c r="J27" s="143" t="s">
        <v>137</v>
      </c>
      <c r="K27" s="143" t="str">
        <f t="shared" si="1"/>
        <v>input~GASNGA~2030</v>
      </c>
      <c r="L27" s="143" t="str">
        <f t="shared" si="1"/>
        <v>efficiency~2030</v>
      </c>
      <c r="M27" s="143" t="str">
        <f t="shared" si="1"/>
        <v>input~GASNGA~2050</v>
      </c>
      <c r="N27" s="143" t="str">
        <f t="shared" si="1"/>
        <v>efficiency~2050</v>
      </c>
      <c r="O27" s="143" t="s">
        <v>1</v>
      </c>
      <c r="P27" s="143" t="s">
        <v>52</v>
      </c>
      <c r="Q27" s="143" t="s">
        <v>133</v>
      </c>
      <c r="T27" s="143" t="s">
        <v>6</v>
      </c>
      <c r="U27" s="143" t="s">
        <v>1</v>
      </c>
      <c r="V27" s="143" t="s">
        <v>7</v>
      </c>
      <c r="W27" s="143" t="s">
        <v>47</v>
      </c>
      <c r="X27" s="143" t="s">
        <v>46</v>
      </c>
      <c r="Y27" s="143" t="s">
        <v>9</v>
      </c>
      <c r="Z27" s="143" t="s">
        <v>86</v>
      </c>
    </row>
    <row r="28" spans="1:26">
      <c r="A28" t="s">
        <v>30</v>
      </c>
      <c r="B28" t="s">
        <v>12</v>
      </c>
      <c r="C28" s="144">
        <f>C8</f>
        <v>1609.9999999999998</v>
      </c>
      <c r="D28" s="144">
        <f>D8</f>
        <v>740</v>
      </c>
      <c r="E28" s="145">
        <v>450</v>
      </c>
      <c r="F28" s="144">
        <f>F8</f>
        <v>49.000000000000007</v>
      </c>
      <c r="G28" s="144">
        <f>G8</f>
        <v>15</v>
      </c>
      <c r="H28" s="144">
        <f>H8</f>
        <v>10</v>
      </c>
      <c r="I28" s="3"/>
      <c r="J28" s="3">
        <f>1/J8</f>
        <v>0.71942446043165476</v>
      </c>
      <c r="K28" s="3"/>
      <c r="L28" s="3">
        <f>1/L8</f>
        <v>0.84033613445378152</v>
      </c>
      <c r="M28" s="3"/>
      <c r="N28" s="3">
        <f>1/N8</f>
        <v>0.85470085470085477</v>
      </c>
      <c r="O28" t="s">
        <v>135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8</v>
      </c>
      <c r="X28" t="s">
        <v>18</v>
      </c>
      <c r="Y28" t="s">
        <v>11</v>
      </c>
      <c r="Z28" t="s">
        <v>134</v>
      </c>
    </row>
    <row r="29" spans="1:26">
      <c r="A29" t="s">
        <v>30</v>
      </c>
      <c r="B29" t="s">
        <v>12</v>
      </c>
      <c r="C29" s="144">
        <f>C10</f>
        <v>1265</v>
      </c>
      <c r="D29" s="144">
        <f>D10</f>
        <v>600</v>
      </c>
      <c r="E29" s="145">
        <v>350</v>
      </c>
      <c r="F29" s="144">
        <f>F10</f>
        <v>28</v>
      </c>
      <c r="G29" s="144">
        <f>G10</f>
        <v>14</v>
      </c>
      <c r="H29" s="144">
        <f>H10</f>
        <v>9</v>
      </c>
      <c r="I29" s="3"/>
      <c r="J29" s="3">
        <f>1/J10</f>
        <v>0.71674311926605505</v>
      </c>
      <c r="K29" s="3"/>
      <c r="L29" s="3">
        <f>1/L10</f>
        <v>0.78864353312302837</v>
      </c>
      <c r="M29" s="3"/>
      <c r="N29" s="3">
        <f>1/N10</f>
        <v>0.84745762711864414</v>
      </c>
      <c r="O29" t="s">
        <v>136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8</v>
      </c>
      <c r="X29" t="s">
        <v>18</v>
      </c>
      <c r="Y29" t="s">
        <v>11</v>
      </c>
      <c r="Z29" t="s">
        <v>134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10:U27"/>
  <sheetViews>
    <sheetView topLeftCell="A6" zoomScale="80" workbookViewId="0">
      <selection activeCell="F38" sqref="F38"/>
    </sheetView>
  </sheetViews>
  <sheetFormatPr defaultRowHeight="15"/>
  <cols>
    <col min="3" max="3" width="17.85546875" bestFit="1" customWidth="1"/>
    <col min="4" max="4" width="24.85546875" bestFit="1" customWidth="1"/>
    <col min="5" max="5" width="14.28515625" bestFit="1" customWidth="1"/>
    <col min="6" max="6" width="13" bestFit="1" customWidth="1"/>
    <col min="7" max="7" width="15.28515625" bestFit="1" customWidth="1"/>
    <col min="10" max="10" width="18.42578125" bestFit="1" customWidth="1"/>
    <col min="11" max="11" width="18.140625" bestFit="1" customWidth="1"/>
    <col min="12" max="12" width="11.85546875" bestFit="1" customWidth="1"/>
    <col min="13" max="13" width="20.14062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10" spans="2:21">
      <c r="B10" s="174"/>
      <c r="C10" s="174"/>
      <c r="D10" s="175" t="s">
        <v>303</v>
      </c>
      <c r="E10" s="179"/>
      <c r="F10" s="179"/>
      <c r="G10" s="179"/>
      <c r="H10" s="179"/>
      <c r="I10" s="179"/>
      <c r="J10" s="179"/>
      <c r="K10" s="179"/>
      <c r="N10" s="162" t="s">
        <v>0</v>
      </c>
      <c r="O10" s="168"/>
      <c r="P10" s="169"/>
      <c r="Q10" s="169"/>
      <c r="R10" s="169"/>
      <c r="S10" s="169"/>
      <c r="T10" s="169"/>
    </row>
    <row r="11" spans="2:21" ht="15.75" thickBot="1">
      <c r="B11" s="176" t="s">
        <v>1</v>
      </c>
      <c r="C11" s="176" t="s">
        <v>2</v>
      </c>
      <c r="D11" s="176" t="s">
        <v>3</v>
      </c>
      <c r="E11" s="184" t="s">
        <v>4</v>
      </c>
      <c r="F11" s="184" t="s">
        <v>5</v>
      </c>
      <c r="G11" s="184" t="s">
        <v>25</v>
      </c>
      <c r="H11" s="184">
        <v>0</v>
      </c>
      <c r="I11" s="184" t="s">
        <v>94</v>
      </c>
      <c r="J11" s="184" t="s">
        <v>97</v>
      </c>
      <c r="K11" s="184" t="s">
        <v>157</v>
      </c>
      <c r="L11" s="184" t="s">
        <v>158</v>
      </c>
      <c r="N11" s="170" t="s">
        <v>6</v>
      </c>
      <c r="O11" s="170" t="s">
        <v>1</v>
      </c>
      <c r="P11" s="170" t="s">
        <v>7</v>
      </c>
      <c r="Q11" s="171" t="s">
        <v>47</v>
      </c>
      <c r="R11" s="171" t="s">
        <v>46</v>
      </c>
      <c r="S11" s="171" t="s">
        <v>9</v>
      </c>
      <c r="T11" s="171" t="s">
        <v>85</v>
      </c>
      <c r="U11" s="171" t="s">
        <v>86</v>
      </c>
    </row>
    <row r="12" spans="2:21" ht="48.75" thickBot="1">
      <c r="B12" s="172" t="s">
        <v>306</v>
      </c>
      <c r="C12" s="172"/>
      <c r="D12" s="172"/>
      <c r="E12" s="172"/>
      <c r="F12" s="172"/>
      <c r="G12" s="172" t="s">
        <v>307</v>
      </c>
      <c r="H12" s="172"/>
      <c r="I12" s="172"/>
      <c r="J12" s="177"/>
      <c r="K12" s="177"/>
      <c r="L12" s="177"/>
      <c r="N12" s="172" t="s">
        <v>308</v>
      </c>
      <c r="O12" s="172" t="s">
        <v>259</v>
      </c>
      <c r="P12" s="172" t="s">
        <v>260</v>
      </c>
      <c r="Q12" s="173" t="s">
        <v>262</v>
      </c>
      <c r="R12" s="173" t="s">
        <v>261</v>
      </c>
      <c r="S12" s="173" t="s">
        <v>300</v>
      </c>
      <c r="T12" s="173" t="s">
        <v>301</v>
      </c>
      <c r="U12" s="173" t="s">
        <v>263</v>
      </c>
    </row>
    <row r="13" spans="2:21">
      <c r="B13" t="s">
        <v>193</v>
      </c>
      <c r="D13" t="s">
        <v>191</v>
      </c>
      <c r="K13">
        <v>0.05</v>
      </c>
      <c r="L13">
        <v>0.1461854238754417</v>
      </c>
      <c r="N13" t="s">
        <v>154</v>
      </c>
      <c r="O13" t="s">
        <v>193</v>
      </c>
      <c r="P13" t="s">
        <v>192</v>
      </c>
      <c r="Q13" t="s">
        <v>8</v>
      </c>
      <c r="R13" t="s">
        <v>18</v>
      </c>
      <c r="S13" t="s">
        <v>155</v>
      </c>
    </row>
    <row r="14" spans="2:21">
      <c r="B14" t="s">
        <v>198</v>
      </c>
      <c r="D14" t="s">
        <v>197</v>
      </c>
      <c r="K14">
        <v>0.05</v>
      </c>
      <c r="L14">
        <v>0.14867925344692129</v>
      </c>
      <c r="N14" t="s">
        <v>154</v>
      </c>
      <c r="O14" t="s">
        <v>198</v>
      </c>
      <c r="P14" t="s">
        <v>200</v>
      </c>
      <c r="Q14" t="s">
        <v>8</v>
      </c>
      <c r="R14" t="s">
        <v>18</v>
      </c>
      <c r="S14" t="s">
        <v>155</v>
      </c>
    </row>
    <row r="15" spans="2:21">
      <c r="B15" t="s">
        <v>195</v>
      </c>
      <c r="D15" t="s">
        <v>196</v>
      </c>
      <c r="K15">
        <v>0.05</v>
      </c>
      <c r="L15">
        <v>0.14701259708091721</v>
      </c>
      <c r="N15" t="s">
        <v>154</v>
      </c>
      <c r="O15" t="s">
        <v>195</v>
      </c>
      <c r="P15" t="s">
        <v>203</v>
      </c>
      <c r="Q15" t="s">
        <v>8</v>
      </c>
      <c r="R15" t="s">
        <v>18</v>
      </c>
      <c r="S15" t="s">
        <v>155</v>
      </c>
    </row>
    <row r="16" spans="2:21">
      <c r="B16" t="s">
        <v>208</v>
      </c>
      <c r="D16" t="s">
        <v>213</v>
      </c>
      <c r="K16">
        <v>0.05</v>
      </c>
      <c r="L16">
        <v>0.15309859852159369</v>
      </c>
      <c r="N16" t="s">
        <v>154</v>
      </c>
      <c r="O16" t="s">
        <v>208</v>
      </c>
      <c r="P16" t="s">
        <v>202</v>
      </c>
      <c r="Q16" t="s">
        <v>8</v>
      </c>
      <c r="R16" t="s">
        <v>18</v>
      </c>
      <c r="S16" t="s">
        <v>155</v>
      </c>
    </row>
    <row r="17" spans="2:19">
      <c r="B17" t="s">
        <v>209</v>
      </c>
      <c r="D17" t="s">
        <v>214</v>
      </c>
      <c r="K17">
        <v>0.05</v>
      </c>
      <c r="L17">
        <v>0.15852072747262991</v>
      </c>
      <c r="N17" t="s">
        <v>154</v>
      </c>
      <c r="O17" t="s">
        <v>209</v>
      </c>
      <c r="P17" t="s">
        <v>204</v>
      </c>
      <c r="Q17" t="s">
        <v>8</v>
      </c>
      <c r="R17" t="s">
        <v>18</v>
      </c>
      <c r="S17" t="s">
        <v>155</v>
      </c>
    </row>
    <row r="18" spans="2:19">
      <c r="B18" t="s">
        <v>210</v>
      </c>
      <c r="D18" t="s">
        <v>215</v>
      </c>
      <c r="K18">
        <v>0.05</v>
      </c>
      <c r="L18">
        <v>0.1561956058597683</v>
      </c>
      <c r="N18" t="s">
        <v>154</v>
      </c>
      <c r="O18" t="s">
        <v>210</v>
      </c>
      <c r="P18" t="s">
        <v>205</v>
      </c>
      <c r="Q18" t="s">
        <v>8</v>
      </c>
      <c r="R18" t="s">
        <v>18</v>
      </c>
      <c r="S18" t="s">
        <v>155</v>
      </c>
    </row>
    <row r="19" spans="2:19">
      <c r="B19" t="s">
        <v>211</v>
      </c>
      <c r="D19" t="s">
        <v>216</v>
      </c>
      <c r="K19">
        <v>0.05</v>
      </c>
      <c r="L19">
        <v>0.14537310453496291</v>
      </c>
      <c r="N19" t="s">
        <v>154</v>
      </c>
      <c r="O19" t="s">
        <v>211</v>
      </c>
      <c r="P19" t="s">
        <v>206</v>
      </c>
      <c r="Q19" t="s">
        <v>8</v>
      </c>
      <c r="R19" t="s">
        <v>18</v>
      </c>
      <c r="S19" t="s">
        <v>155</v>
      </c>
    </row>
    <row r="20" spans="2:19">
      <c r="B20" t="s">
        <v>194</v>
      </c>
      <c r="D20" t="s">
        <v>190</v>
      </c>
      <c r="K20">
        <v>0.05</v>
      </c>
      <c r="L20">
        <v>0.1476387365568102</v>
      </c>
      <c r="N20" t="s">
        <v>154</v>
      </c>
      <c r="O20" t="s">
        <v>194</v>
      </c>
      <c r="P20" t="s">
        <v>189</v>
      </c>
      <c r="Q20" t="s">
        <v>8</v>
      </c>
      <c r="R20" t="s">
        <v>18</v>
      </c>
      <c r="S20" t="s">
        <v>155</v>
      </c>
    </row>
    <row r="21" spans="2:19">
      <c r="B21" t="s">
        <v>212</v>
      </c>
      <c r="D21" t="s">
        <v>217</v>
      </c>
      <c r="K21">
        <v>0.05</v>
      </c>
      <c r="L21">
        <v>0.1532628310027955</v>
      </c>
      <c r="N21" t="s">
        <v>154</v>
      </c>
      <c r="O21" t="s">
        <v>212</v>
      </c>
      <c r="P21" t="s">
        <v>207</v>
      </c>
      <c r="Q21" t="s">
        <v>8</v>
      </c>
      <c r="R21" t="s">
        <v>18</v>
      </c>
      <c r="S21" t="s">
        <v>155</v>
      </c>
    </row>
    <row r="22" spans="2:19">
      <c r="B22" t="s">
        <v>199</v>
      </c>
      <c r="D22" t="s">
        <v>201</v>
      </c>
      <c r="K22">
        <v>0.05</v>
      </c>
      <c r="L22">
        <v>0.1451997589052581</v>
      </c>
      <c r="N22" t="s">
        <v>154</v>
      </c>
      <c r="O22" t="s">
        <v>199</v>
      </c>
      <c r="P22" t="s">
        <v>200</v>
      </c>
      <c r="Q22" t="s">
        <v>8</v>
      </c>
      <c r="R22" t="s">
        <v>18</v>
      </c>
      <c r="S22" t="s">
        <v>155</v>
      </c>
    </row>
    <row r="23" spans="2:19">
      <c r="B23" t="s">
        <v>243</v>
      </c>
      <c r="D23" t="s">
        <v>248</v>
      </c>
      <c r="K23">
        <v>0.05</v>
      </c>
      <c r="L23">
        <v>0.1451997589052581</v>
      </c>
      <c r="N23" t="s">
        <v>154</v>
      </c>
      <c r="O23" t="s">
        <v>243</v>
      </c>
      <c r="P23" t="s">
        <v>238</v>
      </c>
      <c r="Q23" t="s">
        <v>8</v>
      </c>
      <c r="R23" t="s">
        <v>18</v>
      </c>
      <c r="S23" t="s">
        <v>155</v>
      </c>
    </row>
    <row r="24" spans="2:19">
      <c r="B24" t="s">
        <v>244</v>
      </c>
      <c r="D24" t="s">
        <v>249</v>
      </c>
      <c r="K24">
        <v>0.05</v>
      </c>
      <c r="L24">
        <v>0.1451997589052581</v>
      </c>
      <c r="N24" t="s">
        <v>154</v>
      </c>
      <c r="O24" t="s">
        <v>244</v>
      </c>
      <c r="P24" t="s">
        <v>239</v>
      </c>
      <c r="Q24" t="s">
        <v>8</v>
      </c>
      <c r="R24" t="s">
        <v>18</v>
      </c>
      <c r="S24" t="s">
        <v>155</v>
      </c>
    </row>
    <row r="25" spans="2:19">
      <c r="B25" t="s">
        <v>245</v>
      </c>
      <c r="D25" t="s">
        <v>250</v>
      </c>
      <c r="K25">
        <v>0.05</v>
      </c>
      <c r="L25">
        <v>0.1451997589052581</v>
      </c>
      <c r="N25" t="s">
        <v>154</v>
      </c>
      <c r="O25" t="s">
        <v>245</v>
      </c>
      <c r="P25" t="s">
        <v>240</v>
      </c>
      <c r="Q25" t="s">
        <v>8</v>
      </c>
      <c r="R25" t="s">
        <v>18</v>
      </c>
      <c r="S25" t="s">
        <v>155</v>
      </c>
    </row>
    <row r="26" spans="2:19">
      <c r="B26" t="s">
        <v>246</v>
      </c>
      <c r="D26" t="s">
        <v>251</v>
      </c>
      <c r="K26">
        <v>0.05</v>
      </c>
      <c r="L26">
        <v>0.1451997589052581</v>
      </c>
      <c r="N26" t="s">
        <v>154</v>
      </c>
      <c r="O26" t="s">
        <v>246</v>
      </c>
      <c r="P26" t="s">
        <v>241</v>
      </c>
      <c r="Q26" t="s">
        <v>8</v>
      </c>
      <c r="R26" t="s">
        <v>18</v>
      </c>
      <c r="S26" t="s">
        <v>155</v>
      </c>
    </row>
    <row r="27" spans="2:19">
      <c r="B27" t="s">
        <v>247</v>
      </c>
      <c r="D27" t="s">
        <v>252</v>
      </c>
      <c r="K27">
        <v>0.05</v>
      </c>
      <c r="L27">
        <v>0.1451997589052581</v>
      </c>
      <c r="N27" t="s">
        <v>154</v>
      </c>
      <c r="O27" t="s">
        <v>247</v>
      </c>
      <c r="P27" t="s">
        <v>242</v>
      </c>
      <c r="Q27" t="s">
        <v>8</v>
      </c>
      <c r="R27" t="s">
        <v>18</v>
      </c>
      <c r="S27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6:V18"/>
  <sheetViews>
    <sheetView topLeftCell="A3" zoomScale="69" workbookViewId="0">
      <selection activeCell="O25" sqref="O25"/>
    </sheetView>
  </sheetViews>
  <sheetFormatPr defaultRowHeight="15"/>
  <cols>
    <col min="2" max="3" width="19.42578125" bestFit="1" customWidth="1"/>
    <col min="4" max="4" width="24.42578125" bestFit="1" customWidth="1"/>
    <col min="5" max="5" width="20.85546875" bestFit="1" customWidth="1"/>
    <col min="8" max="8" width="9.28515625" bestFit="1" customWidth="1"/>
    <col min="10" max="10" width="19.42578125" bestFit="1" customWidth="1"/>
    <col min="11" max="11" width="18" bestFit="1" customWidth="1"/>
    <col min="12" max="12" width="11" bestFit="1" customWidth="1"/>
    <col min="15" max="15" width="13.140625" bestFit="1" customWidth="1"/>
    <col min="16" max="16" width="19.42578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6" spans="2:22">
      <c r="B6" s="174"/>
      <c r="C6" s="174"/>
      <c r="D6" s="175" t="s">
        <v>303</v>
      </c>
      <c r="E6" s="179"/>
      <c r="F6" s="179"/>
      <c r="G6" s="179"/>
      <c r="H6" s="179"/>
      <c r="I6" s="179"/>
      <c r="J6" s="179"/>
      <c r="K6" s="179"/>
      <c r="O6" s="162" t="s">
        <v>0</v>
      </c>
      <c r="P6" s="168"/>
      <c r="Q6" s="169"/>
      <c r="R6" s="169"/>
      <c r="S6" s="169"/>
      <c r="T6" s="169"/>
      <c r="U6" s="169"/>
    </row>
    <row r="7" spans="2:22" ht="15.75" thickBot="1">
      <c r="B7" s="176" t="s">
        <v>1</v>
      </c>
      <c r="C7" s="176" t="s">
        <v>2</v>
      </c>
      <c r="D7" s="176" t="s">
        <v>3</v>
      </c>
      <c r="E7" s="184" t="s">
        <v>4</v>
      </c>
      <c r="F7" s="184" t="s">
        <v>5</v>
      </c>
      <c r="G7" s="184" t="s">
        <v>25</v>
      </c>
      <c r="H7" s="184">
        <v>0</v>
      </c>
      <c r="I7" s="184" t="s">
        <v>94</v>
      </c>
      <c r="J7" s="184" t="s">
        <v>97</v>
      </c>
      <c r="K7" s="184" t="s">
        <v>157</v>
      </c>
      <c r="L7" s="184" t="s">
        <v>158</v>
      </c>
      <c r="O7" s="170" t="s">
        <v>6</v>
      </c>
      <c r="P7" s="170" t="s">
        <v>1</v>
      </c>
      <c r="Q7" s="170" t="s">
        <v>7</v>
      </c>
      <c r="R7" s="171" t="s">
        <v>46</v>
      </c>
      <c r="S7" s="171" t="s">
        <v>47</v>
      </c>
      <c r="T7" s="171" t="s">
        <v>9</v>
      </c>
      <c r="U7" s="171" t="s">
        <v>85</v>
      </c>
      <c r="V7" s="171" t="s">
        <v>86</v>
      </c>
    </row>
    <row r="8" spans="2:22" ht="48.75" thickBot="1">
      <c r="B8" s="172" t="s">
        <v>306</v>
      </c>
      <c r="C8" s="172"/>
      <c r="D8" s="172"/>
      <c r="E8" s="172"/>
      <c r="F8" s="172"/>
      <c r="G8" s="172" t="s">
        <v>307</v>
      </c>
      <c r="H8" s="172"/>
      <c r="I8" s="172"/>
      <c r="J8" s="177"/>
      <c r="K8" s="177"/>
      <c r="L8" s="177"/>
      <c r="O8" s="172" t="s">
        <v>308</v>
      </c>
      <c r="P8" s="172" t="s">
        <v>259</v>
      </c>
      <c r="Q8" s="172" t="s">
        <v>260</v>
      </c>
      <c r="R8" s="173" t="s">
        <v>261</v>
      </c>
      <c r="S8" s="173" t="s">
        <v>262</v>
      </c>
      <c r="T8" s="173" t="s">
        <v>300</v>
      </c>
      <c r="U8" s="173" t="s">
        <v>301</v>
      </c>
      <c r="V8" s="173" t="s">
        <v>263</v>
      </c>
    </row>
    <row r="9" spans="2:22">
      <c r="B9" t="s">
        <v>236</v>
      </c>
      <c r="D9" t="s">
        <v>237</v>
      </c>
      <c r="K9">
        <v>7</v>
      </c>
      <c r="L9">
        <v>0.45257887643123651</v>
      </c>
      <c r="O9" t="s">
        <v>154</v>
      </c>
      <c r="P9" t="s">
        <v>236</v>
      </c>
      <c r="Q9" t="s">
        <v>159</v>
      </c>
      <c r="R9" t="s">
        <v>18</v>
      </c>
      <c r="S9" t="s">
        <v>8</v>
      </c>
      <c r="T9" t="s">
        <v>155</v>
      </c>
      <c r="V9" t="s">
        <v>156</v>
      </c>
    </row>
    <row r="10" spans="2:22">
      <c r="B10" t="s">
        <v>230</v>
      </c>
      <c r="D10" t="s">
        <v>218</v>
      </c>
      <c r="K10">
        <v>0.11768333333333332</v>
      </c>
      <c r="L10">
        <v>0.47763777043344691</v>
      </c>
      <c r="O10" t="s">
        <v>154</v>
      </c>
      <c r="P10" t="s">
        <v>230</v>
      </c>
      <c r="Q10" t="s">
        <v>224</v>
      </c>
      <c r="R10" t="s">
        <v>18</v>
      </c>
      <c r="S10" t="s">
        <v>8</v>
      </c>
      <c r="T10" t="s">
        <v>155</v>
      </c>
      <c r="V10" t="s">
        <v>156</v>
      </c>
    </row>
    <row r="11" spans="2:22">
      <c r="B11" t="s">
        <v>231</v>
      </c>
      <c r="D11" t="s">
        <v>219</v>
      </c>
      <c r="K11">
        <v>0.11768333333333332</v>
      </c>
      <c r="L11">
        <v>0.42070052507616201</v>
      </c>
      <c r="O11" t="s">
        <v>154</v>
      </c>
      <c r="P11" t="s">
        <v>231</v>
      </c>
      <c r="Q11" t="s">
        <v>225</v>
      </c>
      <c r="R11" t="s">
        <v>18</v>
      </c>
      <c r="S11" t="s">
        <v>8</v>
      </c>
      <c r="T11" t="s">
        <v>155</v>
      </c>
      <c r="V11" t="s">
        <v>156</v>
      </c>
    </row>
    <row r="12" spans="2:22">
      <c r="B12" t="s">
        <v>232</v>
      </c>
      <c r="D12" t="s">
        <v>220</v>
      </c>
      <c r="K12">
        <v>0.11768333333333332</v>
      </c>
      <c r="L12">
        <v>0.42070052507616201</v>
      </c>
      <c r="O12" t="s">
        <v>154</v>
      </c>
      <c r="P12" t="s">
        <v>232</v>
      </c>
      <c r="Q12" t="s">
        <v>226</v>
      </c>
      <c r="R12" t="s">
        <v>18</v>
      </c>
      <c r="S12" t="s">
        <v>8</v>
      </c>
      <c r="T12" t="s">
        <v>155</v>
      </c>
      <c r="V12" t="s">
        <v>156</v>
      </c>
    </row>
    <row r="13" spans="2:22">
      <c r="B13" t="s">
        <v>233</v>
      </c>
      <c r="D13" t="s">
        <v>221</v>
      </c>
      <c r="K13">
        <v>0.11768333333333332</v>
      </c>
      <c r="L13">
        <v>0.35024016362894311</v>
      </c>
      <c r="O13" t="s">
        <v>154</v>
      </c>
      <c r="P13" t="s">
        <v>233</v>
      </c>
      <c r="Q13" t="s">
        <v>227</v>
      </c>
      <c r="R13" t="s">
        <v>18</v>
      </c>
      <c r="S13" t="s">
        <v>8</v>
      </c>
      <c r="T13" t="s">
        <v>155</v>
      </c>
      <c r="V13" t="s">
        <v>156</v>
      </c>
    </row>
    <row r="14" spans="2:22">
      <c r="B14" t="s">
        <v>234</v>
      </c>
      <c r="D14" t="s">
        <v>222</v>
      </c>
      <c r="K14">
        <v>0.11768333333333332</v>
      </c>
      <c r="L14">
        <v>0.40144059976798202</v>
      </c>
      <c r="O14" t="s">
        <v>154</v>
      </c>
      <c r="P14" t="s">
        <v>234</v>
      </c>
      <c r="Q14" t="s">
        <v>228</v>
      </c>
      <c r="R14" t="s">
        <v>18</v>
      </c>
      <c r="S14" t="s">
        <v>8</v>
      </c>
      <c r="T14" t="s">
        <v>155</v>
      </c>
      <c r="V14" t="s">
        <v>156</v>
      </c>
    </row>
    <row r="15" spans="2:22">
      <c r="B15" t="s">
        <v>235</v>
      </c>
      <c r="D15" t="s">
        <v>223</v>
      </c>
      <c r="K15">
        <v>0.11768333333333332</v>
      </c>
      <c r="L15">
        <v>0.36483357275006911</v>
      </c>
      <c r="O15" t="s">
        <v>154</v>
      </c>
      <c r="P15" t="s">
        <v>235</v>
      </c>
      <c r="Q15" t="s">
        <v>229</v>
      </c>
      <c r="R15" t="s">
        <v>18</v>
      </c>
      <c r="S15" t="s">
        <v>8</v>
      </c>
      <c r="T15" t="s">
        <v>155</v>
      </c>
      <c r="V15" t="s">
        <v>156</v>
      </c>
    </row>
    <row r="18" spans="12:12">
      <c r="L18" s="1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3:R74"/>
  <sheetViews>
    <sheetView zoomScale="76" workbookViewId="0">
      <selection activeCell="K29" sqref="K29"/>
    </sheetView>
  </sheetViews>
  <sheetFormatPr defaultRowHeight="15"/>
  <cols>
    <col min="2" max="2" width="31.42578125" bestFit="1" customWidth="1"/>
    <col min="3" max="4" width="10" bestFit="1" customWidth="1"/>
    <col min="5" max="5" width="13.140625" customWidth="1"/>
    <col min="7" max="7" width="6.85546875" bestFit="1" customWidth="1"/>
    <col min="8" max="8" width="9.7109375" bestFit="1" customWidth="1"/>
    <col min="11" max="12" width="33.85546875" bestFit="1" customWidth="1"/>
    <col min="13" max="13" width="11.85546875" bestFit="1" customWidth="1"/>
    <col min="14" max="14" width="12.42578125" customWidth="1"/>
    <col min="16" max="16" width="8.85546875" bestFit="1" customWidth="1"/>
  </cols>
  <sheetData>
    <row r="3" spans="2:18" ht="15.75">
      <c r="B3" s="165"/>
      <c r="C3" s="165"/>
      <c r="D3" s="165"/>
      <c r="E3" s="166" t="s">
        <v>303</v>
      </c>
      <c r="K3" s="162" t="s">
        <v>0</v>
      </c>
      <c r="L3" s="168"/>
      <c r="M3" s="169"/>
      <c r="N3" s="169"/>
      <c r="O3" s="169"/>
      <c r="P3" s="169"/>
      <c r="Q3" s="169"/>
    </row>
    <row r="4" spans="2:18" ht="15.75" thickBot="1">
      <c r="B4" s="183" t="s">
        <v>1</v>
      </c>
      <c r="C4" s="183" t="s">
        <v>49</v>
      </c>
      <c r="D4" s="183" t="s">
        <v>304</v>
      </c>
      <c r="E4" s="183" t="s">
        <v>305</v>
      </c>
      <c r="F4" s="184">
        <v>2023</v>
      </c>
      <c r="G4" s="184">
        <v>2030</v>
      </c>
      <c r="H4" s="184">
        <v>2050</v>
      </c>
      <c r="I4" s="184" t="s">
        <v>48</v>
      </c>
      <c r="K4" s="170" t="s">
        <v>6</v>
      </c>
      <c r="L4" s="170" t="s">
        <v>1</v>
      </c>
      <c r="M4" s="170" t="s">
        <v>7</v>
      </c>
      <c r="N4" s="171" t="s">
        <v>46</v>
      </c>
      <c r="O4" s="171" t="s">
        <v>47</v>
      </c>
      <c r="P4" s="171" t="s">
        <v>9</v>
      </c>
      <c r="Q4" s="171" t="s">
        <v>85</v>
      </c>
      <c r="R4" s="171" t="s">
        <v>86</v>
      </c>
    </row>
    <row r="5" spans="2:18" ht="48.75" thickBot="1">
      <c r="B5" s="188" t="s">
        <v>306</v>
      </c>
      <c r="C5" s="188"/>
      <c r="D5" s="188"/>
      <c r="E5" s="188"/>
      <c r="F5" s="188"/>
      <c r="G5" s="188"/>
      <c r="H5" s="188"/>
      <c r="I5" s="188"/>
      <c r="K5" s="172" t="s">
        <v>308</v>
      </c>
      <c r="L5" s="172" t="s">
        <v>259</v>
      </c>
      <c r="M5" s="172" t="s">
        <v>260</v>
      </c>
      <c r="N5" s="173" t="s">
        <v>261</v>
      </c>
      <c r="O5" s="173" t="s">
        <v>262</v>
      </c>
      <c r="P5" s="173" t="s">
        <v>300</v>
      </c>
      <c r="Q5" s="173" t="s">
        <v>301</v>
      </c>
      <c r="R5" s="173" t="s">
        <v>263</v>
      </c>
    </row>
    <row r="6" spans="2:18">
      <c r="B6" t="s">
        <v>160</v>
      </c>
      <c r="D6" t="s">
        <v>26</v>
      </c>
      <c r="E6" t="s">
        <v>16</v>
      </c>
      <c r="F6">
        <v>0.30000000000000004</v>
      </c>
      <c r="G6">
        <v>0.30000000000000004</v>
      </c>
      <c r="H6">
        <v>0.30000000000000004</v>
      </c>
      <c r="I6" t="s">
        <v>137</v>
      </c>
      <c r="K6" t="s">
        <v>154</v>
      </c>
      <c r="L6" t="s">
        <v>160</v>
      </c>
      <c r="N6" t="s">
        <v>18</v>
      </c>
      <c r="O6" t="s">
        <v>8</v>
      </c>
      <c r="P6" t="s">
        <v>182</v>
      </c>
      <c r="R6" t="s">
        <v>183</v>
      </c>
    </row>
    <row r="7" spans="2:18">
      <c r="B7" t="s">
        <v>160</v>
      </c>
      <c r="D7" t="s">
        <v>26</v>
      </c>
      <c r="E7" t="s">
        <v>16</v>
      </c>
      <c r="F7">
        <v>0.60000000000000009</v>
      </c>
      <c r="G7">
        <v>0.60000000000000009</v>
      </c>
      <c r="H7">
        <v>0.60000000000000009</v>
      </c>
      <c r="I7" t="s">
        <v>161</v>
      </c>
      <c r="K7" t="s">
        <v>154</v>
      </c>
      <c r="L7" t="s">
        <v>165</v>
      </c>
      <c r="N7" t="s">
        <v>18</v>
      </c>
      <c r="O7" t="s">
        <v>8</v>
      </c>
      <c r="P7" t="s">
        <v>182</v>
      </c>
      <c r="R7" t="s">
        <v>183</v>
      </c>
    </row>
    <row r="8" spans="2:18">
      <c r="B8" t="s">
        <v>160</v>
      </c>
      <c r="D8" t="s">
        <v>26</v>
      </c>
      <c r="E8" t="s">
        <v>16</v>
      </c>
      <c r="F8">
        <v>5750</v>
      </c>
      <c r="G8">
        <v>5700</v>
      </c>
      <c r="H8">
        <v>5100</v>
      </c>
      <c r="I8" t="s">
        <v>162</v>
      </c>
      <c r="K8" t="s">
        <v>154</v>
      </c>
      <c r="L8" t="s">
        <v>166</v>
      </c>
      <c r="N8" t="s">
        <v>18</v>
      </c>
      <c r="O8" t="s">
        <v>8</v>
      </c>
      <c r="P8" t="s">
        <v>182</v>
      </c>
      <c r="R8" t="s">
        <v>183</v>
      </c>
    </row>
    <row r="9" spans="2:18">
      <c r="B9" t="s">
        <v>160</v>
      </c>
      <c r="D9" t="s">
        <v>26</v>
      </c>
      <c r="E9" t="s">
        <v>16</v>
      </c>
      <c r="F9">
        <v>200</v>
      </c>
      <c r="G9">
        <v>200</v>
      </c>
      <c r="H9">
        <v>175</v>
      </c>
      <c r="I9" t="s">
        <v>163</v>
      </c>
      <c r="K9" t="s">
        <v>154</v>
      </c>
      <c r="L9" t="s">
        <v>167</v>
      </c>
      <c r="N9" t="s">
        <v>18</v>
      </c>
      <c r="O9" t="s">
        <v>8</v>
      </c>
      <c r="P9" t="s">
        <v>182</v>
      </c>
      <c r="R9" t="s">
        <v>183</v>
      </c>
    </row>
    <row r="10" spans="2:18">
      <c r="B10" t="s">
        <v>160</v>
      </c>
      <c r="D10" t="s">
        <v>26</v>
      </c>
      <c r="E10" t="s">
        <v>16</v>
      </c>
      <c r="F10">
        <v>3</v>
      </c>
      <c r="G10">
        <v>3</v>
      </c>
      <c r="H10">
        <v>3</v>
      </c>
      <c r="I10" t="s">
        <v>164</v>
      </c>
      <c r="K10" t="s">
        <v>154</v>
      </c>
      <c r="L10" t="s">
        <v>168</v>
      </c>
      <c r="N10" t="s">
        <v>18</v>
      </c>
      <c r="O10" t="s">
        <v>8</v>
      </c>
      <c r="P10" t="s">
        <v>182</v>
      </c>
      <c r="R10" t="s">
        <v>183</v>
      </c>
    </row>
    <row r="11" spans="2:18">
      <c r="B11" t="s">
        <v>165</v>
      </c>
      <c r="D11" t="s">
        <v>26</v>
      </c>
      <c r="E11" t="s">
        <v>16</v>
      </c>
      <c r="F11">
        <v>0.35000000000000003</v>
      </c>
      <c r="G11">
        <v>0.35000000000000003</v>
      </c>
      <c r="H11">
        <v>0.35000000000000003</v>
      </c>
      <c r="I11" t="s">
        <v>137</v>
      </c>
      <c r="K11" t="s">
        <v>154</v>
      </c>
      <c r="L11" t="s">
        <v>169</v>
      </c>
      <c r="N11" t="s">
        <v>18</v>
      </c>
      <c r="O11" t="s">
        <v>8</v>
      </c>
      <c r="P11" t="s">
        <v>182</v>
      </c>
      <c r="R11" t="s">
        <v>183</v>
      </c>
    </row>
    <row r="12" spans="2:18">
      <c r="B12" t="s">
        <v>165</v>
      </c>
      <c r="D12" t="s">
        <v>26</v>
      </c>
      <c r="E12" t="s">
        <v>16</v>
      </c>
      <c r="F12">
        <v>0.60000000000000009</v>
      </c>
      <c r="G12">
        <v>0.60000000000000009</v>
      </c>
      <c r="H12">
        <v>0.60000000000000009</v>
      </c>
      <c r="I12" t="s">
        <v>161</v>
      </c>
      <c r="K12" t="s">
        <v>154</v>
      </c>
      <c r="L12" t="s">
        <v>170</v>
      </c>
      <c r="N12" t="s">
        <v>18</v>
      </c>
      <c r="O12" t="s">
        <v>8</v>
      </c>
      <c r="P12" t="s">
        <v>182</v>
      </c>
      <c r="R12" t="s">
        <v>183</v>
      </c>
    </row>
    <row r="13" spans="2:18">
      <c r="B13" t="s">
        <v>165</v>
      </c>
      <c r="D13" t="s">
        <v>26</v>
      </c>
      <c r="E13" t="s">
        <v>16</v>
      </c>
      <c r="F13">
        <v>2400</v>
      </c>
      <c r="G13">
        <v>2350</v>
      </c>
      <c r="H13">
        <v>2300</v>
      </c>
      <c r="I13" t="s">
        <v>162</v>
      </c>
      <c r="K13" t="s">
        <v>154</v>
      </c>
      <c r="L13" t="s">
        <v>171</v>
      </c>
      <c r="N13" t="s">
        <v>18</v>
      </c>
      <c r="O13" t="s">
        <v>8</v>
      </c>
      <c r="P13" t="s">
        <v>182</v>
      </c>
      <c r="R13" t="s">
        <v>183</v>
      </c>
    </row>
    <row r="14" spans="2:18">
      <c r="B14" t="s">
        <v>165</v>
      </c>
      <c r="D14" t="s">
        <v>26</v>
      </c>
      <c r="E14" t="s">
        <v>16</v>
      </c>
      <c r="F14">
        <v>85</v>
      </c>
      <c r="G14">
        <v>85</v>
      </c>
      <c r="H14">
        <v>80</v>
      </c>
      <c r="I14" t="s">
        <v>163</v>
      </c>
      <c r="K14" t="s">
        <v>154</v>
      </c>
      <c r="L14" t="s">
        <v>172</v>
      </c>
      <c r="N14" t="s">
        <v>18</v>
      </c>
      <c r="O14" t="s">
        <v>8</v>
      </c>
      <c r="P14" t="s">
        <v>182</v>
      </c>
      <c r="R14" t="s">
        <v>183</v>
      </c>
    </row>
    <row r="15" spans="2:18">
      <c r="B15" t="s">
        <v>165</v>
      </c>
      <c r="D15" t="s">
        <v>26</v>
      </c>
      <c r="E15" t="s">
        <v>16</v>
      </c>
      <c r="F15">
        <v>3</v>
      </c>
      <c r="G15">
        <v>3</v>
      </c>
      <c r="H15">
        <v>3</v>
      </c>
      <c r="I15" t="s">
        <v>164</v>
      </c>
      <c r="K15" t="s">
        <v>154</v>
      </c>
      <c r="L15" t="s">
        <v>173</v>
      </c>
      <c r="N15" t="s">
        <v>18</v>
      </c>
      <c r="O15" t="s">
        <v>8</v>
      </c>
      <c r="P15" t="s">
        <v>182</v>
      </c>
      <c r="R15" t="s">
        <v>183</v>
      </c>
    </row>
    <row r="16" spans="2:18">
      <c r="B16" t="s">
        <v>166</v>
      </c>
      <c r="D16" t="s">
        <v>28</v>
      </c>
      <c r="E16" t="s">
        <v>16</v>
      </c>
      <c r="F16">
        <v>0.59</v>
      </c>
      <c r="G16">
        <v>0.6</v>
      </c>
      <c r="H16">
        <v>0.61</v>
      </c>
      <c r="I16" t="s">
        <v>137</v>
      </c>
      <c r="K16" t="s">
        <v>154</v>
      </c>
      <c r="L16" t="s">
        <v>174</v>
      </c>
      <c r="N16" t="s">
        <v>18</v>
      </c>
      <c r="O16" t="s">
        <v>8</v>
      </c>
      <c r="P16" t="s">
        <v>182</v>
      </c>
      <c r="R16" t="s">
        <v>183</v>
      </c>
    </row>
    <row r="17" spans="2:18">
      <c r="B17" t="s">
        <v>166</v>
      </c>
      <c r="D17" t="s">
        <v>28</v>
      </c>
      <c r="E17" t="s">
        <v>16</v>
      </c>
      <c r="F17">
        <v>1000</v>
      </c>
      <c r="G17">
        <v>1000</v>
      </c>
      <c r="H17">
        <v>1000</v>
      </c>
      <c r="I17" t="s">
        <v>162</v>
      </c>
      <c r="K17" t="s">
        <v>154</v>
      </c>
      <c r="L17" t="s">
        <v>175</v>
      </c>
      <c r="N17" t="s">
        <v>18</v>
      </c>
      <c r="O17" t="s">
        <v>8</v>
      </c>
      <c r="P17" t="s">
        <v>182</v>
      </c>
      <c r="R17" t="s">
        <v>183</v>
      </c>
    </row>
    <row r="18" spans="2:18">
      <c r="B18" t="s">
        <v>166</v>
      </c>
      <c r="D18" t="s">
        <v>28</v>
      </c>
      <c r="E18" t="s">
        <v>16</v>
      </c>
      <c r="F18">
        <v>25</v>
      </c>
      <c r="G18">
        <v>25</v>
      </c>
      <c r="H18">
        <v>25</v>
      </c>
      <c r="I18" t="s">
        <v>163</v>
      </c>
      <c r="K18" t="s">
        <v>154</v>
      </c>
      <c r="L18" t="s">
        <v>176</v>
      </c>
      <c r="N18" t="s">
        <v>18</v>
      </c>
      <c r="O18" t="s">
        <v>8</v>
      </c>
      <c r="P18" t="s">
        <v>182</v>
      </c>
      <c r="R18" t="s">
        <v>183</v>
      </c>
    </row>
    <row r="19" spans="2:18">
      <c r="B19" t="s">
        <v>167</v>
      </c>
      <c r="D19" t="s">
        <v>28</v>
      </c>
      <c r="E19" t="s">
        <v>16</v>
      </c>
      <c r="F19">
        <v>0.51</v>
      </c>
      <c r="G19">
        <v>0.52</v>
      </c>
      <c r="H19">
        <v>0.54</v>
      </c>
      <c r="I19" t="s">
        <v>137</v>
      </c>
      <c r="K19" t="s">
        <v>154</v>
      </c>
      <c r="L19" t="s">
        <v>177</v>
      </c>
      <c r="N19" t="s">
        <v>18</v>
      </c>
      <c r="O19" t="s">
        <v>8</v>
      </c>
      <c r="P19" t="s">
        <v>182</v>
      </c>
      <c r="R19" t="s">
        <v>183</v>
      </c>
    </row>
    <row r="20" spans="2:18">
      <c r="B20" t="s">
        <v>167</v>
      </c>
      <c r="D20" t="s">
        <v>28</v>
      </c>
      <c r="E20" t="s">
        <v>16</v>
      </c>
      <c r="F20">
        <v>3100</v>
      </c>
      <c r="G20">
        <v>3100</v>
      </c>
      <c r="H20">
        <v>2400</v>
      </c>
      <c r="I20" t="s">
        <v>162</v>
      </c>
      <c r="K20" t="s">
        <v>154</v>
      </c>
      <c r="L20" t="s">
        <v>178</v>
      </c>
      <c r="N20" t="s">
        <v>18</v>
      </c>
      <c r="O20" t="s">
        <v>8</v>
      </c>
      <c r="P20" t="s">
        <v>182</v>
      </c>
      <c r="R20" t="s">
        <v>183</v>
      </c>
    </row>
    <row r="21" spans="2:18">
      <c r="B21" t="s">
        <v>167</v>
      </c>
      <c r="D21" t="s">
        <v>28</v>
      </c>
      <c r="E21" t="s">
        <v>16</v>
      </c>
      <c r="F21">
        <v>75</v>
      </c>
      <c r="G21">
        <v>75</v>
      </c>
      <c r="H21">
        <v>60</v>
      </c>
      <c r="I21" t="s">
        <v>163</v>
      </c>
      <c r="K21" t="s">
        <v>154</v>
      </c>
      <c r="L21" t="s">
        <v>179</v>
      </c>
      <c r="N21" t="s">
        <v>18</v>
      </c>
      <c r="O21" t="s">
        <v>8</v>
      </c>
      <c r="P21" t="s">
        <v>182</v>
      </c>
      <c r="R21" t="s">
        <v>183</v>
      </c>
    </row>
    <row r="22" spans="2:18">
      <c r="B22" t="s">
        <v>168</v>
      </c>
      <c r="D22" t="s">
        <v>27</v>
      </c>
      <c r="E22" t="s">
        <v>16</v>
      </c>
      <c r="F22">
        <v>0.37</v>
      </c>
      <c r="G22">
        <v>0.38</v>
      </c>
      <c r="H22">
        <v>0.39</v>
      </c>
      <c r="I22" t="s">
        <v>137</v>
      </c>
      <c r="K22" t="s">
        <v>154</v>
      </c>
      <c r="L22" t="s">
        <v>181</v>
      </c>
      <c r="N22" t="s">
        <v>18</v>
      </c>
      <c r="O22" t="s">
        <v>8</v>
      </c>
      <c r="P22" t="s">
        <v>182</v>
      </c>
      <c r="R22" t="s">
        <v>183</v>
      </c>
    </row>
    <row r="23" spans="2:18">
      <c r="B23" t="s">
        <v>168</v>
      </c>
      <c r="D23" t="s">
        <v>27</v>
      </c>
      <c r="E23" t="s">
        <v>16</v>
      </c>
      <c r="F23">
        <v>5500</v>
      </c>
      <c r="G23">
        <v>5500</v>
      </c>
      <c r="H23">
        <v>4350</v>
      </c>
      <c r="I23" t="s">
        <v>162</v>
      </c>
      <c r="K23" t="s">
        <v>154</v>
      </c>
      <c r="L23" t="s">
        <v>272</v>
      </c>
      <c r="N23" t="s">
        <v>18</v>
      </c>
      <c r="O23" t="s">
        <v>8</v>
      </c>
      <c r="P23" t="s">
        <v>182</v>
      </c>
      <c r="R23" t="s">
        <v>183</v>
      </c>
    </row>
    <row r="24" spans="2:18">
      <c r="B24" t="s">
        <v>168</v>
      </c>
      <c r="D24" t="s">
        <v>27</v>
      </c>
      <c r="E24" t="s">
        <v>16</v>
      </c>
      <c r="F24">
        <v>165</v>
      </c>
      <c r="G24">
        <v>165</v>
      </c>
      <c r="H24">
        <v>130</v>
      </c>
      <c r="I24" t="s">
        <v>163</v>
      </c>
    </row>
    <row r="25" spans="2:18">
      <c r="B25" t="s">
        <v>169</v>
      </c>
      <c r="D25" t="s">
        <v>28</v>
      </c>
      <c r="E25" t="s">
        <v>16</v>
      </c>
      <c r="F25">
        <v>0.4</v>
      </c>
      <c r="G25">
        <v>0.43</v>
      </c>
      <c r="H25">
        <v>0.45</v>
      </c>
      <c r="I25" t="s">
        <v>137</v>
      </c>
    </row>
    <row r="26" spans="2:18">
      <c r="B26" t="s">
        <v>169</v>
      </c>
      <c r="D26" t="s">
        <v>28</v>
      </c>
      <c r="E26" t="s">
        <v>16</v>
      </c>
      <c r="F26">
        <v>630</v>
      </c>
      <c r="G26">
        <v>600</v>
      </c>
      <c r="H26">
        <v>550</v>
      </c>
      <c r="I26" t="s">
        <v>162</v>
      </c>
    </row>
    <row r="27" spans="2:18">
      <c r="B27" t="s">
        <v>169</v>
      </c>
      <c r="D27" t="s">
        <v>28</v>
      </c>
      <c r="E27" t="s">
        <v>16</v>
      </c>
      <c r="F27">
        <v>20</v>
      </c>
      <c r="G27">
        <v>20</v>
      </c>
      <c r="H27">
        <v>20</v>
      </c>
      <c r="I27" t="s">
        <v>163</v>
      </c>
    </row>
    <row r="28" spans="2:18">
      <c r="B28" t="s">
        <v>170</v>
      </c>
      <c r="D28" t="s">
        <v>23</v>
      </c>
      <c r="E28" t="s">
        <v>16</v>
      </c>
      <c r="F28">
        <v>1</v>
      </c>
      <c r="G28">
        <v>1</v>
      </c>
      <c r="H28">
        <v>1</v>
      </c>
      <c r="I28" t="s">
        <v>137</v>
      </c>
    </row>
    <row r="29" spans="2:18">
      <c r="B29" t="s">
        <v>170</v>
      </c>
      <c r="D29" t="s">
        <v>23</v>
      </c>
      <c r="E29" t="s">
        <v>16</v>
      </c>
      <c r="F29">
        <v>0.35000000000000003</v>
      </c>
      <c r="G29">
        <v>0.35000000000000003</v>
      </c>
      <c r="H29">
        <v>0.35000000000000003</v>
      </c>
      <c r="I29" t="s">
        <v>161</v>
      </c>
    </row>
    <row r="30" spans="2:18">
      <c r="B30" t="s">
        <v>170</v>
      </c>
      <c r="D30" t="s">
        <v>23</v>
      </c>
      <c r="E30" t="s">
        <v>16</v>
      </c>
      <c r="F30">
        <v>2650</v>
      </c>
      <c r="G30">
        <v>2650</v>
      </c>
      <c r="H30">
        <v>2650</v>
      </c>
      <c r="I30" t="s">
        <v>162</v>
      </c>
    </row>
    <row r="31" spans="2:18">
      <c r="B31" t="s">
        <v>170</v>
      </c>
      <c r="D31" t="s">
        <v>23</v>
      </c>
      <c r="E31" t="s">
        <v>16</v>
      </c>
      <c r="F31">
        <v>65</v>
      </c>
      <c r="G31">
        <v>65</v>
      </c>
      <c r="H31">
        <v>65</v>
      </c>
      <c r="I31" t="s">
        <v>163</v>
      </c>
    </row>
    <row r="32" spans="2:18">
      <c r="B32" t="s">
        <v>170</v>
      </c>
      <c r="D32" t="s">
        <v>23</v>
      </c>
      <c r="E32" t="s">
        <v>16</v>
      </c>
      <c r="F32">
        <v>4</v>
      </c>
      <c r="G32">
        <v>4</v>
      </c>
      <c r="H32">
        <v>4</v>
      </c>
      <c r="I32" t="s">
        <v>164</v>
      </c>
    </row>
    <row r="33" spans="2:9">
      <c r="B33" t="s">
        <v>171</v>
      </c>
      <c r="D33" t="s">
        <v>28</v>
      </c>
      <c r="E33" t="s">
        <v>16</v>
      </c>
      <c r="F33">
        <v>0.45</v>
      </c>
      <c r="G33">
        <v>0.47000000000000003</v>
      </c>
      <c r="H33">
        <v>0.5</v>
      </c>
      <c r="I33" t="s">
        <v>137</v>
      </c>
    </row>
    <row r="34" spans="2:9">
      <c r="B34" t="s">
        <v>171</v>
      </c>
      <c r="D34" t="s">
        <v>28</v>
      </c>
      <c r="E34" t="s">
        <v>16</v>
      </c>
      <c r="F34">
        <v>2500</v>
      </c>
      <c r="G34">
        <v>2350</v>
      </c>
      <c r="H34">
        <v>2300</v>
      </c>
      <c r="I34" t="s">
        <v>162</v>
      </c>
    </row>
    <row r="35" spans="2:9">
      <c r="B35" t="s">
        <v>171</v>
      </c>
      <c r="D35" t="s">
        <v>28</v>
      </c>
      <c r="E35" t="s">
        <v>16</v>
      </c>
      <c r="F35">
        <v>95</v>
      </c>
      <c r="G35">
        <v>85</v>
      </c>
      <c r="H35">
        <v>80</v>
      </c>
      <c r="I35" t="s">
        <v>163</v>
      </c>
    </row>
    <row r="36" spans="2:9">
      <c r="B36" t="s">
        <v>172</v>
      </c>
      <c r="D36" t="s">
        <v>27</v>
      </c>
      <c r="E36" t="s">
        <v>16</v>
      </c>
      <c r="F36">
        <v>0.36</v>
      </c>
      <c r="G36">
        <v>0.38</v>
      </c>
      <c r="H36">
        <v>0.43</v>
      </c>
      <c r="I36" t="s">
        <v>137</v>
      </c>
    </row>
    <row r="37" spans="2:9">
      <c r="B37" t="s">
        <v>172</v>
      </c>
      <c r="D37" t="s">
        <v>27</v>
      </c>
      <c r="E37" t="s">
        <v>16</v>
      </c>
      <c r="F37">
        <v>5850</v>
      </c>
      <c r="G37">
        <v>5700</v>
      </c>
      <c r="H37">
        <v>5100</v>
      </c>
      <c r="I37" t="s">
        <v>162</v>
      </c>
    </row>
    <row r="38" spans="2:9">
      <c r="B38" t="s">
        <v>172</v>
      </c>
      <c r="D38" t="s">
        <v>27</v>
      </c>
      <c r="E38" t="s">
        <v>16</v>
      </c>
      <c r="F38">
        <v>205</v>
      </c>
      <c r="G38">
        <v>200</v>
      </c>
      <c r="H38">
        <v>180</v>
      </c>
      <c r="I38" t="s">
        <v>163</v>
      </c>
    </row>
    <row r="39" spans="2:9">
      <c r="B39" t="s">
        <v>173</v>
      </c>
      <c r="D39" t="s">
        <v>31</v>
      </c>
      <c r="E39" t="s">
        <v>16</v>
      </c>
      <c r="F39">
        <v>0.33</v>
      </c>
      <c r="G39">
        <v>0.33</v>
      </c>
      <c r="H39">
        <v>0.33</v>
      </c>
      <c r="I39" t="s">
        <v>137</v>
      </c>
    </row>
    <row r="40" spans="2:9">
      <c r="B40" t="s">
        <v>173</v>
      </c>
      <c r="D40" t="s">
        <v>31</v>
      </c>
      <c r="E40" t="s">
        <v>16</v>
      </c>
      <c r="F40">
        <v>6600</v>
      </c>
      <c r="G40">
        <v>5100</v>
      </c>
      <c r="H40">
        <v>4500</v>
      </c>
      <c r="I40" t="s">
        <v>162</v>
      </c>
    </row>
    <row r="41" spans="2:9">
      <c r="B41" t="s">
        <v>173</v>
      </c>
      <c r="D41" t="s">
        <v>31</v>
      </c>
      <c r="E41" t="s">
        <v>16</v>
      </c>
      <c r="F41">
        <v>165</v>
      </c>
      <c r="G41">
        <v>165</v>
      </c>
      <c r="H41">
        <v>160</v>
      </c>
      <c r="I41" t="s">
        <v>163</v>
      </c>
    </row>
    <row r="42" spans="2:9">
      <c r="B42" t="s">
        <v>173</v>
      </c>
      <c r="D42" t="s">
        <v>31</v>
      </c>
      <c r="E42" t="s">
        <v>16</v>
      </c>
      <c r="F42">
        <v>10</v>
      </c>
      <c r="G42">
        <v>8</v>
      </c>
      <c r="H42">
        <v>8</v>
      </c>
      <c r="I42" t="s">
        <v>164</v>
      </c>
    </row>
    <row r="43" spans="2:9">
      <c r="B43" t="s">
        <v>174</v>
      </c>
      <c r="D43" t="s">
        <v>27</v>
      </c>
      <c r="E43" t="s">
        <v>16</v>
      </c>
      <c r="F43">
        <v>0.37</v>
      </c>
      <c r="G43">
        <v>0.38</v>
      </c>
      <c r="H43">
        <v>0.39</v>
      </c>
      <c r="I43" t="s">
        <v>137</v>
      </c>
    </row>
    <row r="44" spans="2:9">
      <c r="B44" t="s">
        <v>174</v>
      </c>
      <c r="D44" t="s">
        <v>27</v>
      </c>
      <c r="E44" t="s">
        <v>16</v>
      </c>
      <c r="F44">
        <v>5700</v>
      </c>
      <c r="G44">
        <v>5700</v>
      </c>
      <c r="H44">
        <v>5100</v>
      </c>
      <c r="I44" t="s">
        <v>162</v>
      </c>
    </row>
    <row r="45" spans="2:9">
      <c r="B45" t="s">
        <v>174</v>
      </c>
      <c r="D45" t="s">
        <v>27</v>
      </c>
      <c r="E45" t="s">
        <v>16</v>
      </c>
      <c r="F45">
        <v>170</v>
      </c>
      <c r="G45">
        <v>170</v>
      </c>
      <c r="H45">
        <v>155</v>
      </c>
      <c r="I45" t="s">
        <v>163</v>
      </c>
    </row>
    <row r="46" spans="2:9">
      <c r="B46" t="s">
        <v>175</v>
      </c>
      <c r="D46" t="s">
        <v>22</v>
      </c>
      <c r="E46" t="s">
        <v>16</v>
      </c>
      <c r="F46">
        <v>1</v>
      </c>
      <c r="G46">
        <v>1</v>
      </c>
      <c r="H46">
        <v>1</v>
      </c>
      <c r="I46" t="s">
        <v>137</v>
      </c>
    </row>
    <row r="47" spans="2:9">
      <c r="B47" t="s">
        <v>175</v>
      </c>
      <c r="D47" t="s">
        <v>22</v>
      </c>
      <c r="E47" t="s">
        <v>16</v>
      </c>
      <c r="F47">
        <v>0.14000000000000001</v>
      </c>
      <c r="G47">
        <v>0.14000000000000001</v>
      </c>
      <c r="H47">
        <v>0.14000000000000001</v>
      </c>
      <c r="I47" t="s">
        <v>161</v>
      </c>
    </row>
    <row r="48" spans="2:9">
      <c r="B48" t="s">
        <v>175</v>
      </c>
      <c r="D48" t="s">
        <v>22</v>
      </c>
      <c r="E48" t="s">
        <v>16</v>
      </c>
      <c r="F48">
        <v>750</v>
      </c>
      <c r="G48">
        <v>480</v>
      </c>
      <c r="H48">
        <v>340</v>
      </c>
      <c r="I48" t="s">
        <v>162</v>
      </c>
    </row>
    <row r="49" spans="2:9">
      <c r="B49" t="s">
        <v>175</v>
      </c>
      <c r="D49" t="s">
        <v>22</v>
      </c>
      <c r="E49" t="s">
        <v>16</v>
      </c>
      <c r="F49">
        <v>12</v>
      </c>
      <c r="G49">
        <v>10</v>
      </c>
      <c r="H49">
        <v>10</v>
      </c>
      <c r="I49" t="s">
        <v>163</v>
      </c>
    </row>
    <row r="50" spans="2:9">
      <c r="B50" t="s">
        <v>175</v>
      </c>
      <c r="D50" t="s">
        <v>22</v>
      </c>
      <c r="E50" t="s">
        <v>16</v>
      </c>
      <c r="F50">
        <v>1.5</v>
      </c>
      <c r="G50">
        <v>1.5</v>
      </c>
      <c r="H50">
        <v>1.5</v>
      </c>
      <c r="I50" t="s">
        <v>164</v>
      </c>
    </row>
    <row r="51" spans="2:9">
      <c r="B51" t="s">
        <v>176</v>
      </c>
      <c r="D51" t="s">
        <v>27</v>
      </c>
      <c r="E51" t="s">
        <v>16</v>
      </c>
      <c r="F51">
        <v>0.39</v>
      </c>
      <c r="G51">
        <v>0.39</v>
      </c>
      <c r="H51">
        <v>0.39</v>
      </c>
      <c r="I51" t="s">
        <v>137</v>
      </c>
    </row>
    <row r="52" spans="2:9">
      <c r="B52" t="s">
        <v>176</v>
      </c>
      <c r="D52" t="s">
        <v>27</v>
      </c>
      <c r="E52" t="s">
        <v>16</v>
      </c>
      <c r="F52">
        <v>1700</v>
      </c>
      <c r="G52">
        <v>1700</v>
      </c>
      <c r="H52">
        <v>1700</v>
      </c>
      <c r="I52" t="s">
        <v>162</v>
      </c>
    </row>
    <row r="53" spans="2:9">
      <c r="B53" t="s">
        <v>176</v>
      </c>
      <c r="D53" t="s">
        <v>27</v>
      </c>
      <c r="E53" t="s">
        <v>16</v>
      </c>
      <c r="F53">
        <v>45</v>
      </c>
      <c r="G53">
        <v>45</v>
      </c>
      <c r="H53">
        <v>45</v>
      </c>
      <c r="I53" t="s">
        <v>163</v>
      </c>
    </row>
    <row r="54" spans="2:9">
      <c r="B54" t="s">
        <v>177</v>
      </c>
      <c r="D54" t="s">
        <v>27</v>
      </c>
      <c r="E54" t="s">
        <v>16</v>
      </c>
      <c r="F54">
        <v>0.43</v>
      </c>
      <c r="G54">
        <v>0.43</v>
      </c>
      <c r="H54">
        <v>0.43</v>
      </c>
      <c r="I54" t="s">
        <v>137</v>
      </c>
    </row>
    <row r="55" spans="2:9">
      <c r="B55" t="s">
        <v>177</v>
      </c>
      <c r="D55" t="s">
        <v>27</v>
      </c>
      <c r="E55" t="s">
        <v>16</v>
      </c>
      <c r="F55">
        <v>2000</v>
      </c>
      <c r="G55">
        <v>2000</v>
      </c>
      <c r="H55">
        <v>2000</v>
      </c>
      <c r="I55" t="s">
        <v>162</v>
      </c>
    </row>
    <row r="56" spans="2:9">
      <c r="B56" t="s">
        <v>177</v>
      </c>
      <c r="D56" t="s">
        <v>27</v>
      </c>
      <c r="E56" t="s">
        <v>16</v>
      </c>
      <c r="F56">
        <v>60</v>
      </c>
      <c r="G56">
        <v>60</v>
      </c>
      <c r="H56">
        <v>60</v>
      </c>
      <c r="I56" t="s">
        <v>163</v>
      </c>
    </row>
    <row r="57" spans="2:9">
      <c r="B57" t="s">
        <v>178</v>
      </c>
      <c r="D57" t="s">
        <v>27</v>
      </c>
      <c r="E57" t="s">
        <v>16</v>
      </c>
      <c r="F57">
        <v>0.46</v>
      </c>
      <c r="G57">
        <v>0.46</v>
      </c>
      <c r="H57">
        <v>0.48</v>
      </c>
      <c r="I57" t="s">
        <v>137</v>
      </c>
    </row>
    <row r="58" spans="2:9">
      <c r="B58" t="s">
        <v>178</v>
      </c>
      <c r="D58" t="s">
        <v>27</v>
      </c>
      <c r="E58" t="s">
        <v>16</v>
      </c>
      <c r="F58">
        <v>2200</v>
      </c>
      <c r="G58">
        <v>2200</v>
      </c>
      <c r="H58">
        <v>2200</v>
      </c>
      <c r="I58" t="s">
        <v>162</v>
      </c>
    </row>
    <row r="59" spans="2:9">
      <c r="B59" t="s">
        <v>178</v>
      </c>
      <c r="D59" t="s">
        <v>27</v>
      </c>
      <c r="E59" t="s">
        <v>16</v>
      </c>
      <c r="F59">
        <v>65</v>
      </c>
      <c r="G59">
        <v>65</v>
      </c>
      <c r="H59">
        <v>65</v>
      </c>
      <c r="I59" t="s">
        <v>163</v>
      </c>
    </row>
    <row r="60" spans="2:9">
      <c r="B60" t="s">
        <v>179</v>
      </c>
      <c r="D60" t="s">
        <v>180</v>
      </c>
      <c r="E60" t="s">
        <v>16</v>
      </c>
      <c r="F60">
        <v>1</v>
      </c>
      <c r="G60">
        <v>1</v>
      </c>
      <c r="H60">
        <v>1</v>
      </c>
      <c r="I60" t="s">
        <v>137</v>
      </c>
    </row>
    <row r="61" spans="2:9">
      <c r="B61" t="s">
        <v>179</v>
      </c>
      <c r="D61" t="s">
        <v>180</v>
      </c>
      <c r="E61" t="s">
        <v>16</v>
      </c>
      <c r="F61">
        <v>0.5</v>
      </c>
      <c r="G61">
        <v>0.55000000000000004</v>
      </c>
      <c r="H61">
        <v>0.56000000000000005</v>
      </c>
      <c r="I61" t="s">
        <v>161</v>
      </c>
    </row>
    <row r="62" spans="2:9">
      <c r="B62" t="s">
        <v>179</v>
      </c>
      <c r="D62" t="s">
        <v>180</v>
      </c>
      <c r="E62" t="s">
        <v>16</v>
      </c>
      <c r="F62">
        <v>3120</v>
      </c>
      <c r="G62">
        <v>2280</v>
      </c>
      <c r="H62">
        <v>1660</v>
      </c>
      <c r="I62" t="s">
        <v>162</v>
      </c>
    </row>
    <row r="63" spans="2:9">
      <c r="B63" t="s">
        <v>179</v>
      </c>
      <c r="D63" t="s">
        <v>180</v>
      </c>
      <c r="E63" t="s">
        <v>16</v>
      </c>
      <c r="F63">
        <v>60</v>
      </c>
      <c r="G63">
        <v>50</v>
      </c>
      <c r="H63">
        <v>40</v>
      </c>
      <c r="I63" t="s">
        <v>163</v>
      </c>
    </row>
    <row r="64" spans="2:9">
      <c r="B64" t="s">
        <v>179</v>
      </c>
      <c r="D64" t="s">
        <v>180</v>
      </c>
      <c r="E64" t="s">
        <v>16</v>
      </c>
      <c r="F64">
        <v>10</v>
      </c>
      <c r="G64">
        <v>7</v>
      </c>
      <c r="H64">
        <v>5</v>
      </c>
      <c r="I64" t="s">
        <v>164</v>
      </c>
    </row>
    <row r="65" spans="2:9">
      <c r="B65" t="s">
        <v>181</v>
      </c>
      <c r="D65" t="s">
        <v>180</v>
      </c>
      <c r="E65" t="s">
        <v>16</v>
      </c>
      <c r="F65">
        <v>1</v>
      </c>
      <c r="G65">
        <v>1</v>
      </c>
      <c r="H65">
        <v>1</v>
      </c>
      <c r="I65" t="s">
        <v>137</v>
      </c>
    </row>
    <row r="66" spans="2:9">
      <c r="B66" t="s">
        <v>181</v>
      </c>
      <c r="D66" t="s">
        <v>180</v>
      </c>
      <c r="E66" t="s">
        <v>16</v>
      </c>
      <c r="F66">
        <v>0.28999999999999998</v>
      </c>
      <c r="G66">
        <v>0.3</v>
      </c>
      <c r="H66">
        <v>0.3</v>
      </c>
      <c r="I66" t="s">
        <v>161</v>
      </c>
    </row>
    <row r="67" spans="2:9">
      <c r="B67" t="s">
        <v>181</v>
      </c>
      <c r="D67" t="s">
        <v>180</v>
      </c>
      <c r="E67" t="s">
        <v>16</v>
      </c>
      <c r="F67">
        <v>1630</v>
      </c>
      <c r="G67">
        <v>1550</v>
      </c>
      <c r="H67">
        <v>1490</v>
      </c>
      <c r="I67" t="s">
        <v>162</v>
      </c>
    </row>
    <row r="68" spans="2:9">
      <c r="B68" t="s">
        <v>181</v>
      </c>
      <c r="D68" t="s">
        <v>180</v>
      </c>
      <c r="E68" t="s">
        <v>16</v>
      </c>
      <c r="F68">
        <v>42</v>
      </c>
      <c r="G68">
        <v>40</v>
      </c>
      <c r="H68">
        <v>38</v>
      </c>
      <c r="I68" t="s">
        <v>163</v>
      </c>
    </row>
    <row r="69" spans="2:9">
      <c r="B69" t="s">
        <v>181</v>
      </c>
      <c r="D69" t="s">
        <v>180</v>
      </c>
      <c r="E69" t="s">
        <v>16</v>
      </c>
      <c r="F69">
        <v>1.5</v>
      </c>
      <c r="G69">
        <v>1.5</v>
      </c>
      <c r="H69">
        <v>1.5</v>
      </c>
      <c r="I69" t="s">
        <v>164</v>
      </c>
    </row>
    <row r="70" spans="2:9">
      <c r="B70" t="s">
        <v>272</v>
      </c>
      <c r="D70" t="s">
        <v>31</v>
      </c>
      <c r="E70" t="s">
        <v>16</v>
      </c>
      <c r="F70">
        <v>0.32600000000000001</v>
      </c>
      <c r="G70">
        <v>0.32600000000000001</v>
      </c>
      <c r="H70">
        <v>0.32600000000000001</v>
      </c>
      <c r="I70" t="s">
        <v>137</v>
      </c>
    </row>
    <row r="71" spans="2:9">
      <c r="B71" t="s">
        <v>272</v>
      </c>
      <c r="D71" t="s">
        <v>31</v>
      </c>
      <c r="E71" t="s">
        <v>16</v>
      </c>
      <c r="F71">
        <v>6600</v>
      </c>
      <c r="G71">
        <v>6600</v>
      </c>
      <c r="H71">
        <v>6600</v>
      </c>
      <c r="I71" t="s">
        <v>162</v>
      </c>
    </row>
    <row r="72" spans="2:9">
      <c r="B72" t="s">
        <v>272</v>
      </c>
      <c r="D72" t="s">
        <v>31</v>
      </c>
      <c r="E72" t="s">
        <v>16</v>
      </c>
      <c r="F72">
        <v>21</v>
      </c>
      <c r="G72">
        <v>21</v>
      </c>
      <c r="H72">
        <v>21</v>
      </c>
      <c r="I72" t="s">
        <v>163</v>
      </c>
    </row>
    <row r="73" spans="2:9">
      <c r="B73" t="s">
        <v>272</v>
      </c>
      <c r="D73" t="s">
        <v>31</v>
      </c>
      <c r="E73" t="s">
        <v>16</v>
      </c>
      <c r="F73">
        <v>60</v>
      </c>
      <c r="G73">
        <v>60</v>
      </c>
      <c r="H73">
        <v>60</v>
      </c>
      <c r="I73" t="s">
        <v>52</v>
      </c>
    </row>
    <row r="74" spans="2:9">
      <c r="B74" t="s">
        <v>272</v>
      </c>
      <c r="D74" t="s">
        <v>31</v>
      </c>
      <c r="E74" t="s">
        <v>16</v>
      </c>
      <c r="F74">
        <v>0.92</v>
      </c>
      <c r="G74">
        <v>0.92</v>
      </c>
      <c r="H74">
        <v>0.92</v>
      </c>
      <c r="I74" t="s">
        <v>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2026-05-28T13:54:40Z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