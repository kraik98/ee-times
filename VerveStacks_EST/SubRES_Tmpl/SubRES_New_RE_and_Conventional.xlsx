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78D74D7-47A2-41E6-8EE4-EAAC0CA091E9}" xr6:coauthVersionLast="47" xr6:coauthVersionMax="47" xr10:uidLastSave="{00000000-0000-0000-0000-000000000000}"/>
  <bookViews>
    <workbookView xWindow="-10350" yWindow="11010" windowWidth="19180" windowHeight="1126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ELC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N26" i="12"/>
  <c r="J17" i="7" l="1"/>
  <c r="J16" i="7"/>
  <c r="J14" i="7"/>
  <c r="J11" i="7"/>
  <c r="X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X16" i="7"/>
  <c r="X15" i="7"/>
  <c r="X10" i="7"/>
  <c r="X14" i="7"/>
  <c r="X12" i="7"/>
  <c r="X11" i="7"/>
  <c r="X9" i="7"/>
  <c r="X8" i="7"/>
  <c r="X13" i="7"/>
  <c r="J8" i="7"/>
  <c r="J6" i="7"/>
  <c r="J5" i="7"/>
  <c r="J4" i="7"/>
</calcChain>
</file>

<file path=xl/sharedStrings.xml><?xml version="1.0" encoding="utf-8"?>
<sst xmlns="http://schemas.openxmlformats.org/spreadsheetml/2006/main" count="1031" uniqueCount="302">
  <si>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</si>
  <si>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</si>
  <si>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</si>
  <si>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</si>
  <si>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</si>
  <si>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</si>
  <si>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</si>
  <si>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</si>
  <si>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</si>
  <si>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</si>
  <si>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</si>
  <si>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</si>
  <si>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</si>
  <si>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</si>
  <si>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</si>
  <si>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</si>
  <si>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</si>
  <si>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</si>
  <si>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</si>
  <si>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</si>
  <si>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</si>
  <si>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</si>
  <si>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</si>
  <si>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</si>
  <si>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</si>
  <si>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</si>
  <si>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</si>
  <si>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</si>
  <si>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</si>
  <si>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</si>
  <si>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</si>
  <si>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</si>
  <si>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</si>
  <si>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</si>
  <si>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</si>
  <si>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</si>
  <si>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</si>
  <si>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</si>
  <si>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</si>
  <si>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</si>
  <si>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</si>
  <si>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</si>
  <si>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</si>
  <si>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</si>
  <si>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</si>
  <si>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</si>
  <si>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</si>
  <si>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</si>
  <si>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</si>
  <si>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</si>
  <si>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</si>
  <si>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</si>
  <si>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</si>
  <si>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</si>
  <si>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</si>
  <si>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</si>
  <si>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</si>
  <si>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</si>
  <si>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</si>
  <si>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</si>
  <si>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</si>
  <si>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</si>
  <si>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</si>
  <si>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</si>
  <si>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</si>
  <si>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</si>
  <si>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</si>
  <si>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</si>
  <si>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</si>
  <si>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</si>
  <si>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</si>
  <si>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</si>
  <si>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</si>
  <si>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</si>
  <si>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</si>
  <si>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</si>
  <si>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</si>
  <si>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</si>
  <si>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</si>
  <si>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</si>
  <si>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</si>
  <si>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</si>
  <si>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</si>
  <si>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</si>
  <si>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</si>
  <si>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</si>
  <si>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</si>
  <si>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</si>
  <si>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</si>
  <si>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</si>
  <si>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</si>
  <si>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</si>
  <si>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</si>
  <si>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</si>
  <si>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</si>
  <si>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</si>
  <si>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</si>
  <si>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</si>
  <si>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</si>
  <si>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</si>
  <si>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</si>
  <si>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</si>
  <si>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</si>
  <si>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</si>
  <si>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</si>
  <si>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</si>
  <si>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</si>
  <si>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</si>
  <si>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</si>
  <si>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</si>
  <si>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</si>
  <si>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</si>
  <si>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</si>
  <si>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</si>
  <si>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</si>
  <si>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</si>
  <si>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</si>
  <si>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</si>
  <si>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</si>
  <si>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</si>
  <si>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</si>
  <si>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</si>
  <si>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</si>
  <si>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</si>
  <si>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</si>
  <si>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</si>
  <si>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</si>
  <si>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</si>
  <si>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</si>
  <si>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</si>
  <si>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</si>
  <si>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</si>
  <si>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</si>
  <si>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</si>
  <si>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</si>
  <si>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</si>
  <si>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</si>
  <si>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</si>
  <si>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</si>
  <si>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</si>
  <si>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</si>
  <si>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</si>
  <si>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</si>
  <si>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</si>
  <si>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</si>
  <si>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</si>
  <si>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</si>
  <si>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</si>
  <si>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</si>
  <si>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</si>
  <si>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</si>
  <si>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</si>
  <si>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</si>
  <si>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</si>
  <si>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</si>
  <si>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</si>
  <si>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</si>
  <si>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</si>
  <si>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</si>
  <si>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</si>
  <si>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</si>
  <si>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</si>
  <si>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</si>
  <si>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</si>
  <si>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</si>
  <si>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</si>
  <si>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</si>
  <si>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</si>
  <si>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</si>
  <si>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</si>
  <si>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</si>
  <si>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</si>
  <si>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</si>
  <si>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</si>
  <si>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</si>
  <si>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</si>
  <si>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</si>
  <si>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</si>
  <si>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</si>
  <si>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</si>
  <si>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</si>
  <si>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</si>
  <si>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</si>
  <si>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</si>
  <si>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</si>
  <si>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</si>
  <si>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</si>
  <si>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</si>
  <si>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</si>
  <si>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</si>
  <si>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</si>
  <si>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</si>
  <si>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</si>
  <si>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</si>
  <si>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</si>
  <si>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</si>
  <si>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</si>
  <si>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</si>
  <si>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</si>
  <si>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</si>
  <si>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</si>
  <si>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</si>
  <si>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</si>
  <si>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</si>
  <si>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</si>
  <si>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</si>
  <si>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</si>
  <si>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</si>
  <si>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</si>
  <si>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</si>
  <si>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</si>
  <si>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</si>
  <si>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</si>
  <si>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</si>
  <si>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</si>
  <si>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</si>
  <si>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</si>
  <si>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</si>
  <si>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</si>
  <si>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</si>
  <si>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</si>
  <si>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</si>
  <si>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</si>
  <si>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</si>
  <si>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</si>
  <si>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</si>
  <si>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</si>
  <si>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</si>
  <si>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</si>
  <si>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</si>
  <si>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</si>
  <si>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</si>
  <si>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</si>
  <si>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</si>
  <si>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</si>
  <si>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</si>
  <si>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</si>
  <si>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</si>
  <si>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</si>
  <si>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</si>
  <si>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</si>
  <si>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</si>
  <si>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</si>
  <si>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</si>
  <si>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</si>
  <si>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</si>
  <si>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</si>
  <si>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</si>
  <si>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</si>
  <si>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</si>
  <si>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</si>
  <si>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</si>
  <si>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</si>
  <si>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</si>
  <si>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</si>
  <si>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</si>
  <si>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</si>
  <si>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</si>
  <si>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</si>
  <si>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</si>
  <si>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</si>
  <si>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</si>
  <si>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</si>
  <si>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</si>
  <si>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</si>
  <si>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</si>
  <si>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</si>
  <si>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</si>
  <si>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</si>
  <si>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</si>
  <si>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</si>
  <si>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</si>
  <si>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</si>
  <si>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</si>
  <si>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</si>
  <si>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</si>
  <si>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</si>
  <si>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</si>
  <si>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</si>
  <si>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</si>
  <si>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</si>
  <si>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</si>
  <si>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</si>
  <si>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</si>
  <si>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</si>
  <si>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</si>
  <si>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</si>
  <si>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</si>
  <si>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</si>
  <si>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</si>
  <si>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</si>
  <si>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</si>
  <si>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</si>
  <si>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</si>
  <si>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</si>
  <si>
    <t>Enefit PP</t>
  </si>
  <si>
    <t>act_cost</t>
  </si>
  <si>
    <t>ncap_tlife</t>
  </si>
  <si>
    <t>ncap_af~fx</t>
  </si>
  <si>
    <t>en_a_coal_cfb_enefit</t>
  </si>
  <si>
    <t>ncap_pasti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</si>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</sst>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167" fontId="0" fillId="0" borderId="0" xfId="0" applyNumberForma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X19"/>
  <sheetViews>
    <sheetView tabSelected="1" topLeftCell="D1" zoomScale="80" workbookViewId="0">
      <selection activeCell="T11" sqref="T11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4" ht="15.75" thickBot="1">
      <c r="B2" s="2" t="s">
        <v>0</v>
      </c>
      <c r="L2" s="2" t="s">
        <v>98</v>
      </c>
      <c r="N2" s="1"/>
      <c r="O2" s="1"/>
      <c r="P2" s="1"/>
      <c r="Q2" s="1"/>
    </row>
    <row r="3" spans="2:24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4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4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4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4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4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P8" s="1"/>
      <c r="V8" s="1">
        <v>2</v>
      </c>
      <c r="X8" s="1">
        <f>V8*3.6</f>
        <v>7.2</v>
      </c>
    </row>
    <row r="9" spans="2:24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P9" s="1"/>
      <c r="V9" s="1">
        <v>5</v>
      </c>
      <c r="X9" s="1">
        <f>V9*3.6</f>
        <v>18</v>
      </c>
    </row>
    <row r="10" spans="2:24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P10" s="1"/>
      <c r="V10">
        <v>10</v>
      </c>
      <c r="X10" s="1">
        <f>V10*3.6</f>
        <v>36</v>
      </c>
    </row>
    <row r="11" spans="2:24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P11" s="1"/>
      <c r="V11">
        <v>0.1</v>
      </c>
      <c r="X11" s="1">
        <f>V11*3.6</f>
        <v>0.36000000000000004</v>
      </c>
    </row>
    <row r="12" spans="2:24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P12" s="1"/>
      <c r="V12">
        <v>0.1</v>
      </c>
      <c r="X12" s="1">
        <f>V12*3.6</f>
        <v>0.36000000000000004</v>
      </c>
    </row>
    <row r="13" spans="2:24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P13" s="1"/>
      <c r="V13" s="1">
        <v>6</v>
      </c>
      <c r="X13" s="1">
        <f>V13*3.6</f>
        <v>21.6</v>
      </c>
    </row>
    <row r="14" spans="2:24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P14" s="1"/>
      <c r="V14">
        <v>0.1</v>
      </c>
      <c r="X14" s="1">
        <f>V14*3.6</f>
        <v>0.36000000000000004</v>
      </c>
    </row>
    <row r="15" spans="2:24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P15" s="1"/>
      <c r="V15">
        <v>0.1</v>
      </c>
      <c r="X15" s="1">
        <f>V15*3.6</f>
        <v>0.36000000000000004</v>
      </c>
    </row>
    <row r="16" spans="2:24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P16" s="1"/>
      <c r="V16">
        <v>0.1</v>
      </c>
      <c r="X16" s="1">
        <f>V16*3.6</f>
        <v>0.36000000000000004</v>
      </c>
    </row>
    <row r="17" spans="2:24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P17" s="1"/>
      <c r="V17">
        <v>0.1</v>
      </c>
      <c r="X17" s="1">
        <f>V17*3.6</f>
        <v>0.36000000000000004</v>
      </c>
    </row>
    <row r="18" spans="2:24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4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9" t="s">
        <v>105</v>
      </c>
      <c r="D1" s="149"/>
      <c r="E1" s="149"/>
      <c r="F1" s="150" t="s">
        <v>106</v>
      </c>
      <c r="G1" s="149"/>
      <c r="H1" s="151"/>
      <c r="I1" s="149" t="s">
        <v>107</v>
      </c>
      <c r="J1" s="149"/>
      <c r="K1" s="149"/>
      <c r="L1" s="149"/>
      <c r="M1" s="149"/>
      <c r="N1" s="149"/>
      <c r="O1" s="152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3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3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4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5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25" workbookViewId="0">
      <selection activeCell="B56" sqref="B56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0A14-8E9E-4284-B5A6-1C3FDCD546BB}">
  <dimension ref="A3:U5"/>
  <sheetViews>
    <sheetView workbookViewId="0">
      <selection activeCell="J7" sqref="H7:J7"/>
    </sheetView>
  </sheetViews>
  <sheetFormatPr defaultRowHeight="15"/>
  <cols>
    <col min="5" max="5" width="10.42578125" bestFit="1" customWidth="1"/>
    <col min="12" max="12" width="16.5703125" bestFit="1" customWidth="1"/>
  </cols>
  <sheetData>
    <row r="3" spans="1:21">
      <c r="A3" t="s">
        <v>189</v>
      </c>
      <c r="O3" t="s">
        <v>158</v>
      </c>
    </row>
    <row r="4" spans="1:21">
      <c r="A4" t="s">
        <v>160</v>
      </c>
      <c r="B4" t="s">
        <v>263</v>
      </c>
      <c r="C4" t="s">
        <v>190</v>
      </c>
      <c r="D4" t="s">
        <v>301</v>
      </c>
      <c r="E4" t="s">
        <v>300</v>
      </c>
      <c r="F4" t="s">
        <v>141</v>
      </c>
      <c r="G4" t="s">
        <v>266</v>
      </c>
      <c r="H4" t="s">
        <v>267</v>
      </c>
      <c r="I4" t="s">
        <v>296</v>
      </c>
      <c r="J4" t="s">
        <v>297</v>
      </c>
      <c r="K4" t="s">
        <v>298</v>
      </c>
      <c r="O4" t="s">
        <v>159</v>
      </c>
      <c r="P4" t="s">
        <v>160</v>
      </c>
      <c r="Q4" t="s">
        <v>161</v>
      </c>
      <c r="R4" t="s">
        <v>162</v>
      </c>
      <c r="S4" t="s">
        <v>163</v>
      </c>
      <c r="T4" t="s">
        <v>164</v>
      </c>
      <c r="U4" t="s">
        <v>165</v>
      </c>
    </row>
    <row r="5" spans="1:21">
      <c r="A5" t="s">
        <v>299</v>
      </c>
      <c r="B5" t="s">
        <v>30</v>
      </c>
      <c r="C5" t="s">
        <v>19</v>
      </c>
      <c r="D5">
        <v>2025</v>
      </c>
      <c r="E5">
        <v>0.01</v>
      </c>
      <c r="F5">
        <v>0.33</v>
      </c>
      <c r="G5">
        <v>4812</v>
      </c>
      <c r="H5" s="148">
        <v>63</v>
      </c>
      <c r="I5">
        <v>4.1005000000000003</v>
      </c>
      <c r="J5">
        <v>40</v>
      </c>
      <c r="O5" t="s">
        <v>166</v>
      </c>
      <c r="P5" t="s">
        <v>299</v>
      </c>
      <c r="Q5" t="s">
        <v>295</v>
      </c>
      <c r="R5" t="s">
        <v>10</v>
      </c>
      <c r="S5" t="s">
        <v>21</v>
      </c>
      <c r="T5" t="s">
        <v>169</v>
      </c>
      <c r="U5" t="s">
        <v>287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ELC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2026-03-06T12:35:04Z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