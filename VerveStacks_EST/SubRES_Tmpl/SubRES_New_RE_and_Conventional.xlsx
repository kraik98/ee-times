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C89D8AD-73AF-4069-A0E9-1D91DD1B0993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9" l="1"/>
  <c r="O64" i="9"/>
  <c r="Q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<sst xmlns="http://schemas.openxmlformats.org/spreadsheetml/2006/main" count="1099" uniqueCount="340">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</sst>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  <xf numFmtId="0" fontId="0" fillId="0" borderId="15" xfId="0" applyBorder="1"/>
    <xf numFmtId="0" fontId="4" fillId="17" borderId="0" xfId="11" applyFont="1" applyFill="1" applyBorder="1" applyAlignment="1">
      <alignment horizontal="center" vertical="center" wrapText="1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5:X110"/>
  <sheetViews>
    <sheetView tabSelected="1" topLeftCell="J6" zoomScale="74" workbookViewId="0">
      <selection activeCell="R16" sqref="R16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2">
      <c r="F5" s="170" t="s">
        <v>311</v>
      </c>
    </row>
    <row r="6" spans="2:22" ht="38.25">
      <c r="B6" s="154" t="s">
        <v>1</v>
      </c>
      <c r="C6" s="154" t="s">
        <v>306</v>
      </c>
      <c r="D6" s="154" t="s">
        <v>22</v>
      </c>
      <c r="E6" s="154" t="s">
        <v>2</v>
      </c>
      <c r="F6" s="154" t="s">
        <v>3</v>
      </c>
      <c r="G6" s="169" t="s">
        <v>54</v>
      </c>
      <c r="H6" s="154" t="s">
        <v>52</v>
      </c>
      <c r="I6" s="155" t="s">
        <v>323</v>
      </c>
      <c r="J6" s="155" t="s">
        <v>55</v>
      </c>
      <c r="K6" s="155" t="s">
        <v>84</v>
      </c>
      <c r="L6" s="155" t="s">
        <v>333</v>
      </c>
      <c r="M6" s="155" t="s">
        <v>334</v>
      </c>
      <c r="N6" s="155" t="s">
        <v>335</v>
      </c>
      <c r="O6" s="155" t="s">
        <v>336</v>
      </c>
      <c r="P6" s="155" t="s">
        <v>324</v>
      </c>
      <c r="Q6" s="155" t="s">
        <v>65</v>
      </c>
      <c r="R6" s="155" t="s">
        <v>325</v>
      </c>
      <c r="S6" s="155" t="s">
        <v>137</v>
      </c>
      <c r="T6" s="155" t="s">
        <v>326</v>
      </c>
      <c r="U6" s="155" t="s">
        <v>327</v>
      </c>
      <c r="V6" s="171" t="s">
        <v>62</v>
      </c>
    </row>
    <row r="7" spans="2:22" ht="39" thickBot="1">
      <c r="B7" s="156" t="s">
        <v>307</v>
      </c>
      <c r="C7" s="156" t="s">
        <v>302</v>
      </c>
      <c r="D7" s="156" t="s">
        <v>22</v>
      </c>
      <c r="E7" s="156" t="s">
        <v>308</v>
      </c>
      <c r="F7" s="156" t="s">
        <v>309</v>
      </c>
      <c r="G7" s="156" t="s">
        <v>337</v>
      </c>
      <c r="H7" s="156" t="s">
        <v>310</v>
      </c>
      <c r="I7" s="157"/>
      <c r="J7" s="157" t="s">
        <v>328</v>
      </c>
      <c r="K7" s="157" t="s">
        <v>329</v>
      </c>
      <c r="L7" s="157"/>
      <c r="M7" s="157"/>
      <c r="N7" s="157"/>
      <c r="O7" s="157"/>
      <c r="P7" s="157" t="s">
        <v>330</v>
      </c>
      <c r="Q7" s="157" t="s">
        <v>330</v>
      </c>
      <c r="R7" s="157"/>
      <c r="S7" s="157"/>
      <c r="T7" s="157" t="s">
        <v>331</v>
      </c>
      <c r="U7" s="157" t="s">
        <v>332</v>
      </c>
    </row>
    <row r="8" spans="2:22">
      <c r="B8" t="s">
        <v>338</v>
      </c>
      <c r="E8" t="s">
        <v>318</v>
      </c>
      <c r="F8" t="s">
        <v>19</v>
      </c>
      <c r="G8" t="s">
        <v>47</v>
      </c>
      <c r="I8">
        <v>2026</v>
      </c>
      <c r="J8">
        <v>16</v>
      </c>
      <c r="K8">
        <v>0.91930000000000001</v>
      </c>
      <c r="L8">
        <v>1025</v>
      </c>
      <c r="M8">
        <v>1025</v>
      </c>
      <c r="N8">
        <v>1025</v>
      </c>
      <c r="O8">
        <v>1025</v>
      </c>
      <c r="P8">
        <v>1025</v>
      </c>
      <c r="Q8">
        <f>P8*(2.095/100)</f>
        <v>21.473750000000003</v>
      </c>
      <c r="S8">
        <v>8.76</v>
      </c>
    </row>
    <row r="9" spans="2:22">
      <c r="B9" t="s">
        <v>338</v>
      </c>
      <c r="D9" t="s">
        <v>19</v>
      </c>
      <c r="H9" t="s">
        <v>63</v>
      </c>
      <c r="K9" s="165"/>
      <c r="V9">
        <f>2/24</f>
        <v>8.3333333333333329E-2</v>
      </c>
    </row>
    <row r="10" spans="2:22">
      <c r="B10" t="s">
        <v>338</v>
      </c>
      <c r="D10" t="s">
        <v>24</v>
      </c>
      <c r="J10" s="165"/>
      <c r="V10">
        <v>1</v>
      </c>
    </row>
    <row r="11" spans="2:22">
      <c r="J11" s="165"/>
      <c r="K11" s="165"/>
      <c r="L11" s="165"/>
      <c r="M11" s="165"/>
    </row>
    <row r="12" spans="2:22">
      <c r="J12" s="165"/>
      <c r="K12" s="165"/>
      <c r="L12" s="165"/>
      <c r="M12" s="165"/>
    </row>
    <row r="13" spans="2:22">
      <c r="J13" s="165"/>
      <c r="K13" s="165"/>
      <c r="L13" s="165"/>
      <c r="M13" s="165"/>
    </row>
    <row r="14" spans="2:22">
      <c r="B14" s="158" t="s">
        <v>0</v>
      </c>
      <c r="C14" s="158"/>
      <c r="D14" s="163"/>
      <c r="E14" s="163"/>
      <c r="F14" s="163"/>
      <c r="G14" s="163"/>
      <c r="H14" s="163"/>
      <c r="I14" s="163"/>
      <c r="J14" s="165"/>
      <c r="K14" s="165"/>
      <c r="L14" s="165"/>
      <c r="M14" s="165"/>
    </row>
    <row r="15" spans="2:22">
      <c r="B15" s="167" t="s">
        <v>6</v>
      </c>
      <c r="C15" s="167" t="s">
        <v>1</v>
      </c>
      <c r="D15" s="167" t="s">
        <v>7</v>
      </c>
      <c r="E15" s="167" t="s">
        <v>49</v>
      </c>
      <c r="F15" s="167" t="s">
        <v>50</v>
      </c>
      <c r="G15" s="167" t="s">
        <v>11</v>
      </c>
      <c r="H15" s="167" t="s">
        <v>88</v>
      </c>
      <c r="I15" s="167" t="s">
        <v>89</v>
      </c>
      <c r="J15" s="165"/>
      <c r="K15" s="165"/>
      <c r="L15" s="165"/>
      <c r="M15" s="165"/>
    </row>
    <row r="16" spans="2:22" ht="39" thickBot="1">
      <c r="B16" s="168" t="s">
        <v>300</v>
      </c>
      <c r="C16" s="168" t="s">
        <v>301</v>
      </c>
      <c r="D16" s="168" t="s">
        <v>302</v>
      </c>
      <c r="E16" s="168" t="s">
        <v>303</v>
      </c>
      <c r="F16" s="168" t="s">
        <v>304</v>
      </c>
      <c r="G16" s="168" t="s">
        <v>320</v>
      </c>
      <c r="H16" s="168" t="s">
        <v>321</v>
      </c>
      <c r="I16" s="168" t="s">
        <v>305</v>
      </c>
      <c r="J16" s="165"/>
      <c r="K16" s="165"/>
      <c r="L16" s="165"/>
      <c r="M16" s="165"/>
    </row>
    <row r="17" spans="1:13">
      <c r="B17" t="s">
        <v>322</v>
      </c>
      <c r="C17" t="s">
        <v>338</v>
      </c>
      <c r="D17" t="s">
        <v>339</v>
      </c>
      <c r="E17" t="s">
        <v>21</v>
      </c>
      <c r="F17" t="s">
        <v>10</v>
      </c>
      <c r="G17" t="s">
        <v>14</v>
      </c>
      <c r="J17" s="165"/>
      <c r="K17" s="165"/>
      <c r="L17" s="165"/>
      <c r="M17" s="165"/>
    </row>
    <row r="18" spans="1:13">
      <c r="B18" s="166"/>
      <c r="C18" s="166"/>
      <c r="D18" s="166"/>
      <c r="E18" s="166"/>
      <c r="F18" s="166"/>
      <c r="G18" s="166"/>
      <c r="H18" s="166"/>
      <c r="I18" s="166"/>
      <c r="J18" s="165"/>
    </row>
    <row r="19" spans="1:13">
      <c r="B19" s="166"/>
      <c r="C19" s="166"/>
      <c r="D19" s="166"/>
      <c r="E19" s="166"/>
      <c r="F19" s="166"/>
      <c r="G19" s="166"/>
      <c r="H19" s="166"/>
      <c r="I19" s="166"/>
      <c r="J19" s="165"/>
    </row>
    <row r="20" spans="1:13">
      <c r="B20" s="166"/>
      <c r="C20" s="166"/>
      <c r="D20" s="166"/>
      <c r="E20" s="166"/>
      <c r="F20" s="166"/>
      <c r="G20" s="166"/>
      <c r="H20" s="166"/>
      <c r="I20" s="166"/>
      <c r="J20" s="165"/>
    </row>
    <row r="21" spans="1:13">
      <c r="A21" s="165"/>
      <c r="B21" s="166"/>
      <c r="C21" s="166"/>
      <c r="D21" s="166"/>
      <c r="E21" s="166"/>
      <c r="F21" s="166"/>
      <c r="G21" s="166"/>
      <c r="H21" s="166"/>
      <c r="I21" s="166"/>
      <c r="J21" s="165"/>
    </row>
    <row r="22" spans="1:13">
      <c r="A22" s="165"/>
      <c r="B22" s="166"/>
      <c r="C22" s="166"/>
      <c r="D22" s="166"/>
      <c r="E22" s="166"/>
      <c r="F22" s="166"/>
      <c r="G22" s="166"/>
      <c r="H22" s="166"/>
      <c r="I22" s="166"/>
      <c r="J22" s="165"/>
    </row>
    <row r="23" spans="1:13">
      <c r="A23" s="165"/>
      <c r="B23" s="165"/>
      <c r="C23" s="165"/>
      <c r="D23" s="165"/>
      <c r="E23" s="165"/>
      <c r="F23" s="165"/>
      <c r="G23" s="165"/>
      <c r="H23" s="165"/>
      <c r="I23" s="165"/>
      <c r="J23" s="165"/>
    </row>
    <row r="24" spans="1:13">
      <c r="A24" s="165"/>
      <c r="B24" s="158" t="s">
        <v>218</v>
      </c>
      <c r="C24" s="159"/>
      <c r="D24" s="159"/>
      <c r="E24" s="159"/>
      <c r="F24" s="159"/>
      <c r="G24" s="159"/>
      <c r="H24" s="159"/>
      <c r="I24" s="159"/>
      <c r="J24" s="165"/>
    </row>
    <row r="25" spans="1:13">
      <c r="A25" s="165"/>
      <c r="B25" s="160" t="s">
        <v>36</v>
      </c>
      <c r="C25" s="160" t="s">
        <v>37</v>
      </c>
      <c r="D25" s="160" t="s">
        <v>38</v>
      </c>
      <c r="E25" s="161" t="s">
        <v>23</v>
      </c>
      <c r="F25" s="161" t="s">
        <v>39</v>
      </c>
      <c r="G25" s="161" t="s">
        <v>40</v>
      </c>
      <c r="H25" s="161" t="s">
        <v>41</v>
      </c>
      <c r="I25" s="161" t="s">
        <v>42</v>
      </c>
      <c r="J25" s="165"/>
    </row>
    <row r="26" spans="1:13" ht="39" thickBot="1">
      <c r="A26" s="165"/>
      <c r="B26" s="162" t="s">
        <v>295</v>
      </c>
      <c r="C26" s="162" t="s">
        <v>296</v>
      </c>
      <c r="D26" s="162" t="s">
        <v>297</v>
      </c>
      <c r="E26" s="162" t="s">
        <v>23</v>
      </c>
      <c r="F26" s="162" t="s">
        <v>315</v>
      </c>
      <c r="G26" s="162" t="s">
        <v>316</v>
      </c>
      <c r="H26" s="162" t="s">
        <v>298</v>
      </c>
      <c r="I26" s="162" t="s">
        <v>299</v>
      </c>
      <c r="J26" s="165"/>
    </row>
    <row r="27" spans="1:13">
      <c r="A27" s="165"/>
      <c r="B27" s="166" t="s">
        <v>24</v>
      </c>
      <c r="C27" s="3" t="s">
        <v>47</v>
      </c>
      <c r="D27" s="3" t="s">
        <v>48</v>
      </c>
      <c r="E27" s="166" t="s">
        <v>21</v>
      </c>
      <c r="F27" s="166" t="s">
        <v>317</v>
      </c>
      <c r="G27" s="166" t="s">
        <v>14</v>
      </c>
      <c r="H27" s="166"/>
      <c r="I27" s="166"/>
      <c r="J27" s="165"/>
    </row>
    <row r="28" spans="1:13">
      <c r="A28" s="165"/>
      <c r="B28" s="164" t="s">
        <v>24</v>
      </c>
      <c r="C28" s="164" t="s">
        <v>318</v>
      </c>
      <c r="D28" s="164" t="s">
        <v>319</v>
      </c>
      <c r="E28" s="164" t="s">
        <v>21</v>
      </c>
      <c r="F28" s="164"/>
      <c r="G28" s="164" t="s">
        <v>14</v>
      </c>
      <c r="H28" s="164"/>
      <c r="I28" s="164"/>
      <c r="J28" s="165"/>
    </row>
    <row r="29" spans="1:13">
      <c r="A29" s="165"/>
      <c r="B29" s="166"/>
      <c r="C29" s="166"/>
      <c r="D29" s="166"/>
      <c r="E29" s="166"/>
      <c r="F29" s="166"/>
      <c r="G29" s="166"/>
      <c r="H29" s="166"/>
      <c r="I29" s="166"/>
    </row>
    <row r="30" spans="1:13">
      <c r="A30" s="165"/>
      <c r="B30" s="165"/>
      <c r="C30" s="165"/>
      <c r="D30" s="165"/>
      <c r="E30" s="165"/>
      <c r="F30" s="165"/>
      <c r="G30" s="165"/>
      <c r="H30" s="165"/>
      <c r="I30" s="165"/>
    </row>
    <row r="31" spans="1:13">
      <c r="A31" s="165"/>
    </row>
    <row r="32" spans="1:13">
      <c r="A32" s="165"/>
    </row>
    <row r="33" spans="1:1">
      <c r="A33" s="165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53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2026-04-30T09:45:05Z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