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F2D4BA7B-5981-4C53-B76D-3FD69358EA16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new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2" l="1"/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<sst xmlns="http://schemas.openxmlformats.org/spreadsheetml/2006/main" count="1030" uniqueCount="301">
  <si>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</si>
  <si>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</si>
  <si>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</si>
  <si>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</si>
  <si>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</si>
  <si>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</si>
  <si>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</si>
  <si>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</si>
  <si>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</si>
  <si>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</si>
  <si>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</si>
  <si>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</si>
  <si>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</si>
  <si>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</si>
  <si>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</si>
  <si>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</si>
  <si>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</si>
  <si>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</si>
  <si>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</si>
  <si>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</si>
  <si>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</si>
  <si>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</si>
  <si>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</si>
  <si>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</si>
  <si>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</si>
  <si>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</si>
  <si>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</si>
  <si>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</si>
  <si>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</si>
  <si>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</si>
  <si>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</si>
  <si>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</si>
  <si>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</si>
  <si>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</si>
  <si>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</si>
  <si>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</si>
  <si>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</si>
  <si>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</si>
  <si>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</si>
  <si>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</si>
  <si>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</si>
  <si>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</si>
  <si>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</si>
  <si>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</si>
  <si>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</si>
  <si>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</si>
  <si>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</si>
  <si>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</si>
  <si>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</si>
  <si>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</si>
  <si>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</si>
  <si>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</si>
  <si>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</si>
  <si>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</si>
  <si>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</si>
  <si>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</si>
  <si>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</si>
  <si>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</si>
  <si>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</si>
  <si>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</si>
  <si>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</si>
  <si>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</si>
  <si>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</si>
  <si>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</si>
  <si>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</si>
  <si>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</si>
  <si>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</si>
  <si>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</si>
  <si>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</si>
  <si>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</si>
  <si>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</si>
  <si>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</si>
  <si>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</si>
  <si>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</si>
  <si>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</si>
  <si>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</si>
  <si>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</si>
  <si>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</si>
  <si>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</si>
  <si>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</si>
  <si>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</si>
  <si>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</si>
  <si>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</si>
  <si>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</si>
  <si>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</si>
  <si>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</si>
  <si>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</si>
  <si>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</si>
  <si>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</si>
  <si>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</si>
  <si>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</si>
  <si>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</si>
  <si>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</si>
  <si>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</si>
  <si>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</si>
  <si>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</si>
  <si>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</si>
  <si>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</si>
  <si>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</si>
  <si>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</si>
  <si>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</si>
  <si>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</si>
  <si>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</si>
  <si>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</si>
  <si>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</si>
  <si>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</si>
  <si>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</si>
  <si>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</si>
  <si>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</si>
  <si>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</si>
  <si>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</si>
  <si>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</si>
  <si>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</si>
  <si>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</si>
  <si>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</si>
  <si>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</si>
  <si>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</si>
  <si>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</si>
  <si>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</si>
  <si>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</si>
  <si>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</si>
  <si>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</si>
  <si>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</si>
  <si>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</si>
  <si>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</si>
  <si>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</si>
  <si>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</si>
  <si>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</si>
  <si>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</si>
  <si>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</si>
  <si>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</si>
  <si>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</si>
  <si>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</si>
  <si>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</si>
  <si>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</si>
  <si>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</si>
  <si>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</si>
  <si>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</si>
  <si>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</si>
  <si>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</si>
  <si>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</si>
  <si>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</si>
  <si>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</si>
  <si>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</si>
  <si>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</si>
  <si>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</si>
  <si>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</si>
  <si>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</si>
  <si>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</si>
  <si>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</si>
  <si>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</si>
  <si>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</si>
  <si>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</si>
  <si>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</si>
  <si>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</si>
  <si>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</si>
  <si>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</si>
  <si>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</si>
  <si>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</si>
  <si>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</si>
  <si>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</si>
  <si>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</si>
  <si>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</si>
  <si>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</si>
  <si>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</si>
  <si>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</si>
  <si>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</si>
  <si>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</si>
  <si>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</si>
  <si>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</si>
  <si>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</si>
  <si>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</si>
  <si>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</si>
  <si>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</si>
  <si>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</si>
  <si>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</si>
  <si>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</si>
  <si>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</si>
  <si>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</si>
  <si>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</si>
  <si>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</si>
  <si>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</si>
  <si>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</si>
  <si>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</si>
  <si>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</si>
  <si>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</si>
  <si>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</si>
  <si>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</si>
  <si>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</si>
  <si>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</si>
  <si>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</si>
  <si>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</si>
  <si>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</si>
  <si>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</si>
  <si>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</si>
  <si>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</si>
  <si>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</si>
  <si>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</si>
  <si>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</si>
  <si>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</si>
  <si>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</si>
  <si>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</si>
  <si>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</si>
  <si>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</si>
  <si>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</si>
  <si>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</si>
  <si>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</si>
  <si>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</si>
  <si>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</si>
  <si>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</si>
  <si>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</si>
  <si>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</si>
  <si>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</si>
  <si>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</si>
  <si>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</si>
  <si>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</si>
  <si>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</si>
  <si>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</si>
  <si>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</si>
  <si>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</si>
  <si>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</si>
  <si>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</si>
  <si>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</si>
  <si>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</si>
  <si>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</si>
  <si>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</si>
  <si>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</si>
  <si>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</si>
  <si>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</si>
  <si>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</si>
  <si>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</si>
  <si>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</si>
  <si>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</si>
  <si>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</si>
  <si>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</si>
  <si>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</si>
  <si>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</si>
  <si>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</si>
  <si>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</si>
  <si>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</si>
  <si>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</si>
  <si>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</si>
  <si>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</si>
  <si>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</si>
  <si>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</si>
  <si>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</si>
  <si>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</si>
  <si>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</si>
  <si>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</si>
  <si>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</si>
  <si>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</si>
  <si>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</si>
  <si>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</si>
  <si>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</si>
  <si>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</si>
  <si>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</si>
  <si>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</si>
  <si>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</si>
  <si>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</si>
  <si>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</si>
  <si>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</si>
  <si>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</si>
  <si>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</si>
  <si>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</si>
  <si>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</si>
  <si>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</si>
  <si>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</si>
  <si>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</si>
  <si>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</si>
  <si>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</si>
  <si>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</si>
  <si>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</si>
  <si>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</si>
  <si>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</si>
  <si>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</si>
  <si>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</si>
  <si>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</si>
  <si>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</si>
  <si>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</si>
  <si>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</si>
  <si>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</si>
  <si>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</si>
  <si>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</si>
  <si>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</si>
  <si>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</si>
  <si>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</si>
  <si>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</si>
  <si>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</si>
  <si>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</si>
  <si>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</si>
  <si>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</si>
  <si>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</si>
  <si>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</si>
  <si>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</si>
  <si>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</si>
  <si>
    <t>ep_coal_cfb_enefit</t>
  </si>
  <si>
    <t>Enefit PP</t>
  </si>
  <si>
    <t>START</t>
  </si>
  <si>
    <t>act_cost</t>
  </si>
  <si>
    <t>ncap_tlife</t>
  </si>
  <si>
    <t>ncap_af~fx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</si>
</sst>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5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  <xf numFmtId="167" fontId="0" fillId="0" borderId="0" xfId="0" applyNumberFormat="1"/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25" sqref="J25"/>
    </sheetView>
  </sheetViews>
  <sheetFormatPr defaultRowHeight="15"/>
  <cols>
    <col min="2" max="2" width="10.140625" bestFit="1" customWidth="1"/>
    <col min="3" max="3" width="18" bestFit="1" customWidth="1"/>
    <col min="4" max="4" width="8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18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t="s">
        <v>27</v>
      </c>
      <c r="C8" t="s">
        <v>94</v>
      </c>
      <c r="D8" s="1"/>
      <c r="E8" s="1" t="s">
        <v>21</v>
      </c>
      <c r="F8" t="s">
        <v>10</v>
      </c>
      <c r="G8" t="s">
        <v>18</v>
      </c>
      <c r="H8" s="1"/>
      <c r="I8" s="1"/>
      <c r="J8" s="1" t="str">
        <f>C10</f>
        <v>fossil_supply</v>
      </c>
      <c r="K8" s="1"/>
      <c r="L8" s="1" t="s">
        <v>30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93</v>
      </c>
      <c r="C9" t="s">
        <v>95</v>
      </c>
      <c r="D9" s="1"/>
      <c r="E9" s="1" t="s">
        <v>21</v>
      </c>
      <c r="F9" t="s">
        <v>10</v>
      </c>
      <c r="G9" t="s">
        <v>18</v>
      </c>
      <c r="H9" s="1"/>
      <c r="I9" s="1"/>
      <c r="K9" s="1"/>
      <c r="L9" s="1" t="s">
        <v>31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27</v>
      </c>
      <c r="C10" s="1" t="s">
        <v>147</v>
      </c>
      <c r="D10" s="1" t="s">
        <v>103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27</v>
      </c>
      <c r="C11" s="1" t="s">
        <v>149</v>
      </c>
      <c r="D11" s="1" t="s">
        <v>148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32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27</v>
      </c>
      <c r="C12" s="1" t="s">
        <v>150</v>
      </c>
      <c r="D12" s="1" t="s">
        <v>151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s="1" t="s">
        <v>152</v>
      </c>
      <c r="D13" s="1" t="s">
        <v>155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f>V13*3.6</f>
        <v>21.6</v>
      </c>
      <c r="P13" s="1"/>
      <c r="V13" s="1">
        <v>6</v>
      </c>
    </row>
    <row r="14" spans="2:22">
      <c r="B14" s="1" t="s">
        <v>27</v>
      </c>
      <c r="C14" t="s">
        <v>153</v>
      </c>
      <c r="D14" t="s">
        <v>156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34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27</v>
      </c>
      <c r="C15" t="s">
        <v>154</v>
      </c>
      <c r="D15" t="s">
        <v>157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25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145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146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5" workbookViewId="0">
      <selection activeCell="M9" sqref="M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26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8.85546875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R4" sqref="R4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4.7109375" bestFit="1" customWidth="1"/>
    <col min="10" max="10" width="1.7109375" bestFit="1" customWidth="1"/>
    <col min="11" max="11" width="6.7109375" bestFit="1" customWidth="1"/>
    <col min="12" max="12" width="14.85546875" bestFit="1" customWidth="1"/>
    <col min="13" max="13" width="3.85546875" bestFit="1" customWidth="1"/>
    <col min="14" max="14" width="6.28515625" bestFit="1" customWidth="1"/>
    <col min="15" max="15" width="8" bestFit="1" customWidth="1"/>
    <col min="16" max="16" width="4.42578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topLeftCell="A3"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9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M7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32" workbookViewId="0">
      <selection activeCell="B56" sqref="B56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30A14-8E9E-4284-B5A6-1C3FDCD546BB}">
  <dimension ref="A3:U6"/>
  <sheetViews>
    <sheetView tabSelected="1" workbookViewId="0">
      <selection activeCell="D10" sqref="D10"/>
    </sheetView>
  </sheetViews>
  <sheetFormatPr defaultRowHeight="15"/>
  <cols>
    <col min="12" max="12" width="16.5703125" bestFit="1" customWidth="1"/>
  </cols>
  <sheetData>
    <row r="3" spans="1:21">
      <c r="A3" t="s">
        <v>189</v>
      </c>
    </row>
    <row r="4" spans="1:21">
      <c r="A4" t="s">
        <v>160</v>
      </c>
      <c r="B4" t="s">
        <v>263</v>
      </c>
      <c r="C4" t="s">
        <v>190</v>
      </c>
      <c r="D4" t="s">
        <v>297</v>
      </c>
      <c r="E4" t="s">
        <v>191</v>
      </c>
      <c r="F4" t="s">
        <v>141</v>
      </c>
      <c r="G4" t="s">
        <v>266</v>
      </c>
      <c r="H4" t="s">
        <v>267</v>
      </c>
      <c r="I4" t="s">
        <v>298</v>
      </c>
      <c r="J4" t="s">
        <v>299</v>
      </c>
      <c r="K4" t="s">
        <v>300</v>
      </c>
      <c r="O4" t="s">
        <v>158</v>
      </c>
    </row>
    <row r="5" spans="1:21">
      <c r="B5" t="s">
        <v>30</v>
      </c>
      <c r="C5" t="s">
        <v>19</v>
      </c>
      <c r="D5">
        <v>2025</v>
      </c>
      <c r="E5">
        <v>0.01</v>
      </c>
      <c r="F5">
        <v>0.49</v>
      </c>
      <c r="G5">
        <v>2150</v>
      </c>
      <c r="H5" s="154">
        <v>35.053609999999999</v>
      </c>
      <c r="I5">
        <v>3.28</v>
      </c>
      <c r="J5">
        <v>40</v>
      </c>
      <c r="O5" t="s">
        <v>159</v>
      </c>
      <c r="P5" t="s">
        <v>160</v>
      </c>
      <c r="Q5" t="s">
        <v>161</v>
      </c>
      <c r="R5" t="s">
        <v>162</v>
      </c>
      <c r="S5" t="s">
        <v>163</v>
      </c>
      <c r="T5" t="s">
        <v>164</v>
      </c>
      <c r="U5" t="s">
        <v>165</v>
      </c>
    </row>
    <row r="6" spans="1:21">
      <c r="O6" t="s">
        <v>166</v>
      </c>
      <c r="P6" t="s">
        <v>295</v>
      </c>
      <c r="Q6" t="s">
        <v>296</v>
      </c>
      <c r="R6" t="s">
        <v>10</v>
      </c>
      <c r="S6" t="s">
        <v>21</v>
      </c>
      <c r="T6" t="s">
        <v>169</v>
      </c>
      <c r="U6" t="s">
        <v>287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2026-03-04T15:26:59Z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