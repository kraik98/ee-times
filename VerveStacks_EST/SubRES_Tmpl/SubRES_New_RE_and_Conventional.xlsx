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FC420796-4BDA-425F-AC36-74082A11546E}" xr6:coauthVersionLast="47" xr6:coauthVersionMax="47" xr10:uidLastSave="{00000000-0000-0000-0000-000000000000}"/>
  <bookViews>
    <workbookView xWindow="-38520" yWindow="-5220" windowWidth="38640" windowHeight="21120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9" i="9" l="1"/>
  <c r="O64" i="9"/>
  <c r="R8" i="9" l="1"/>
  <c r="O26" i="7" l="1"/>
  <c r="L12" i="13" l="1"/>
  <c r="L13" i="13"/>
  <c r="L14" i="13"/>
  <c r="L15" i="13"/>
  <c r="L16" i="13"/>
  <c r="L11" i="13"/>
  <c r="J35" i="13"/>
  <c r="H35" i="13"/>
  <c r="F35" i="13"/>
  <c r="L19" i="13"/>
  <c r="L22" i="13" l="1"/>
  <c r="C20" i="13"/>
  <c r="D20" i="13"/>
  <c r="C21" i="13"/>
  <c r="D21" i="13"/>
  <c r="C22" i="13"/>
  <c r="D22" i="13"/>
  <c r="C23" i="13"/>
  <c r="D23" i="13"/>
  <c r="C24" i="13"/>
  <c r="D24" i="13"/>
  <c r="C25" i="13"/>
  <c r="D25" i="13"/>
  <c r="J15" i="12" l="1"/>
  <c r="J16" i="12"/>
  <c r="J17" i="12"/>
  <c r="J18" i="12"/>
  <c r="J19" i="12"/>
  <c r="J20" i="12"/>
  <c r="J14" i="12"/>
  <c r="W87" i="9"/>
  <c r="O66" i="9"/>
  <c r="O67" i="9"/>
  <c r="O8" i="7" l="1"/>
  <c r="O9" i="7"/>
  <c r="O10" i="7"/>
  <c r="O25" i="7"/>
  <c r="P66" i="9"/>
  <c r="L5" i="10"/>
  <c r="J8" i="7" l="1"/>
  <c r="J10" i="7" l="1"/>
  <c r="J9" i="7"/>
  <c r="J28" i="7"/>
  <c r="J25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F8" i="10" l="1"/>
  <c r="G8" i="10"/>
  <c r="J21" i="7" l="1"/>
  <c r="J20" i="7"/>
  <c r="S5" i="10"/>
  <c r="U75" i="9"/>
  <c r="T75" i="9"/>
  <c r="S75" i="9"/>
  <c r="R75" i="9"/>
  <c r="Q75" i="9"/>
  <c r="P75" i="9"/>
  <c r="O75" i="9"/>
  <c r="U74" i="9"/>
  <c r="T74" i="9"/>
  <c r="S74" i="9"/>
  <c r="R74" i="9"/>
  <c r="Q74" i="9"/>
  <c r="P74" i="9"/>
  <c r="O74" i="9"/>
  <c r="V72" i="9"/>
  <c r="O72" i="9"/>
  <c r="W71" i="9"/>
  <c r="O71" i="9"/>
  <c r="U67" i="9"/>
  <c r="T67" i="9"/>
  <c r="S67" i="9"/>
  <c r="R67" i="9"/>
  <c r="Q67" i="9"/>
  <c r="P67" i="9"/>
  <c r="U66" i="9"/>
  <c r="T66" i="9"/>
  <c r="S66" i="9"/>
  <c r="R66" i="9"/>
  <c r="Q66" i="9"/>
  <c r="V64" i="9"/>
  <c r="W63" i="9"/>
  <c r="O63" i="9"/>
  <c r="U62" i="9"/>
  <c r="T62" i="9"/>
  <c r="S62" i="9"/>
  <c r="R62" i="9"/>
  <c r="Q62" i="9"/>
  <c r="P62" i="9"/>
  <c r="O62" i="9"/>
  <c r="J22" i="7"/>
  <c r="J6" i="7"/>
  <c r="J5" i="7"/>
  <c r="J4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tc={2C8EC3E8-B0FB-4BF6-8464-54D9666539A1}</author>
  </authors>
  <commentList>
    <comment ref="O28" authorId="0" shapeId="0" xr:uid="{2C8EC3E8-B0FB-4BF6-8464-54D9666539A1}">
      <text>
        <t>[Threaded comment]
Your version of Excel allows you to read this threaded comment; however, any edits to it will get removed if the file is opened in a newer version of Excel. Learn more: https://go.microsoft.com/fwlink/?linkid=870924
Comment:
    Fermi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</authors>
  <commentList>
    <comment ref="G15" authorId="0" shapeId="0" xr:uid="{B93353B9-48BA-4B5C-9E35-4114BA253B10}">
      <text>
        <r>
          <rPr>
            <sz val="8"/>
            <color indexed="81"/>
            <rFont val="Tahoma"/>
            <family val="2"/>
          </rPr>
          <t xml:space="preserve">Possible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15" authorId="0" shapeId="0" xr:uid="{9C100BED-E023-4E44-B9B8-ADE0DE4A77AE}">
      <text>
        <r>
          <rPr>
            <sz val="8"/>
            <color indexed="81"/>
            <rFont val="Tahoma"/>
            <family val="2"/>
          </rPr>
          <t>Possible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16" authorId="0" shapeId="0" xr:uid="{EB23CC69-A05F-482C-919D-D1CD54A90E7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NOT</t>
        </r>
        <r>
          <rPr>
            <sz val="8"/>
            <color indexed="81"/>
            <rFont val="Tahoma"/>
            <family val="2"/>
          </rPr>
          <t xml:space="preserve"> inherited. Possible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STGTSS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b/>
            <sz val="8"/>
            <color indexed="81"/>
            <rFont val="Tahoma"/>
            <family val="2"/>
          </rPr>
          <t xml:space="preserve">
RNW</t>
        </r>
        <r>
          <rPr>
            <sz val="8"/>
            <color indexed="81"/>
            <rFont val="Tahoma"/>
            <family val="2"/>
          </rPr>
          <t xml:space="preserve"> (Renewable Technology)
</t>
        </r>
        <r>
          <rPr>
            <b/>
            <sz val="8"/>
            <color indexed="81"/>
            <rFont val="Tahoma"/>
            <family val="2"/>
          </rPr>
          <t>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B25" authorId="1" shapeId="0" xr:uid="{B8976B26-3FEF-4C49-BFE3-EB780AA5515E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Possible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25" authorId="0" shapeId="0" xr:uid="{C17AC0A6-CA54-4543-A49E-2ED5EF2F2E1C}">
      <text>
        <r>
          <rPr>
            <sz val="8"/>
            <color indexed="81"/>
            <rFont val="Tahoma"/>
            <family val="2"/>
          </rPr>
          <t>Possible Lim Type</t>
        </r>
        <r>
          <rPr>
            <b/>
            <sz val="8"/>
            <color indexed="81"/>
            <rFont val="Tahoma"/>
            <family val="2"/>
          </rPr>
          <t xml:space="preserve">
UP</t>
        </r>
        <r>
          <rPr>
            <sz val="8"/>
            <color indexed="81"/>
            <rFont val="Tahoma"/>
            <family val="2"/>
          </rPr>
          <t xml:space="preserve"> (upper for &gt;=)</t>
        </r>
        <r>
          <rPr>
            <b/>
            <sz val="8"/>
            <color indexed="81"/>
            <rFont val="Tahoma"/>
            <family val="2"/>
          </rPr>
          <t xml:space="preserve">
LO</t>
        </r>
        <r>
          <rPr>
            <sz val="8"/>
            <color indexed="81"/>
            <rFont val="Tahoma"/>
            <family val="2"/>
          </rPr>
          <t xml:space="preserve"> (Lower for &lt;=)</t>
        </r>
        <r>
          <rPr>
            <b/>
            <sz val="8"/>
            <color indexed="81"/>
            <rFont val="Tahoma"/>
            <family val="2"/>
          </rPr>
          <t xml:space="preserve">
FX</t>
        </r>
        <r>
          <rPr>
            <sz val="8"/>
            <color indexed="81"/>
            <rFont val="Tahoma"/>
            <family val="2"/>
          </rPr>
          <t xml:space="preserve"> (Fix for =)</t>
        </r>
      </text>
    </comment>
    <comment ref="G25" authorId="0" shapeId="0" xr:uid="{D6515D7D-0467-4BDD-99D0-C707176212DA}">
      <text>
        <r>
          <rPr>
            <sz val="8"/>
            <color indexed="81"/>
            <rFont val="Tahoma"/>
            <family val="2"/>
          </rPr>
          <t>Possible CTSLvl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25" authorId="0" shapeId="0" xr:uid="{AE0AC209-11A4-4AE2-95D5-FB2EC1B3763F}">
      <text>
        <r>
          <rPr>
            <sz val="8"/>
            <color indexed="81"/>
            <rFont val="Tahoma"/>
            <family val="2"/>
          </rPr>
          <t>Possible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25" authorId="0" shapeId="0" xr:uid="{A6E1D2D0-422C-4B3D-8075-730754341DAE}">
      <text>
        <r>
          <rPr>
            <sz val="8"/>
            <color indexed="81"/>
            <rFont val="Tahoma"/>
            <family val="2"/>
          </rPr>
          <t xml:space="preserve">Possible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sharedStrings.xml><?xml version="1.0" encoding="utf-8"?>
<sst xmlns="http://schemas.openxmlformats.org/spreadsheetml/2006/main" count="1097" uniqueCount="341">
  <si>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</si>
  <si>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</si>
  <si>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</si>
  <si>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</si>
  <si>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</si>
  <si>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</si>
  <si>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</si>
  <si>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</si>
  <si>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</si>
  <si>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</si>
  <si>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</si>
  <si>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</si>
  <si>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</si>
  <si>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</si>
  <si>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</si>
  <si>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</si>
  <si>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</si>
  <si>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</si>
  <si>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</si>
  <si>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</si>
  <si>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</si>
  <si>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</si>
  <si>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</si>
  <si>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</si>
  <si>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</si>
  <si>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</si>
  <si>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</si>
  <si>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</si>
  <si>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</si>
  <si>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</si>
  <si>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</si>
  <si>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</si>
  <si>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</si>
  <si>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</si>
  <si>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</si>
  <si>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</si>
  <si>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</si>
  <si>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</si>
  <si>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</si>
  <si>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</si>
  <si>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</si>
  <si>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</si>
  <si>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</si>
  <si>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</si>
  <si>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</si>
  <si>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</si>
  <si>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</si>
  <si>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</si>
  <si>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</si>
  <si>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</si>
  <si>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</si>
  <si>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</si>
  <si>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</si>
  <si>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</si>
  <si>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</si>
  <si>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</si>
  <si>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</si>
  <si>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</si>
  <si>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</si>
  <si>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</si>
  <si>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</si>
  <si>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</si>
  <si>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</si>
  <si>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</si>
  <si>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</si>
  <si>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</si>
  <si>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</si>
  <si>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</si>
  <si>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</si>
  <si>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</si>
  <si>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</si>
  <si>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</si>
  <si>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</si>
  <si>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</si>
  <si>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</si>
  <si>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</si>
  <si>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</si>
  <si>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</si>
  <si>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</si>
  <si>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</si>
  <si>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</si>
  <si>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</si>
  <si>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</si>
  <si>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</si>
  <si>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</si>
  <si>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</si>
  <si>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</si>
  <si>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</si>
  <si>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</si>
  <si>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</si>
  <si>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</si>
  <si>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</si>
  <si>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</si>
  <si>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</si>
  <si>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</si>
  <si>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</si>
  <si>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</si>
  <si>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</si>
  <si>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</si>
  <si>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</si>
  <si>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</si>
  <si>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</si>
  <si>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</si>
  <si>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</si>
  <si>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</si>
  <si>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</si>
  <si>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</si>
  <si>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</si>
  <si>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</si>
  <si>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</si>
  <si>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</si>
  <si>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</si>
  <si>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</si>
  <si>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</si>
  <si>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</si>
  <si>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</si>
  <si>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</si>
  <si>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</si>
  <si>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</si>
  <si>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</si>
  <si>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</si>
  <si>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</si>
  <si>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</si>
  <si>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</si>
  <si>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</si>
  <si>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</si>
  <si>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</si>
  <si>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</si>
  <si>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</si>
  <si>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</si>
  <si>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</si>
  <si>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</si>
  <si>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</si>
  <si>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</si>
  <si>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</si>
  <si>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</si>
  <si>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</si>
  <si>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</si>
  <si>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</si>
  <si>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</si>
  <si>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</si>
  <si>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</si>
  <si>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</si>
  <si>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</si>
  <si>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</si>
  <si>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</si>
  <si>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</si>
  <si>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</si>
  <si>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</si>
  <si>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</si>
  <si>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</si>
  <si>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</si>
  <si>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</si>
  <si>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</si>
  <si>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</si>
  <si>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</si>
  <si>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</si>
  <si>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</si>
  <si>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</si>
  <si>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</si>
  <si>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</si>
  <si>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</si>
  <si>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</si>
  <si>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</si>
  <si>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</si>
  <si>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</si>
  <si>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</si>
  <si>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annual</t>
  </si>
  <si>
    <t>no</t>
  </si>
  <si>
    <t>~fi_t</t>
  </si>
  <si>
    <t>comm-out</t>
  </si>
  <si>
    <t>cap_bnd</t>
  </si>
  <si>
    <t>af~fx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</si>
  <si>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</si>
  <si>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</si>
  <si>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</si>
  <si>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</si>
  <si>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</si>
  <si>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</si>
  <si>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</si>
  <si>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</si>
  <si>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</si>
  <si>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</si>
  <si>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</si>
  <si>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elc_wof_002</t>
  </si>
  <si>
    <t>elc_wof_003</t>
  </si>
  <si>
    <t>elc_wof_004</t>
  </si>
  <si>
    <t>elc_wof_005</t>
  </si>
  <si>
    <t>elc_wof_006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</si>
  <si>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</si>
  <si>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</si>
  <si>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</si>
  <si>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</si>
  <si>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</si>
  <si>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</si>
  <si>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</si>
  <si>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</si>
  <si>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</si>
  <si>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</si>
  <si>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</si>
  <si>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</si>
  <si>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</si>
  <si>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</si>
  <si>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</si>
  <si>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</si>
  <si>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</si>
  <si>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</si>
  <si>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</si>
  <si>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</si>
  <si>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</si>
  <si>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</si>
  <si>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</si>
  <si>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</si>
  <si>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</si>
  <si>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elc_buildings,elc_industry,elc_transport,elc_commercial</t>
  </si>
  <si>
    <t>FI_Process</t>
  </si>
  <si>
    <t>FI_T: EUR15</t>
  </si>
  <si>
    <t>FI_T: FX</t>
  </si>
  <si>
    <t>~FI_Comm</t>
  </si>
  <si>
    <t>solar resource in Harju</t>
  </si>
  <si>
    <t>elc_spv_harju</t>
  </si>
  <si>
    <t>elc_spv_parnu</t>
  </si>
  <si>
    <t>solar resource in Parnu</t>
  </si>
  <si>
    <t>e_spv_parnu</t>
  </si>
  <si>
    <t>e_spv_harju</t>
  </si>
  <si>
    <t>e_spv_laane_viru</t>
  </si>
  <si>
    <t>elc_spv_laane_viru</t>
  </si>
  <si>
    <t>elc_spv_tartu</t>
  </si>
  <si>
    <t>e_spv_tartu</t>
  </si>
  <si>
    <t>e_spv_viljandi</t>
  </si>
  <si>
    <t>solar resource in Viljandi</t>
  </si>
  <si>
    <t>elc_spv_viljandi</t>
  </si>
  <si>
    <t>solar resource in Ida-Viru</t>
  </si>
  <si>
    <t>solar resource in Laane-Viru</t>
  </si>
  <si>
    <t>solar resource in Jarva</t>
  </si>
  <si>
    <t>solar resource in Jogeva</t>
  </si>
  <si>
    <t>solar resource in Polva</t>
  </si>
  <si>
    <t>solar resource in Valga</t>
  </si>
  <si>
    <t>e_spv_ida_viru</t>
  </si>
  <si>
    <t>e_spv_jarva</t>
  </si>
  <si>
    <t>e_spv_jogeva</t>
  </si>
  <si>
    <t>e_spv_polva</t>
  </si>
  <si>
    <t>e_spv_valga</t>
  </si>
  <si>
    <t>elc_spv_ida_viru</t>
  </si>
  <si>
    <t>elc_spv_jarva</t>
  </si>
  <si>
    <t>elc_spv_jogeva</t>
  </si>
  <si>
    <t>elc_spv_polva</t>
  </si>
  <si>
    <t>elc_spv_valga</t>
  </si>
  <si>
    <t>elc_won_parnu</t>
  </si>
  <si>
    <t>elc_won_laane_viru</t>
  </si>
  <si>
    <t>elc_won_ida_viru</t>
  </si>
  <si>
    <t>elc_won_laanemaa</t>
  </si>
  <si>
    <t>elc_won_saaremaa</t>
  </si>
  <si>
    <t>elc_won_harju</t>
  </si>
  <si>
    <t>parnu</t>
  </si>
  <si>
    <t>laane_viru</t>
  </si>
  <si>
    <t>ida_viru</t>
  </si>
  <si>
    <t>laanemaa</t>
  </si>
  <si>
    <t>saaremaa</t>
  </si>
  <si>
    <t>harju</t>
  </si>
  <si>
    <t>Parnu</t>
  </si>
  <si>
    <t>Laanemaa</t>
  </si>
  <si>
    <t>Saaremaa</t>
  </si>
  <si>
    <t>Harju</t>
  </si>
  <si>
    <t>Laane-Viru</t>
  </si>
  <si>
    <t>Ida-Viru</t>
  </si>
  <si>
    <t>wind resource in Parnu</t>
  </si>
  <si>
    <t>wind resource in Laane-Viru</t>
  </si>
  <si>
    <t>wind resource in Ida-Viru</t>
  </si>
  <si>
    <t>wind resource in Laanemaa</t>
  </si>
  <si>
    <t>wind resource in Saaremaa</t>
  </si>
  <si>
    <t>wind resource in Harju</t>
  </si>
  <si>
    <t>e_won_parnu</t>
  </si>
  <si>
    <t>e_won_laane_viru</t>
  </si>
  <si>
    <t>e_won_ida_viru</t>
  </si>
  <si>
    <t>e_won_laanemaa</t>
  </si>
  <si>
    <t>e_won_saaremaa</t>
  </si>
  <si>
    <t>e_won_harju</t>
  </si>
  <si>
    <t>e_wof_parnu_laht</t>
  </si>
  <si>
    <t>elc_wof_parnu_laht</t>
  </si>
  <si>
    <t>solar resource in Voru</t>
  </si>
  <si>
    <t>solar resource in Saare</t>
  </si>
  <si>
    <t>solar resource in Rapla</t>
  </si>
  <si>
    <t>solar resource in Laane</t>
  </si>
  <si>
    <t>solar resource in Hiiu</t>
  </si>
  <si>
    <t>e_spv_voru</t>
  </si>
  <si>
    <t>e_spv_saare</t>
  </si>
  <si>
    <t>e_spv_rapla</t>
  </si>
  <si>
    <t>e_spv_laane</t>
  </si>
  <si>
    <t>e_spv_hiiu</t>
  </si>
  <si>
    <t>elc_spv_voru</t>
  </si>
  <si>
    <t>elc_spv_saare</t>
  </si>
  <si>
    <t>elc_spv_rapla</t>
  </si>
  <si>
    <t>elv_spv_laane</t>
  </si>
  <si>
    <t>elv_spv_hiiu</t>
  </si>
  <si>
    <t>*Commodity Set Membership</t>
  </si>
  <si>
    <t>Commodity Name</t>
  </si>
  <si>
    <t>Commodity Description</t>
  </si>
  <si>
    <t>Peak Monitoring</t>
  </si>
  <si>
    <t>Electricity Indicator</t>
  </si>
  <si>
    <t>*Process Set Membership</t>
  </si>
  <si>
    <t>Technology Name</t>
  </si>
  <si>
    <t>Technology Description</t>
  </si>
  <si>
    <t>Activity Unit</t>
  </si>
  <si>
    <t>Capacity Unit</t>
  </si>
  <si>
    <t>Vintage Tracking</t>
  </si>
  <si>
    <t>*TechDesc</t>
  </si>
  <si>
    <t>*Technology Name</t>
  </si>
  <si>
    <t>Input Commodity</t>
  </si>
  <si>
    <t>Output Commodity</t>
  </si>
  <si>
    <t>Commodity group</t>
  </si>
  <si>
    <t>~FI_T:EUR25</t>
  </si>
  <si>
    <t>FI_T: USD21</t>
  </si>
  <si>
    <t>FI_Comm</t>
  </si>
  <si>
    <t>Fermi Nuclear</t>
  </si>
  <si>
    <t>Balance Equ Type Override</t>
  </si>
  <si>
    <t>Timeslice Tracking Level</t>
  </si>
  <si>
    <t>FX</t>
  </si>
  <si>
    <t>TimeSlice Level of oprn</t>
  </si>
  <si>
    <t>Primary CommGrp</t>
  </si>
  <si>
    <t>ELE, STG</t>
  </si>
  <si>
    <t>START</t>
  </si>
  <si>
    <t>INVCOST~2050</t>
  </si>
  <si>
    <t>VAROM~2015</t>
  </si>
  <si>
    <t>FLO_COST</t>
  </si>
  <si>
    <t>FLO_DELIV</t>
  </si>
  <si>
    <t>Years</t>
  </si>
  <si>
    <t>%</t>
  </si>
  <si>
    <t>€/kWh and €/kW</t>
  </si>
  <si>
    <t>Charging Cost</t>
  </si>
  <si>
    <t>Discharging Cost</t>
  </si>
  <si>
    <t>INVCOST~2030</t>
  </si>
  <si>
    <t>INVCOST~2035</t>
  </si>
  <si>
    <t>INVCOST~2040</t>
  </si>
  <si>
    <t>INVCOST~2045</t>
  </si>
  <si>
    <t>Auxiliary Output Commodity</t>
  </si>
  <si>
    <t>EN_STG2hbion</t>
  </si>
  <si>
    <t>Battery (Li-ion)</t>
  </si>
  <si>
    <t>Comm-IN-A</t>
  </si>
  <si>
    <t>Auxiliary Intput Commodity</t>
  </si>
  <si>
    <t>ELCCurt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</si>
</sst>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Te\x\t"/>
    <numFmt numFmtId="165" formatCode="&quot;$&quot;#,##0"/>
    <numFmt numFmtId="166" formatCode="0.0%"/>
    <numFmt numFmtId="167" formatCode="0.0"/>
    <numFmt numFmtId="168" formatCode="0.000"/>
  </numFmts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i/>
      <sz val="11"/>
      <color theme="1"/>
      <name val="Calibri"/>
      <family val="2"/>
      <charset val="186"/>
      <scheme val="minor"/>
    </font>
    <font>
      <b/>
      <sz val="10"/>
      <name val="Arial"/>
      <family val="2"/>
    </font>
    <font>
      <i/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8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C000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72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7" fontId="19" fillId="7" borderId="8" xfId="0" applyNumberFormat="1" applyFont="1" applyFill="1" applyBorder="1" applyAlignment="1">
      <alignment vertical="center"/>
    </xf>
    <xf numFmtId="167" fontId="19" fillId="7" borderId="0" xfId="0" applyNumberFormat="1" applyFont="1" applyFill="1" applyAlignment="1">
      <alignment vertical="center"/>
    </xf>
    <xf numFmtId="167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7" fontId="19" fillId="8" borderId="8" xfId="0" applyNumberFormat="1" applyFont="1" applyFill="1" applyBorder="1" applyAlignment="1">
      <alignment vertical="center"/>
    </xf>
    <xf numFmtId="167" fontId="19" fillId="8" borderId="0" xfId="0" applyNumberFormat="1" applyFont="1" applyFill="1" applyAlignment="1">
      <alignment vertical="center"/>
    </xf>
    <xf numFmtId="167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7" fontId="20" fillId="9" borderId="8" xfId="0" applyNumberFormat="1" applyFont="1" applyFill="1" applyBorder="1" applyAlignment="1">
      <alignment vertical="center"/>
    </xf>
    <xf numFmtId="167" fontId="20" fillId="9" borderId="0" xfId="0" applyNumberFormat="1" applyFont="1" applyFill="1" applyAlignment="1">
      <alignment vertical="center"/>
    </xf>
    <xf numFmtId="167" fontId="20" fillId="9" borderId="9" xfId="0" applyNumberFormat="1" applyFont="1" applyFill="1" applyBorder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10" xfId="0" applyNumberFormat="1" applyFont="1" applyFill="1" applyBorder="1" applyAlignment="1">
      <alignment vertical="center"/>
    </xf>
    <xf numFmtId="168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7" fontId="19" fillId="10" borderId="8" xfId="0" applyNumberFormat="1" applyFont="1" applyFill="1" applyBorder="1" applyAlignment="1">
      <alignment vertical="center"/>
    </xf>
    <xf numFmtId="167" fontId="19" fillId="10" borderId="0" xfId="0" applyNumberFormat="1" applyFont="1" applyFill="1" applyAlignment="1">
      <alignment vertical="center"/>
    </xf>
    <xf numFmtId="167" fontId="19" fillId="10" borderId="9" xfId="0" applyNumberFormat="1" applyFont="1" applyFill="1" applyBorder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10" xfId="0" applyNumberFormat="1" applyFont="1" applyFill="1" applyBorder="1" applyAlignment="1">
      <alignment vertical="center"/>
    </xf>
    <xf numFmtId="168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7" fontId="19" fillId="11" borderId="8" xfId="0" applyNumberFormat="1" applyFont="1" applyFill="1" applyBorder="1" applyAlignment="1">
      <alignment vertical="center"/>
    </xf>
    <xf numFmtId="167" fontId="19" fillId="11" borderId="0" xfId="0" applyNumberFormat="1" applyFont="1" applyFill="1" applyAlignment="1">
      <alignment vertical="center"/>
    </xf>
    <xf numFmtId="167" fontId="19" fillId="11" borderId="9" xfId="0" applyNumberFormat="1" applyFont="1" applyFill="1" applyBorder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10" xfId="0" applyNumberFormat="1" applyFont="1" applyFill="1" applyBorder="1" applyAlignment="1">
      <alignment vertical="center"/>
    </xf>
    <xf numFmtId="168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7" fontId="19" fillId="12" borderId="5" xfId="0" applyNumberFormat="1" applyFont="1" applyFill="1" applyBorder="1" applyAlignment="1">
      <alignment vertical="center"/>
    </xf>
    <xf numFmtId="167" fontId="19" fillId="12" borderId="4" xfId="0" applyNumberFormat="1" applyFont="1" applyFill="1" applyBorder="1" applyAlignment="1">
      <alignment vertical="center"/>
    </xf>
    <xf numFmtId="167" fontId="19" fillId="12" borderId="6" xfId="0" applyNumberFormat="1" applyFont="1" applyFill="1" applyBorder="1" applyAlignment="1">
      <alignment vertical="center"/>
    </xf>
    <xf numFmtId="168" fontId="20" fillId="12" borderId="5" xfId="0" applyNumberFormat="1" applyFont="1" applyFill="1" applyBorder="1" applyAlignment="1">
      <alignment vertical="center"/>
    </xf>
    <xf numFmtId="168" fontId="20" fillId="12" borderId="4" xfId="0" applyNumberFormat="1" applyFont="1" applyFill="1" applyBorder="1" applyAlignment="1">
      <alignment vertical="center"/>
    </xf>
    <xf numFmtId="168" fontId="20" fillId="12" borderId="13" xfId="0" applyNumberFormat="1" applyFont="1" applyFill="1" applyBorder="1" applyAlignment="1">
      <alignment vertical="center"/>
    </xf>
    <xf numFmtId="168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7" fontId="19" fillId="14" borderId="8" xfId="0" applyNumberFormat="1" applyFont="1" applyFill="1" applyBorder="1" applyAlignment="1">
      <alignment vertical="center"/>
    </xf>
    <xf numFmtId="167" fontId="19" fillId="14" borderId="0" xfId="0" applyNumberFormat="1" applyFont="1" applyFill="1" applyAlignment="1">
      <alignment vertical="center"/>
    </xf>
    <xf numFmtId="167" fontId="19" fillId="14" borderId="9" xfId="0" applyNumberFormat="1" applyFont="1" applyFill="1" applyBorder="1" applyAlignment="1">
      <alignment vertical="center"/>
    </xf>
    <xf numFmtId="168" fontId="20" fillId="14" borderId="8" xfId="0" applyNumberFormat="1" applyFont="1" applyFill="1" applyBorder="1" applyAlignment="1">
      <alignment vertical="center"/>
    </xf>
    <xf numFmtId="168" fontId="20" fillId="14" borderId="0" xfId="0" applyNumberFormat="1" applyFont="1" applyFill="1" applyAlignment="1">
      <alignment vertical="center"/>
    </xf>
    <xf numFmtId="168" fontId="20" fillId="14" borderId="10" xfId="0" applyNumberFormat="1" applyFont="1" applyFill="1" applyBorder="1" applyAlignment="1">
      <alignment vertical="center"/>
    </xf>
    <xf numFmtId="168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7" fontId="19" fillId="12" borderId="16" xfId="0" applyNumberFormat="1" applyFont="1" applyFill="1" applyBorder="1" applyAlignment="1">
      <alignment vertical="center"/>
    </xf>
    <xf numFmtId="167" fontId="19" fillId="12" borderId="15" xfId="0" applyNumberFormat="1" applyFont="1" applyFill="1" applyBorder="1" applyAlignment="1">
      <alignment vertical="center"/>
    </xf>
    <xf numFmtId="167" fontId="19" fillId="12" borderId="17" xfId="0" applyNumberFormat="1" applyFont="1" applyFill="1" applyBorder="1" applyAlignment="1">
      <alignment vertical="center"/>
    </xf>
    <xf numFmtId="168" fontId="20" fillId="12" borderId="16" xfId="0" applyNumberFormat="1" applyFont="1" applyFill="1" applyBorder="1" applyAlignment="1">
      <alignment vertical="center"/>
    </xf>
    <xf numFmtId="168" fontId="20" fillId="12" borderId="15" xfId="0" applyNumberFormat="1" applyFont="1" applyFill="1" applyBorder="1" applyAlignment="1">
      <alignment vertical="center"/>
    </xf>
    <xf numFmtId="168" fontId="20" fillId="12" borderId="18" xfId="0" applyNumberFormat="1" applyFont="1" applyFill="1" applyBorder="1" applyAlignment="1">
      <alignment vertical="center"/>
    </xf>
    <xf numFmtId="168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7" fontId="19" fillId="15" borderId="8" xfId="0" applyNumberFormat="1" applyFont="1" applyFill="1" applyBorder="1" applyAlignment="1">
      <alignment vertical="center"/>
    </xf>
    <xf numFmtId="167" fontId="19" fillId="15" borderId="0" xfId="0" applyNumberFormat="1" applyFont="1" applyFill="1" applyAlignment="1">
      <alignment vertical="center"/>
    </xf>
    <xf numFmtId="167" fontId="19" fillId="15" borderId="9" xfId="0" applyNumberFormat="1" applyFont="1" applyFill="1" applyBorder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10" xfId="0" applyNumberFormat="1" applyFont="1" applyFill="1" applyBorder="1" applyAlignment="1">
      <alignment vertical="center"/>
    </xf>
    <xf numFmtId="168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7" fontId="19" fillId="16" borderId="8" xfId="0" applyNumberFormat="1" applyFont="1" applyFill="1" applyBorder="1" applyAlignment="1">
      <alignment vertical="center"/>
    </xf>
    <xf numFmtId="167" fontId="19" fillId="16" borderId="0" xfId="0" applyNumberFormat="1" applyFont="1" applyFill="1" applyAlignment="1">
      <alignment vertical="center"/>
    </xf>
    <xf numFmtId="167" fontId="19" fillId="16" borderId="9" xfId="0" applyNumberFormat="1" applyFont="1" applyFill="1" applyBorder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10" xfId="0" applyNumberFormat="1" applyFont="1" applyFill="1" applyBorder="1" applyAlignment="1">
      <alignment vertical="center"/>
    </xf>
    <xf numFmtId="168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7" fontId="19" fillId="15" borderId="16" xfId="0" applyNumberFormat="1" applyFont="1" applyFill="1" applyBorder="1" applyAlignment="1">
      <alignment vertical="center"/>
    </xf>
    <xf numFmtId="167" fontId="19" fillId="15" borderId="15" xfId="0" applyNumberFormat="1" applyFont="1" applyFill="1" applyBorder="1" applyAlignment="1">
      <alignment vertical="center"/>
    </xf>
    <xf numFmtId="167" fontId="19" fillId="15" borderId="17" xfId="0" applyNumberFormat="1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8" xfId="0" applyNumberFormat="1" applyFont="1" applyFill="1" applyBorder="1" applyAlignment="1">
      <alignment vertical="center"/>
    </xf>
    <xf numFmtId="168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0" borderId="0" xfId="0" applyFont="1"/>
    <xf numFmtId="0" fontId="22" fillId="17" borderId="4" xfId="0" applyFont="1" applyFill="1" applyBorder="1" applyAlignment="1">
      <alignment vertical="center"/>
    </xf>
    <xf numFmtId="0" fontId="4" fillId="17" borderId="21" xfId="11" applyFont="1" applyFill="1" applyBorder="1" applyAlignment="1">
      <alignment horizontal="center" vertical="center" wrapText="1"/>
    </xf>
    <xf numFmtId="0" fontId="23" fillId="18" borderId="22" xfId="15" applyFont="1" applyFill="1" applyBorder="1" applyAlignment="1">
      <alignment horizontal="left" vertical="center" wrapText="1"/>
    </xf>
    <xf numFmtId="0" fontId="23" fillId="18" borderId="22" xfId="15" applyFont="1" applyFill="1" applyBorder="1" applyAlignment="1">
      <alignment horizontal="center" vertical="center" wrapText="1"/>
    </xf>
    <xf numFmtId="164" fontId="24" fillId="0" borderId="0" xfId="0" applyNumberFormat="1" applyFont="1" applyAlignment="1">
      <alignment vertical="center"/>
    </xf>
    <xf numFmtId="164" fontId="4" fillId="0" borderId="0" xfId="0" applyNumberFormat="1" applyFont="1" applyAlignment="1">
      <alignment vertical="center"/>
    </xf>
    <xf numFmtId="164" fontId="22" fillId="17" borderId="4" xfId="0" applyNumberFormat="1" applyFont="1" applyFill="1" applyBorder="1" applyAlignment="1">
      <alignment vertical="center"/>
    </xf>
    <xf numFmtId="164" fontId="22" fillId="17" borderId="4" xfId="0" applyNumberFormat="1" applyFont="1" applyFill="1" applyBorder="1" applyAlignment="1">
      <alignment horizontal="left" vertical="center"/>
    </xf>
    <xf numFmtId="164" fontId="23" fillId="18" borderId="22" xfId="15" applyNumberFormat="1" applyFont="1" applyFill="1" applyBorder="1" applyAlignment="1">
      <alignment horizontal="left" vertical="center" wrapText="1"/>
    </xf>
    <xf numFmtId="164" fontId="0" fillId="0" borderId="0" xfId="0" applyNumberFormat="1" applyAlignment="1">
      <alignment vertical="center"/>
    </xf>
    <xf numFmtId="164" fontId="0" fillId="0" borderId="4" xfId="0" applyNumberFormat="1" applyBorder="1" applyAlignment="1">
      <alignment vertical="center"/>
    </xf>
    <xf numFmtId="164" fontId="22" fillId="17" borderId="21" xfId="0" applyNumberFormat="1" applyFont="1" applyFill="1" applyBorder="1" applyAlignment="1">
      <alignment vertical="center"/>
    </xf>
    <xf numFmtId="164" fontId="23" fillId="18" borderId="23" xfId="15" applyNumberFormat="1" applyFont="1" applyFill="1" applyBorder="1" applyAlignment="1">
      <alignment horizontal="left" vertical="center" wrapText="1"/>
    </xf>
    <xf numFmtId="0" fontId="22" fillId="17" borderId="0" xfId="0" applyFont="1" applyFill="1" applyAlignment="1">
      <alignment vertical="center"/>
    </xf>
    <xf numFmtId="0" fontId="4" fillId="17" borderId="0" xfId="11" applyFont="1" applyFill="1" applyAlignment="1">
      <alignment horizontal="center" vertical="center" wrapText="1"/>
    </xf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  <xf numFmtId="164" fontId="24" fillId="19" borderId="0" xfId="13" applyNumberFormat="1" applyFont="1" applyFill="1"/>
    <xf numFmtId="164" fontId="24" fillId="19" borderId="0" xfId="0" applyNumberFormat="1" applyFont="1" applyFill="1" applyAlignment="1">
      <alignment vertical="center"/>
    </xf>
    <xf numFmtId="0" fontId="0" fillId="19" borderId="15" xfId="0" applyFill="1" applyBorder="1"/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VEDA/Veda/Veda_models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A83622B0-0A3D-4E1E-AE00-BA209EC39E8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28" dT="2026-04-27T09:56:40.90" personId="{A83622B0-0A3D-4E1E-AE00-BA209EC39E88}" id="{2C8EC3E8-B0FB-4BF6-8464-54D9666539A1}">
    <text>Fermi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28"/>
  <sheetViews>
    <sheetView tabSelected="1" zoomScale="83" workbookViewId="0">
      <selection activeCell="N35" sqref="N35"/>
    </sheetView>
  </sheetViews>
  <sheetFormatPr defaultRowHeight="15"/>
  <cols>
    <col min="2" max="2" width="10.140625" bestFit="1" customWidth="1"/>
    <col min="3" max="3" width="18" bestFit="1" customWidth="1"/>
    <col min="4" max="4" width="22.42578125" bestFit="1" customWidth="1"/>
    <col min="5" max="5" width="5.28515625" bestFit="1" customWidth="1"/>
    <col min="6" max="6" width="4.5703125" bestFit="1" customWidth="1"/>
    <col min="7" max="7" width="7.5703125" bestFit="1" customWidth="1"/>
    <col min="10" max="10" width="20.42578125" bestFit="1" customWidth="1"/>
    <col min="11" max="11" width="8.140625" bestFit="1" customWidth="1"/>
    <col min="12" max="12" width="52.28515625" bestFit="1" customWidth="1"/>
    <col min="13" max="13" width="4.28515625" bestFit="1" customWidth="1"/>
    <col min="14" max="14" width="8.85546875" bestFit="1" customWidth="1"/>
    <col min="15" max="15" width="12" bestFit="1" customWidth="1"/>
    <col min="16" max="16" width="9.28515625" bestFit="1" customWidth="1"/>
    <col min="17" max="17" width="3.85546875" bestFit="1" customWidth="1"/>
    <col min="18" max="19" width="9.28515625" bestFit="1" customWidth="1"/>
    <col min="22" max="22" width="4.28515625" bestFit="1" customWidth="1"/>
  </cols>
  <sheetData>
    <row r="2" spans="2:22" ht="15.75" thickBot="1">
      <c r="B2" s="2" t="s">
        <v>0</v>
      </c>
      <c r="L2" s="2" t="s">
        <v>98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28</v>
      </c>
      <c r="P3" s="1">
        <v>2022</v>
      </c>
      <c r="Q3" s="1">
        <v>0</v>
      </c>
      <c r="R3" t="s">
        <v>97</v>
      </c>
      <c r="S3" t="s">
        <v>101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100</v>
      </c>
      <c r="D6" s="1" t="s">
        <v>102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214</v>
      </c>
      <c r="M6" s="1">
        <v>1</v>
      </c>
      <c r="N6" s="1">
        <v>8.76</v>
      </c>
      <c r="O6" s="1"/>
      <c r="P6" s="1"/>
      <c r="Q6" s="1"/>
      <c r="V6" t="s">
        <v>96</v>
      </c>
    </row>
    <row r="7" spans="2:22">
      <c r="B7" t="s">
        <v>20</v>
      </c>
      <c r="C7" t="s">
        <v>142</v>
      </c>
      <c r="D7" s="1" t="s">
        <v>143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33</v>
      </c>
      <c r="L7" t="s">
        <v>144</v>
      </c>
      <c r="M7" s="1">
        <v>1</v>
      </c>
      <c r="N7" s="1">
        <v>8.76</v>
      </c>
      <c r="O7" s="1"/>
      <c r="P7" s="1"/>
      <c r="Q7" s="1"/>
    </row>
    <row r="8" spans="2:22">
      <c r="H8" s="1"/>
      <c r="I8" s="1"/>
      <c r="J8" s="1" t="str">
        <f>C23</f>
        <v>solar_potential</v>
      </c>
      <c r="K8" s="1"/>
      <c r="L8" s="1" t="s">
        <v>25</v>
      </c>
      <c r="M8" s="1"/>
      <c r="N8" s="1"/>
      <c r="O8" s="1">
        <f>V15*3.6</f>
        <v>0.36000000000000004</v>
      </c>
      <c r="P8" s="1"/>
      <c r="V8" s="1">
        <v>2</v>
      </c>
    </row>
    <row r="9" spans="2:22">
      <c r="H9" s="1"/>
      <c r="I9" s="1"/>
      <c r="J9" s="1" t="str">
        <f>C24</f>
        <v>winon_potential</v>
      </c>
      <c r="K9" s="1"/>
      <c r="L9" s="1" t="s">
        <v>145</v>
      </c>
      <c r="M9" s="1"/>
      <c r="N9" s="1"/>
      <c r="O9" s="1">
        <f>V16*3.6</f>
        <v>0.36000000000000004</v>
      </c>
      <c r="P9" s="1"/>
      <c r="V9" s="1">
        <v>5</v>
      </c>
    </row>
    <row r="10" spans="2:22">
      <c r="G10" s="1"/>
      <c r="H10" s="1"/>
      <c r="I10" s="1"/>
      <c r="J10" s="1" t="str">
        <f>C25</f>
        <v>winoff_potential</v>
      </c>
      <c r="K10" s="1"/>
      <c r="L10" s="1" t="s">
        <v>146</v>
      </c>
      <c r="M10" s="1"/>
      <c r="N10" s="1"/>
      <c r="O10" s="1">
        <f>V17*3.6</f>
        <v>0.36000000000000004</v>
      </c>
      <c r="P10" s="1"/>
      <c r="V10">
        <v>10</v>
      </c>
    </row>
    <row r="11" spans="2:22">
      <c r="G11" s="1"/>
      <c r="H11" s="1"/>
      <c r="I11" s="1"/>
      <c r="P11" s="1"/>
      <c r="V11">
        <v>0.1</v>
      </c>
    </row>
    <row r="12" spans="2:22">
      <c r="G12" s="1"/>
      <c r="H12" s="1"/>
      <c r="I12" s="1"/>
      <c r="P12" s="1"/>
      <c r="V12">
        <v>0.1</v>
      </c>
    </row>
    <row r="13" spans="2:22">
      <c r="G13" s="1"/>
      <c r="H13" s="1"/>
      <c r="I13" s="1"/>
      <c r="P13" s="1"/>
      <c r="V13" s="1">
        <v>6</v>
      </c>
    </row>
    <row r="14" spans="2:22">
      <c r="G14" s="1"/>
      <c r="H14" s="1"/>
      <c r="I14" s="1"/>
      <c r="P14" s="1"/>
      <c r="V14">
        <v>0.1</v>
      </c>
    </row>
    <row r="15" spans="2:22">
      <c r="G15" s="1"/>
      <c r="H15" s="1"/>
      <c r="I15" s="1"/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P17" s="1"/>
      <c r="V17">
        <v>0.1</v>
      </c>
    </row>
    <row r="18" spans="2:22">
      <c r="B18" t="s">
        <v>27</v>
      </c>
      <c r="C18" t="s">
        <v>94</v>
      </c>
      <c r="D18" s="1"/>
      <c r="E18" s="1" t="s">
        <v>21</v>
      </c>
      <c r="F18" t="s">
        <v>10</v>
      </c>
      <c r="G18" t="s">
        <v>18</v>
      </c>
    </row>
    <row r="19" spans="2:22">
      <c r="B19" t="s">
        <v>93</v>
      </c>
      <c r="C19" t="s">
        <v>95</v>
      </c>
      <c r="D19" s="1"/>
      <c r="E19" s="1" t="s">
        <v>21</v>
      </c>
      <c r="F19" t="s">
        <v>10</v>
      </c>
      <c r="G19" t="s">
        <v>18</v>
      </c>
    </row>
    <row r="20" spans="2:22">
      <c r="B20" s="1" t="s">
        <v>27</v>
      </c>
      <c r="C20" s="1" t="s">
        <v>147</v>
      </c>
      <c r="D20" s="1" t="s">
        <v>103</v>
      </c>
      <c r="E20" s="1" t="s">
        <v>21</v>
      </c>
      <c r="F20" t="s">
        <v>10</v>
      </c>
      <c r="J20" t="str">
        <f>C18</f>
        <v>Trd_electricity import</v>
      </c>
      <c r="L20" t="s">
        <v>19</v>
      </c>
      <c r="P20">
        <v>0</v>
      </c>
      <c r="Q20">
        <v>3</v>
      </c>
      <c r="R20">
        <v>1000</v>
      </c>
      <c r="S20">
        <v>50</v>
      </c>
    </row>
    <row r="21" spans="2:22">
      <c r="B21" s="1" t="s">
        <v>27</v>
      </c>
      <c r="C21" s="1" t="s">
        <v>149</v>
      </c>
      <c r="D21" s="1" t="s">
        <v>148</v>
      </c>
      <c r="E21" s="1" t="s">
        <v>21</v>
      </c>
      <c r="F21" t="s">
        <v>10</v>
      </c>
      <c r="J21" t="str">
        <f>C19</f>
        <v>Trd_electricity export</v>
      </c>
      <c r="K21" t="s">
        <v>19</v>
      </c>
      <c r="P21">
        <v>0</v>
      </c>
      <c r="Q21">
        <v>3</v>
      </c>
      <c r="R21">
        <v>1000</v>
      </c>
      <c r="S21">
        <v>50</v>
      </c>
    </row>
    <row r="22" spans="2:22">
      <c r="B22" s="1" t="s">
        <v>27</v>
      </c>
      <c r="C22" s="1" t="s">
        <v>150</v>
      </c>
      <c r="D22" s="1" t="s">
        <v>151</v>
      </c>
      <c r="E22" s="1" t="s">
        <v>21</v>
      </c>
      <c r="F22" t="s">
        <v>10</v>
      </c>
      <c r="J22" s="1" t="str">
        <f>C20</f>
        <v>fossil_supply</v>
      </c>
      <c r="K22" s="1"/>
      <c r="L22" s="1" t="s">
        <v>30</v>
      </c>
      <c r="M22" s="1"/>
      <c r="N22" s="1"/>
      <c r="O22" s="1">
        <v>97.330783938814534</v>
      </c>
    </row>
    <row r="23" spans="2:22">
      <c r="B23" s="1" t="s">
        <v>27</v>
      </c>
      <c r="C23" s="1" t="s">
        <v>152</v>
      </c>
      <c r="D23" s="1" t="s">
        <v>155</v>
      </c>
      <c r="E23" s="1" t="s">
        <v>21</v>
      </c>
      <c r="F23" t="s">
        <v>10</v>
      </c>
      <c r="K23" s="1"/>
      <c r="L23" s="1" t="s">
        <v>31</v>
      </c>
      <c r="M23" s="1"/>
      <c r="N23" s="1"/>
      <c r="O23" s="1">
        <v>35.496509410102867</v>
      </c>
    </row>
    <row r="24" spans="2:22">
      <c r="B24" s="1" t="s">
        <v>27</v>
      </c>
      <c r="C24" t="s">
        <v>153</v>
      </c>
      <c r="D24" t="s">
        <v>156</v>
      </c>
      <c r="E24" s="1" t="s">
        <v>21</v>
      </c>
      <c r="F24" t="s">
        <v>10</v>
      </c>
      <c r="K24" s="1"/>
      <c r="L24" s="1" t="s">
        <v>35</v>
      </c>
      <c r="M24" s="1"/>
      <c r="N24" s="1"/>
      <c r="O24" s="1">
        <v>46.935294117647068</v>
      </c>
    </row>
    <row r="25" spans="2:22">
      <c r="B25" s="1" t="s">
        <v>27</v>
      </c>
      <c r="C25" t="s">
        <v>154</v>
      </c>
      <c r="D25" t="s">
        <v>157</v>
      </c>
      <c r="E25" s="1" t="s">
        <v>21</v>
      </c>
      <c r="F25" t="s">
        <v>10</v>
      </c>
      <c r="J25" s="1" t="str">
        <f>C21</f>
        <v>renewable</v>
      </c>
      <c r="K25" s="1"/>
      <c r="L25" s="1" t="s">
        <v>32</v>
      </c>
      <c r="M25" s="1"/>
      <c r="N25" s="1"/>
      <c r="O25" s="1">
        <f>V11*3.6</f>
        <v>0.36000000000000004</v>
      </c>
    </row>
    <row r="26" spans="2:22">
      <c r="K26" s="1"/>
      <c r="L26" s="1" t="s">
        <v>26</v>
      </c>
      <c r="M26" s="1"/>
      <c r="N26" s="1"/>
      <c r="O26" s="1">
        <f>V12*3.6</f>
        <v>0.36000000000000004</v>
      </c>
    </row>
    <row r="27" spans="2:22">
      <c r="L27" s="1" t="s">
        <v>29</v>
      </c>
      <c r="M27" s="1"/>
      <c r="N27" s="1"/>
      <c r="O27" s="1">
        <v>46.249920000000003</v>
      </c>
    </row>
    <row r="28" spans="2:22">
      <c r="J28" s="1" t="str">
        <f>C22</f>
        <v>nuclear_fuel</v>
      </c>
      <c r="K28" s="1"/>
      <c r="L28" s="1" t="s">
        <v>34</v>
      </c>
      <c r="M28" s="1"/>
      <c r="N28" s="1"/>
      <c r="O28" s="1">
        <v>6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5:X110"/>
  <sheetViews>
    <sheetView zoomScale="66" workbookViewId="0">
      <selection activeCell="K26" sqref="K26"/>
    </sheetView>
  </sheetViews>
  <sheetFormatPr defaultColWidth="8.85546875" defaultRowHeight="15"/>
  <cols>
    <col min="2" max="2" width="12" customWidth="1"/>
    <col min="3" max="3" width="27.7109375" bestFit="1" customWidth="1"/>
    <col min="4" max="4" width="48" customWidth="1"/>
    <col min="5" max="5" width="11.140625" bestFit="1" customWidth="1"/>
    <col min="6" max="6" width="13.28515625" bestFit="1" customWidth="1"/>
    <col min="7" max="7" width="17" bestFit="1" customWidth="1"/>
    <col min="8" max="8" width="14.140625" bestFit="1" customWidth="1"/>
    <col min="9" max="9" width="16.28515625" bestFit="1" customWidth="1"/>
    <col min="10" max="10" width="19.28515625" bestFit="1" customWidth="1"/>
    <col min="11" max="11" width="13.42578125" bestFit="1" customWidth="1"/>
    <col min="12" max="12" width="16.140625" bestFit="1" customWidth="1"/>
    <col min="13" max="13" width="45.42578125" bestFit="1" customWidth="1"/>
    <col min="14" max="14" width="13" bestFit="1" customWidth="1"/>
    <col min="15" max="15" width="7.5703125" bestFit="1" customWidth="1"/>
    <col min="16" max="16" width="10.5703125" bestFit="1" customWidth="1"/>
    <col min="17" max="17" width="9" bestFit="1" customWidth="1"/>
    <col min="18" max="18" width="7.5703125" bestFit="1" customWidth="1"/>
    <col min="19" max="20" width="9" bestFit="1" customWidth="1"/>
    <col min="21" max="21" width="12" bestFit="1" customWidth="1"/>
    <col min="22" max="22" width="12.140625" bestFit="1" customWidth="1"/>
    <col min="23" max="23" width="14" bestFit="1" customWidth="1"/>
  </cols>
  <sheetData>
    <row r="5" spans="2:23">
      <c r="H5" s="171" t="s">
        <v>311</v>
      </c>
    </row>
    <row r="6" spans="2:23" ht="38.25">
      <c r="B6" s="148" t="s">
        <v>1</v>
      </c>
      <c r="C6" s="148" t="s">
        <v>306</v>
      </c>
      <c r="D6" s="148" t="s">
        <v>22</v>
      </c>
      <c r="E6" s="148" t="s">
        <v>2</v>
      </c>
      <c r="F6" s="161" t="s">
        <v>338</v>
      </c>
      <c r="G6" s="148" t="s">
        <v>3</v>
      </c>
      <c r="H6" s="161" t="s">
        <v>54</v>
      </c>
      <c r="I6" s="148" t="s">
        <v>52</v>
      </c>
      <c r="J6" s="149" t="s">
        <v>321</v>
      </c>
      <c r="K6" s="149" t="s">
        <v>55</v>
      </c>
      <c r="L6" s="149" t="s">
        <v>84</v>
      </c>
      <c r="M6" s="149" t="s">
        <v>331</v>
      </c>
      <c r="N6" s="149" t="s">
        <v>332</v>
      </c>
      <c r="O6" s="149" t="s">
        <v>333</v>
      </c>
      <c r="P6" s="149" t="s">
        <v>334</v>
      </c>
      <c r="Q6" s="149" t="s">
        <v>322</v>
      </c>
      <c r="R6" s="149" t="s">
        <v>65</v>
      </c>
      <c r="S6" s="149" t="s">
        <v>323</v>
      </c>
      <c r="T6" s="149" t="s">
        <v>137</v>
      </c>
      <c r="U6" s="149" t="s">
        <v>324</v>
      </c>
      <c r="V6" s="149" t="s">
        <v>325</v>
      </c>
      <c r="W6" s="162" t="s">
        <v>62</v>
      </c>
    </row>
    <row r="7" spans="2:23" ht="39" thickBot="1">
      <c r="B7" s="150" t="s">
        <v>307</v>
      </c>
      <c r="C7" s="150" t="s">
        <v>302</v>
      </c>
      <c r="D7" s="150" t="s">
        <v>22</v>
      </c>
      <c r="E7" s="150" t="s">
        <v>308</v>
      </c>
      <c r="F7" s="150" t="s">
        <v>339</v>
      </c>
      <c r="G7" s="150" t="s">
        <v>309</v>
      </c>
      <c r="H7" s="150" t="s">
        <v>335</v>
      </c>
      <c r="I7" s="150" t="s">
        <v>310</v>
      </c>
      <c r="J7" s="151"/>
      <c r="K7" s="151" t="s">
        <v>326</v>
      </c>
      <c r="L7" s="151" t="s">
        <v>327</v>
      </c>
      <c r="M7" s="151"/>
      <c r="N7" s="151"/>
      <c r="O7" s="151"/>
      <c r="P7" s="151"/>
      <c r="Q7" s="151" t="s">
        <v>328</v>
      </c>
      <c r="R7" s="151" t="s">
        <v>328</v>
      </c>
      <c r="S7" s="151"/>
      <c r="T7" s="151"/>
      <c r="U7" s="151" t="s">
        <v>329</v>
      </c>
      <c r="V7" s="151" t="s">
        <v>330</v>
      </c>
    </row>
    <row r="8" spans="2:23">
      <c r="B8" t="s">
        <v>336</v>
      </c>
      <c r="E8" t="s">
        <v>19</v>
      </c>
      <c r="F8" t="s">
        <v>340</v>
      </c>
      <c r="G8" t="s">
        <v>19</v>
      </c>
      <c r="H8" t="s">
        <v>47</v>
      </c>
      <c r="J8">
        <v>2030</v>
      </c>
      <c r="K8">
        <v>16</v>
      </c>
      <c r="L8">
        <v>0.91930000000000001</v>
      </c>
      <c r="M8">
        <v>1025</v>
      </c>
      <c r="N8">
        <v>1025</v>
      </c>
      <c r="O8">
        <v>1025</v>
      </c>
      <c r="P8">
        <v>1025</v>
      </c>
      <c r="Q8">
        <v>1025</v>
      </c>
      <c r="R8">
        <f>Q8*(2.095/100)</f>
        <v>21.473750000000003</v>
      </c>
      <c r="T8">
        <v>8.76</v>
      </c>
    </row>
    <row r="9" spans="2:23">
      <c r="B9" t="s">
        <v>336</v>
      </c>
      <c r="D9" t="s">
        <v>19</v>
      </c>
      <c r="I9" t="s">
        <v>63</v>
      </c>
      <c r="W9">
        <f>2/24</f>
        <v>8.3333333333333329E-2</v>
      </c>
    </row>
    <row r="10" spans="2:23">
      <c r="B10" t="s">
        <v>336</v>
      </c>
      <c r="D10" t="s">
        <v>24</v>
      </c>
      <c r="W10">
        <v>1</v>
      </c>
    </row>
    <row r="14" spans="2:23">
      <c r="B14" s="169" t="s">
        <v>0</v>
      </c>
      <c r="C14" s="152"/>
      <c r="D14" s="157"/>
      <c r="E14" s="157"/>
      <c r="F14" s="157"/>
      <c r="G14" s="157"/>
      <c r="H14" s="157"/>
      <c r="I14" s="157"/>
    </row>
    <row r="15" spans="2:23">
      <c r="B15" s="159" t="s">
        <v>6</v>
      </c>
      <c r="C15" s="159" t="s">
        <v>1</v>
      </c>
      <c r="D15" s="159" t="s">
        <v>7</v>
      </c>
      <c r="E15" s="159" t="s">
        <v>49</v>
      </c>
      <c r="F15" s="159" t="s">
        <v>50</v>
      </c>
      <c r="G15" s="159" t="s">
        <v>11</v>
      </c>
      <c r="H15" s="159" t="s">
        <v>88</v>
      </c>
      <c r="I15" s="159" t="s">
        <v>89</v>
      </c>
    </row>
    <row r="16" spans="2:23" ht="39" thickBot="1">
      <c r="B16" s="160" t="s">
        <v>300</v>
      </c>
      <c r="C16" s="160" t="s">
        <v>301</v>
      </c>
      <c r="D16" s="160" t="s">
        <v>302</v>
      </c>
      <c r="E16" s="160" t="s">
        <v>303</v>
      </c>
      <c r="F16" s="160" t="s">
        <v>304</v>
      </c>
      <c r="G16" s="160" t="s">
        <v>318</v>
      </c>
      <c r="H16" s="160" t="s">
        <v>319</v>
      </c>
      <c r="I16" s="160" t="s">
        <v>305</v>
      </c>
    </row>
    <row r="17" spans="2:9">
      <c r="B17" t="s">
        <v>320</v>
      </c>
      <c r="C17" t="s">
        <v>336</v>
      </c>
      <c r="D17" t="s">
        <v>337</v>
      </c>
      <c r="E17" t="s">
        <v>21</v>
      </c>
      <c r="F17" t="s">
        <v>10</v>
      </c>
      <c r="G17" t="s">
        <v>14</v>
      </c>
    </row>
    <row r="19" spans="2:9">
      <c r="B19" s="153"/>
      <c r="C19" s="153"/>
      <c r="D19" s="157"/>
      <c r="E19" s="153"/>
      <c r="F19" s="153"/>
      <c r="G19" s="153"/>
      <c r="H19" s="153"/>
      <c r="I19" s="153"/>
    </row>
    <row r="20" spans="2:9">
      <c r="B20" s="153"/>
      <c r="C20" s="153"/>
      <c r="D20" s="153"/>
      <c r="E20" s="153"/>
      <c r="F20" s="153"/>
      <c r="G20" s="153"/>
      <c r="H20" s="153"/>
      <c r="I20" s="153"/>
    </row>
    <row r="21" spans="2:9">
      <c r="B21" s="153"/>
      <c r="C21" s="153"/>
      <c r="D21" s="153"/>
      <c r="E21" s="153"/>
      <c r="F21" s="153"/>
      <c r="G21" s="153"/>
      <c r="H21" s="153"/>
      <c r="I21" s="153"/>
    </row>
    <row r="22" spans="2:9">
      <c r="B22" s="153"/>
      <c r="C22" s="153"/>
      <c r="D22" s="153"/>
      <c r="E22" s="153"/>
      <c r="F22" s="153"/>
      <c r="G22" s="153"/>
      <c r="H22" s="153"/>
      <c r="I22" s="153"/>
    </row>
    <row r="24" spans="2:9">
      <c r="B24" s="170" t="s">
        <v>218</v>
      </c>
      <c r="C24" s="153"/>
      <c r="D24" s="153"/>
      <c r="E24" s="153"/>
      <c r="F24" s="153"/>
      <c r="G24" s="153"/>
      <c r="H24" s="153"/>
      <c r="I24" s="153"/>
    </row>
    <row r="25" spans="2:9">
      <c r="B25" s="154" t="s">
        <v>36</v>
      </c>
      <c r="C25" s="154" t="s">
        <v>37</v>
      </c>
      <c r="D25" s="154" t="s">
        <v>38</v>
      </c>
      <c r="E25" s="155" t="s">
        <v>23</v>
      </c>
      <c r="F25" s="155" t="s">
        <v>39</v>
      </c>
      <c r="G25" s="155" t="s">
        <v>40</v>
      </c>
      <c r="H25" s="155" t="s">
        <v>41</v>
      </c>
      <c r="I25" s="155" t="s">
        <v>42</v>
      </c>
    </row>
    <row r="26" spans="2:9" ht="39" thickBot="1">
      <c r="B26" s="156" t="s">
        <v>295</v>
      </c>
      <c r="C26" s="156" t="s">
        <v>296</v>
      </c>
      <c r="D26" s="156" t="s">
        <v>297</v>
      </c>
      <c r="E26" s="156" t="s">
        <v>23</v>
      </c>
      <c r="F26" s="156" t="s">
        <v>315</v>
      </c>
      <c r="G26" s="156" t="s">
        <v>316</v>
      </c>
      <c r="H26" s="156" t="s">
        <v>298</v>
      </c>
      <c r="I26" s="156" t="s">
        <v>299</v>
      </c>
    </row>
    <row r="27" spans="2:9">
      <c r="B27" s="153" t="s">
        <v>24</v>
      </c>
      <c r="C27" s="3" t="s">
        <v>47</v>
      </c>
      <c r="D27" s="3" t="s">
        <v>48</v>
      </c>
      <c r="E27" s="153" t="s">
        <v>21</v>
      </c>
      <c r="F27" s="153" t="s">
        <v>317</v>
      </c>
      <c r="G27" s="153" t="s">
        <v>14</v>
      </c>
      <c r="H27" s="153"/>
      <c r="I27" s="153"/>
    </row>
    <row r="29" spans="2:9">
      <c r="B29" s="158"/>
      <c r="C29" s="158"/>
      <c r="D29" s="158"/>
      <c r="E29" s="158"/>
      <c r="F29" s="158"/>
      <c r="G29" s="158"/>
      <c r="H29" s="158"/>
      <c r="I29" s="158"/>
    </row>
    <row r="50" spans="3:24">
      <c r="J50" s="3"/>
    </row>
    <row r="52" spans="3:24">
      <c r="C52" s="3" t="s">
        <v>313</v>
      </c>
      <c r="D52" s="3"/>
      <c r="E52" s="3"/>
      <c r="F52" s="3"/>
      <c r="G52" s="3"/>
      <c r="H52" s="3"/>
      <c r="I52" s="3"/>
    </row>
    <row r="53" spans="3:24">
      <c r="C53" s="3" t="s">
        <v>36</v>
      </c>
      <c r="D53" s="3" t="s">
        <v>37</v>
      </c>
      <c r="E53" s="3" t="s">
        <v>38</v>
      </c>
      <c r="F53" s="3" t="s">
        <v>23</v>
      </c>
      <c r="G53" s="3" t="s">
        <v>39</v>
      </c>
      <c r="H53" s="3" t="s">
        <v>40</v>
      </c>
      <c r="I53" s="3" t="s">
        <v>41</v>
      </c>
      <c r="J53" s="3" t="s">
        <v>42</v>
      </c>
    </row>
    <row r="54" spans="3:24">
      <c r="C54" s="3" t="s">
        <v>43</v>
      </c>
      <c r="D54" s="3" t="s">
        <v>44</v>
      </c>
      <c r="E54" s="3" t="s">
        <v>45</v>
      </c>
      <c r="F54" s="3" t="s">
        <v>46</v>
      </c>
      <c r="G54" s="3"/>
      <c r="H54" s="5" t="s">
        <v>14</v>
      </c>
      <c r="I54" s="3"/>
    </row>
    <row r="55" spans="3:24">
      <c r="D55" s="3" t="s">
        <v>47</v>
      </c>
      <c r="E55" s="3" t="s">
        <v>48</v>
      </c>
      <c r="F55" s="3" t="s">
        <v>46</v>
      </c>
      <c r="G55" s="3"/>
      <c r="H55" s="5" t="s">
        <v>14</v>
      </c>
    </row>
    <row r="57" spans="3:24">
      <c r="J57" s="3"/>
    </row>
    <row r="58" spans="3:24">
      <c r="C58" s="5" t="s">
        <v>215</v>
      </c>
      <c r="D58" s="5"/>
      <c r="E58" s="5"/>
      <c r="F58" s="5"/>
      <c r="G58" s="5"/>
      <c r="H58" s="5"/>
      <c r="I58" s="6"/>
    </row>
    <row r="59" spans="3:24">
      <c r="C59" s="5" t="s">
        <v>6</v>
      </c>
      <c r="D59" s="5" t="s">
        <v>1</v>
      </c>
      <c r="E59" s="5" t="s">
        <v>7</v>
      </c>
      <c r="F59" s="5" t="s">
        <v>49</v>
      </c>
      <c r="G59" s="5" t="s">
        <v>50</v>
      </c>
      <c r="H59" s="5" t="s">
        <v>11</v>
      </c>
      <c r="I59" s="6"/>
    </row>
    <row r="60" spans="3:24">
      <c r="C60" s="5" t="s">
        <v>56</v>
      </c>
      <c r="D60" s="5" t="s">
        <v>57</v>
      </c>
      <c r="E60" s="8" t="s">
        <v>58</v>
      </c>
      <c r="F60" s="5" t="s">
        <v>46</v>
      </c>
      <c r="G60" s="5" t="s">
        <v>10</v>
      </c>
      <c r="H60" s="5" t="s">
        <v>14</v>
      </c>
      <c r="I60" s="6"/>
    </row>
    <row r="61" spans="3:24">
      <c r="C61" s="5"/>
      <c r="D61" s="7" t="s">
        <v>59</v>
      </c>
      <c r="E61" s="7" t="s">
        <v>61</v>
      </c>
      <c r="F61" s="5" t="s">
        <v>46</v>
      </c>
      <c r="G61" s="5" t="s">
        <v>10</v>
      </c>
      <c r="H61" s="5" t="s">
        <v>14</v>
      </c>
      <c r="I61" s="6"/>
      <c r="J61" s="6"/>
      <c r="K61" s="6"/>
      <c r="L61" s="6"/>
      <c r="M61" s="6"/>
      <c r="N61" s="7" t="s">
        <v>312</v>
      </c>
      <c r="P61" s="6"/>
      <c r="Q61" s="6"/>
      <c r="R61" s="6"/>
      <c r="S61" s="6"/>
      <c r="T61" s="6"/>
      <c r="U61" s="6"/>
      <c r="V61" s="6"/>
      <c r="W61" s="6"/>
      <c r="X61" s="6"/>
    </row>
    <row r="62" spans="3:24">
      <c r="C62" s="5"/>
      <c r="D62" s="5"/>
      <c r="E62" s="5"/>
      <c r="F62" s="5"/>
      <c r="G62" s="5"/>
      <c r="H62" s="5"/>
      <c r="I62" s="6"/>
      <c r="J62" s="6" t="s">
        <v>1</v>
      </c>
      <c r="K62" s="6" t="s">
        <v>51</v>
      </c>
      <c r="L62" s="6" t="s">
        <v>52</v>
      </c>
      <c r="M62" s="6" t="s">
        <v>22</v>
      </c>
      <c r="N62" s="7" t="s">
        <v>53</v>
      </c>
      <c r="O62" s="6">
        <f>K88</f>
        <v>2020</v>
      </c>
      <c r="P62" s="6">
        <f>L88</f>
        <v>2025</v>
      </c>
      <c r="Q62" s="6">
        <f>M88</f>
        <v>2030</v>
      </c>
      <c r="R62" s="6">
        <f t="shared" ref="R62:U62" si="0">N88</f>
        <v>2035</v>
      </c>
      <c r="S62" s="6">
        <f t="shared" si="0"/>
        <v>2040</v>
      </c>
      <c r="T62" s="6">
        <f t="shared" si="0"/>
        <v>2045</v>
      </c>
      <c r="U62" s="6">
        <f t="shared" si="0"/>
        <v>2050</v>
      </c>
      <c r="V62" s="6" t="s">
        <v>3</v>
      </c>
      <c r="W62" s="6" t="s">
        <v>54</v>
      </c>
      <c r="X62" t="s">
        <v>55</v>
      </c>
    </row>
    <row r="63" spans="3:24">
      <c r="C63" s="5"/>
      <c r="D63" s="5"/>
      <c r="E63" s="5"/>
      <c r="F63" s="5"/>
      <c r="G63" s="5"/>
      <c r="H63" s="5"/>
      <c r="I63" s="6"/>
      <c r="J63" s="6" t="s">
        <v>59</v>
      </c>
      <c r="K63" s="6" t="s">
        <v>60</v>
      </c>
      <c r="L63" s="3" t="s">
        <v>47</v>
      </c>
      <c r="M63" s="3" t="s">
        <v>19</v>
      </c>
      <c r="N63" s="6" t="s">
        <v>18</v>
      </c>
      <c r="O63" s="9">
        <f>1/O70</f>
        <v>1.1764705882352942</v>
      </c>
      <c r="P63" s="9"/>
      <c r="Q63" s="9"/>
      <c r="R63" s="9"/>
      <c r="S63" s="9"/>
      <c r="T63" s="9"/>
      <c r="U63" s="9"/>
      <c r="V63" s="6"/>
      <c r="W63" s="5" t="str">
        <f>L63</f>
        <v>AuxStoOUT</v>
      </c>
      <c r="X63">
        <v>20</v>
      </c>
    </row>
    <row r="64" spans="3:24">
      <c r="J64" s="6" t="s">
        <v>59</v>
      </c>
      <c r="K64" s="6" t="s">
        <v>62</v>
      </c>
      <c r="L64" s="6" t="s">
        <v>63</v>
      </c>
      <c r="M64" s="6" t="s">
        <v>19</v>
      </c>
      <c r="N64" s="6" t="s">
        <v>14</v>
      </c>
      <c r="O64" s="9">
        <f>4/24</f>
        <v>0.16666666666666666</v>
      </c>
      <c r="P64" s="4"/>
      <c r="Q64" s="4"/>
      <c r="R64" s="4"/>
      <c r="S64" s="4"/>
      <c r="T64" s="4"/>
      <c r="U64" s="4"/>
      <c r="V64" s="5" t="str">
        <f>M64</f>
        <v>ELC</v>
      </c>
    </row>
    <row r="65" spans="10:24">
      <c r="J65" s="6" t="s">
        <v>59</v>
      </c>
      <c r="K65" s="6" t="s">
        <v>62</v>
      </c>
      <c r="L65" s="6" t="s">
        <v>24</v>
      </c>
      <c r="M65" s="6"/>
      <c r="N65" s="7" t="s">
        <v>14</v>
      </c>
      <c r="O65" s="9">
        <v>1</v>
      </c>
      <c r="P65" s="9"/>
      <c r="Q65" s="9"/>
      <c r="R65" s="9"/>
      <c r="S65" s="9"/>
      <c r="T65" s="9"/>
      <c r="U65" s="9"/>
      <c r="V65" s="6"/>
      <c r="W65" s="6"/>
    </row>
    <row r="66" spans="10:24">
      <c r="J66" s="6" t="s">
        <v>59</v>
      </c>
      <c r="K66" s="6" t="s">
        <v>64</v>
      </c>
      <c r="L66" s="6"/>
      <c r="M66" s="6"/>
      <c r="N66" s="7"/>
      <c r="O66" s="9">
        <f>K93</f>
        <v>1363</v>
      </c>
      <c r="P66" s="9">
        <f>L93</f>
        <v>956</v>
      </c>
      <c r="Q66" s="9">
        <f>M93</f>
        <v>784</v>
      </c>
      <c r="R66" s="9">
        <f t="shared" ref="R66:U66" si="1">N93</f>
        <v>735</v>
      </c>
      <c r="S66" s="9">
        <f t="shared" si="1"/>
        <v>686</v>
      </c>
      <c r="T66" s="9">
        <f t="shared" si="1"/>
        <v>637</v>
      </c>
      <c r="U66" s="9">
        <f t="shared" si="1"/>
        <v>588</v>
      </c>
      <c r="V66" s="6"/>
      <c r="W66" s="6"/>
    </row>
    <row r="67" spans="10:24">
      <c r="J67" t="s">
        <v>59</v>
      </c>
      <c r="K67" t="s">
        <v>65</v>
      </c>
      <c r="O67" s="4">
        <f>K97</f>
        <v>34</v>
      </c>
      <c r="P67" s="4">
        <f>L97</f>
        <v>24</v>
      </c>
      <c r="Q67" s="4">
        <f>M97</f>
        <v>20</v>
      </c>
      <c r="R67" s="4">
        <f t="shared" ref="R67:U67" si="2">N97</f>
        <v>18</v>
      </c>
      <c r="S67" s="4">
        <f t="shared" si="2"/>
        <v>17</v>
      </c>
      <c r="T67" s="4">
        <f t="shared" si="2"/>
        <v>16</v>
      </c>
      <c r="U67" s="4">
        <f t="shared" si="2"/>
        <v>15</v>
      </c>
    </row>
    <row r="68" spans="10:24">
      <c r="J68" t="s">
        <v>59</v>
      </c>
      <c r="K68" t="s">
        <v>66</v>
      </c>
      <c r="N68" t="s">
        <v>18</v>
      </c>
      <c r="O68" s="4">
        <v>1</v>
      </c>
      <c r="P68" s="4"/>
      <c r="Q68" s="4"/>
      <c r="R68" s="4"/>
      <c r="S68" s="4"/>
      <c r="T68" s="4"/>
      <c r="U68" s="4"/>
    </row>
    <row r="69" spans="10:24">
      <c r="J69" t="s">
        <v>59</v>
      </c>
      <c r="K69" t="s">
        <v>67</v>
      </c>
      <c r="O69" s="9">
        <v>31.536000000000001</v>
      </c>
      <c r="P69" s="4"/>
      <c r="Q69" s="4"/>
      <c r="R69" s="4"/>
      <c r="S69" s="4"/>
      <c r="T69" s="4"/>
      <c r="U69" s="4"/>
    </row>
    <row r="70" spans="10:24">
      <c r="J70" t="s">
        <v>59</v>
      </c>
      <c r="K70" t="s">
        <v>68</v>
      </c>
      <c r="O70" s="4">
        <v>0.85</v>
      </c>
      <c r="P70" s="4"/>
      <c r="Q70" s="4"/>
      <c r="R70" s="4"/>
      <c r="S70" s="4"/>
      <c r="T70" s="4"/>
      <c r="U70" s="4"/>
    </row>
    <row r="71" spans="10:24">
      <c r="J71" t="s">
        <v>57</v>
      </c>
      <c r="K71" t="s">
        <v>60</v>
      </c>
      <c r="L71" s="3" t="s">
        <v>47</v>
      </c>
      <c r="M71" s="3" t="s">
        <v>19</v>
      </c>
      <c r="N71" t="s">
        <v>18</v>
      </c>
      <c r="O71" s="9">
        <f>1/O78</f>
        <v>1.1764705882352942</v>
      </c>
      <c r="P71" s="4"/>
      <c r="Q71" s="4"/>
      <c r="R71" s="4"/>
      <c r="S71" s="4"/>
      <c r="T71" s="4"/>
      <c r="U71" s="4"/>
      <c r="V71" s="6"/>
      <c r="W71" s="5" t="str">
        <f>L71</f>
        <v>AuxStoOUT</v>
      </c>
      <c r="X71">
        <v>20</v>
      </c>
    </row>
    <row r="72" spans="10:24">
      <c r="J72" t="s">
        <v>57</v>
      </c>
      <c r="K72" t="s">
        <v>62</v>
      </c>
      <c r="L72" t="s">
        <v>63</v>
      </c>
      <c r="M72" t="s">
        <v>19</v>
      </c>
      <c r="N72" t="s">
        <v>14</v>
      </c>
      <c r="O72" s="4">
        <f>8/24</f>
        <v>0.33333333333333331</v>
      </c>
      <c r="P72" s="4"/>
      <c r="Q72" s="4"/>
      <c r="R72" s="4"/>
      <c r="S72" s="4"/>
      <c r="T72" s="4"/>
      <c r="U72" s="4"/>
      <c r="V72" s="5" t="str">
        <f>M72</f>
        <v>ELC</v>
      </c>
    </row>
    <row r="73" spans="10:24">
      <c r="J73" t="s">
        <v>57</v>
      </c>
      <c r="K73" t="s">
        <v>62</v>
      </c>
      <c r="L73" t="s">
        <v>24</v>
      </c>
      <c r="N73" t="s">
        <v>14</v>
      </c>
      <c r="O73" s="4">
        <v>1</v>
      </c>
      <c r="P73" s="4"/>
      <c r="Q73" s="4"/>
      <c r="R73" s="4"/>
      <c r="S73" s="4"/>
      <c r="T73" s="4"/>
      <c r="U73" s="4"/>
    </row>
    <row r="74" spans="10:24">
      <c r="J74" t="s">
        <v>57</v>
      </c>
      <c r="K74" t="s">
        <v>64</v>
      </c>
      <c r="O74" s="4">
        <f>K102</f>
        <v>2470</v>
      </c>
      <c r="P74" s="4">
        <f>L102</f>
        <v>1714</v>
      </c>
      <c r="Q74" s="4">
        <f>M102</f>
        <v>1371</v>
      </c>
      <c r="R74" s="4">
        <f t="shared" ref="R74:U74" si="3">N102</f>
        <v>1277</v>
      </c>
      <c r="S74" s="4">
        <f t="shared" si="3"/>
        <v>1183</v>
      </c>
      <c r="T74" s="4">
        <f t="shared" si="3"/>
        <v>1089</v>
      </c>
      <c r="U74" s="4">
        <f t="shared" si="3"/>
        <v>995</v>
      </c>
    </row>
    <row r="75" spans="10:24">
      <c r="J75" t="s">
        <v>57</v>
      </c>
      <c r="K75" t="s">
        <v>65</v>
      </c>
      <c r="O75" s="4">
        <f>K106</f>
        <v>62</v>
      </c>
      <c r="P75" s="4">
        <f>L106</f>
        <v>43</v>
      </c>
      <c r="Q75" s="4">
        <f>M106</f>
        <v>34</v>
      </c>
      <c r="R75" s="4">
        <f t="shared" ref="R75:U75" si="4">N106</f>
        <v>32</v>
      </c>
      <c r="S75" s="4">
        <f t="shared" si="4"/>
        <v>30</v>
      </c>
      <c r="T75" s="4">
        <f t="shared" si="4"/>
        <v>27</v>
      </c>
      <c r="U75" s="4">
        <f t="shared" si="4"/>
        <v>25</v>
      </c>
    </row>
    <row r="76" spans="10:24">
      <c r="J76" t="s">
        <v>57</v>
      </c>
      <c r="K76" t="s">
        <v>66</v>
      </c>
      <c r="N76" t="s">
        <v>18</v>
      </c>
      <c r="O76" s="4">
        <v>1</v>
      </c>
      <c r="P76" s="4"/>
      <c r="Q76" s="4"/>
      <c r="R76" s="4"/>
      <c r="S76" s="4"/>
      <c r="T76" s="4"/>
      <c r="U76" s="4"/>
    </row>
    <row r="77" spans="10:24">
      <c r="J77" t="s">
        <v>57</v>
      </c>
      <c r="K77" t="s">
        <v>67</v>
      </c>
      <c r="O77" s="9">
        <v>31.536000000000001</v>
      </c>
      <c r="P77" s="4"/>
      <c r="Q77" s="4"/>
      <c r="R77" s="4"/>
      <c r="S77" s="4"/>
      <c r="T77" s="4"/>
      <c r="U77" s="4"/>
    </row>
    <row r="78" spans="10:24">
      <c r="J78" t="s">
        <v>57</v>
      </c>
      <c r="K78" t="s">
        <v>68</v>
      </c>
      <c r="O78" s="4">
        <v>0.85</v>
      </c>
      <c r="P78" s="4"/>
      <c r="Q78" s="4"/>
      <c r="R78" s="4"/>
      <c r="S78" s="4"/>
      <c r="T78" s="4"/>
      <c r="U78" s="4"/>
    </row>
    <row r="84" spans="10:23" ht="15.75">
      <c r="J84" s="10" t="s">
        <v>69</v>
      </c>
      <c r="K84" s="11"/>
      <c r="L84" s="11"/>
      <c r="M84" s="11"/>
      <c r="N84" s="11"/>
      <c r="O84" s="11"/>
      <c r="P84" s="11"/>
      <c r="Q84" s="11"/>
    </row>
    <row r="85" spans="10:23" ht="15.75">
      <c r="J85" s="10" t="s">
        <v>70</v>
      </c>
      <c r="K85" s="11"/>
      <c r="L85" s="11"/>
      <c r="M85" s="11"/>
      <c r="N85" s="11"/>
      <c r="O85" s="11"/>
      <c r="P85" s="11"/>
      <c r="Q85" s="11"/>
    </row>
    <row r="86" spans="10:23">
      <c r="J86" s="12"/>
      <c r="K86" s="12"/>
      <c r="L86" s="12"/>
      <c r="M86" s="12"/>
      <c r="N86" s="12"/>
      <c r="O86" s="12"/>
      <c r="P86" s="12"/>
      <c r="Q86" s="12"/>
    </row>
    <row r="87" spans="10:23" ht="15.75">
      <c r="J87" s="13" t="s">
        <v>71</v>
      </c>
      <c r="K87" s="14"/>
      <c r="L87" s="14"/>
      <c r="M87" s="14"/>
      <c r="N87" s="14"/>
      <c r="O87" s="14"/>
      <c r="P87" s="14"/>
      <c r="Q87" s="14"/>
      <c r="W87">
        <f>24/8</f>
        <v>3</v>
      </c>
    </row>
    <row r="88" spans="10:23" ht="15.75">
      <c r="J88" s="14"/>
      <c r="K88" s="14">
        <v>2020</v>
      </c>
      <c r="L88" s="14">
        <v>2025</v>
      </c>
      <c r="M88" s="14">
        <v>2030</v>
      </c>
      <c r="N88" s="14">
        <v>2035</v>
      </c>
      <c r="O88" s="14">
        <v>2040</v>
      </c>
      <c r="P88" s="14">
        <v>2045</v>
      </c>
      <c r="Q88" s="14">
        <v>2050</v>
      </c>
    </row>
    <row r="89" spans="10:23" ht="15.75">
      <c r="J89" s="15" t="s">
        <v>72</v>
      </c>
      <c r="K89" s="14"/>
      <c r="L89" s="14"/>
      <c r="M89" s="14"/>
      <c r="N89" s="14"/>
      <c r="O89" s="14"/>
      <c r="P89" s="14"/>
      <c r="Q89" s="14"/>
    </row>
    <row r="90" spans="10:23" ht="15.75">
      <c r="J90" s="13" t="s">
        <v>73</v>
      </c>
      <c r="K90" s="14"/>
      <c r="L90" s="14"/>
      <c r="M90" s="14"/>
      <c r="N90" s="14"/>
      <c r="O90" s="14"/>
      <c r="P90" s="14"/>
      <c r="Q90" s="14"/>
    </row>
    <row r="91" spans="10:23" ht="15.75">
      <c r="J91" s="14" t="s">
        <v>74</v>
      </c>
      <c r="K91" s="16">
        <v>1363</v>
      </c>
      <c r="L91" s="16">
        <v>839</v>
      </c>
      <c r="M91" s="16">
        <v>566</v>
      </c>
      <c r="N91" s="16">
        <v>512</v>
      </c>
      <c r="O91" s="16">
        <v>454</v>
      </c>
      <c r="P91" s="16">
        <v>400</v>
      </c>
      <c r="Q91" s="16">
        <v>346</v>
      </c>
    </row>
    <row r="92" spans="10:23" ht="15.75">
      <c r="J92" s="14" t="s">
        <v>75</v>
      </c>
      <c r="K92" s="16">
        <v>1363</v>
      </c>
      <c r="L92" s="16">
        <v>1167</v>
      </c>
      <c r="M92" s="16">
        <v>981</v>
      </c>
      <c r="N92" s="16">
        <v>981</v>
      </c>
      <c r="O92" s="16">
        <v>981</v>
      </c>
      <c r="P92" s="16">
        <v>981</v>
      </c>
      <c r="Q92" s="16">
        <v>981</v>
      </c>
    </row>
    <row r="93" spans="10:23" ht="15.75">
      <c r="J93" s="14" t="s">
        <v>76</v>
      </c>
      <c r="K93" s="16">
        <v>1363</v>
      </c>
      <c r="L93" s="16">
        <v>956</v>
      </c>
      <c r="M93" s="16">
        <v>784</v>
      </c>
      <c r="N93" s="16">
        <v>735</v>
      </c>
      <c r="O93" s="16">
        <v>686</v>
      </c>
      <c r="P93" s="16">
        <v>637</v>
      </c>
      <c r="Q93" s="16">
        <v>588</v>
      </c>
    </row>
    <row r="94" spans="10:23" ht="15.75">
      <c r="J94" s="13" t="s">
        <v>77</v>
      </c>
      <c r="K94" s="17"/>
      <c r="L94" s="17"/>
      <c r="M94" s="17"/>
      <c r="N94" s="17"/>
      <c r="O94" s="17"/>
      <c r="P94" s="17"/>
      <c r="Q94" s="17"/>
    </row>
    <row r="95" spans="10:23" ht="15.75">
      <c r="J95" s="14" t="s">
        <v>74</v>
      </c>
      <c r="K95" s="18">
        <v>34</v>
      </c>
      <c r="L95" s="18">
        <v>21</v>
      </c>
      <c r="M95" s="18">
        <v>14</v>
      </c>
      <c r="N95" s="18">
        <v>13</v>
      </c>
      <c r="O95" s="18">
        <v>11</v>
      </c>
      <c r="P95" s="18">
        <v>10</v>
      </c>
      <c r="Q95" s="18">
        <v>9</v>
      </c>
    </row>
    <row r="96" spans="10:23" ht="15.75">
      <c r="J96" s="14" t="s">
        <v>75</v>
      </c>
      <c r="K96" s="18">
        <v>34</v>
      </c>
      <c r="L96" s="18">
        <v>29</v>
      </c>
      <c r="M96" s="18">
        <v>25</v>
      </c>
      <c r="N96" s="18">
        <v>25</v>
      </c>
      <c r="O96" s="18">
        <v>25</v>
      </c>
      <c r="P96" s="18">
        <v>25</v>
      </c>
      <c r="Q96" s="18">
        <v>25</v>
      </c>
    </row>
    <row r="97" spans="10:17" ht="15.75">
      <c r="J97" s="14" t="s">
        <v>76</v>
      </c>
      <c r="K97" s="18">
        <v>34</v>
      </c>
      <c r="L97" s="18">
        <v>24</v>
      </c>
      <c r="M97" s="18">
        <v>20</v>
      </c>
      <c r="N97" s="18">
        <v>18</v>
      </c>
      <c r="O97" s="18">
        <v>17</v>
      </c>
      <c r="P97" s="18">
        <v>16</v>
      </c>
      <c r="Q97" s="18">
        <v>15</v>
      </c>
    </row>
    <row r="98" spans="10:17" ht="15.75">
      <c r="J98" s="15" t="s">
        <v>78</v>
      </c>
      <c r="K98" s="17"/>
      <c r="L98" s="17"/>
      <c r="M98" s="17"/>
      <c r="N98" s="17"/>
      <c r="O98" s="17"/>
      <c r="P98" s="17"/>
      <c r="Q98" s="17"/>
    </row>
    <row r="99" spans="10:17" ht="15.75">
      <c r="J99" s="13" t="s">
        <v>73</v>
      </c>
      <c r="K99" s="17"/>
      <c r="L99" s="17"/>
      <c r="M99" s="17"/>
      <c r="N99" s="17"/>
      <c r="O99" s="17"/>
      <c r="P99" s="17"/>
      <c r="Q99" s="17"/>
    </row>
    <row r="100" spans="10:17" ht="15.75">
      <c r="J100" s="14" t="s">
        <v>74</v>
      </c>
      <c r="K100" s="16">
        <v>2470</v>
      </c>
      <c r="L100" s="16">
        <v>1518</v>
      </c>
      <c r="M100" s="16">
        <v>1024</v>
      </c>
      <c r="N100" s="16">
        <v>927</v>
      </c>
      <c r="O100" s="16">
        <v>822</v>
      </c>
      <c r="P100" s="16">
        <v>724</v>
      </c>
      <c r="Q100" s="16">
        <v>626</v>
      </c>
    </row>
    <row r="101" spans="10:17" ht="15.75">
      <c r="J101" s="14" t="s">
        <v>75</v>
      </c>
      <c r="K101" s="16">
        <v>2470</v>
      </c>
      <c r="L101" s="16">
        <v>2111</v>
      </c>
      <c r="M101" s="16">
        <v>1754</v>
      </c>
      <c r="N101" s="16">
        <v>1754</v>
      </c>
      <c r="O101" s="16">
        <v>1754</v>
      </c>
      <c r="P101" s="16">
        <v>1754</v>
      </c>
      <c r="Q101" s="16">
        <v>1754</v>
      </c>
    </row>
    <row r="102" spans="10:17" ht="15.75">
      <c r="J102" s="14" t="s">
        <v>76</v>
      </c>
      <c r="K102" s="16">
        <v>2470</v>
      </c>
      <c r="L102" s="16">
        <v>1714</v>
      </c>
      <c r="M102" s="16">
        <v>1371</v>
      </c>
      <c r="N102" s="16">
        <v>1277</v>
      </c>
      <c r="O102" s="16">
        <v>1183</v>
      </c>
      <c r="P102" s="16">
        <v>1089</v>
      </c>
      <c r="Q102" s="16">
        <v>995</v>
      </c>
    </row>
    <row r="103" spans="10:17" ht="15.75">
      <c r="J103" s="13" t="s">
        <v>77</v>
      </c>
      <c r="K103" s="17"/>
      <c r="L103" s="17"/>
      <c r="M103" s="17"/>
      <c r="N103" s="17"/>
      <c r="O103" s="17"/>
      <c r="P103" s="17"/>
      <c r="Q103" s="17"/>
    </row>
    <row r="104" spans="10:17" ht="15.75">
      <c r="J104" s="14" t="s">
        <v>74</v>
      </c>
      <c r="K104" s="18">
        <v>62</v>
      </c>
      <c r="L104" s="18">
        <v>38</v>
      </c>
      <c r="M104" s="18">
        <v>26</v>
      </c>
      <c r="N104" s="18">
        <v>23</v>
      </c>
      <c r="O104" s="18">
        <v>21</v>
      </c>
      <c r="P104" s="18">
        <v>18</v>
      </c>
      <c r="Q104" s="18">
        <v>16</v>
      </c>
    </row>
    <row r="105" spans="10:17" ht="15.75">
      <c r="J105" s="14" t="s">
        <v>75</v>
      </c>
      <c r="K105" s="18">
        <v>62</v>
      </c>
      <c r="L105" s="18">
        <v>53</v>
      </c>
      <c r="M105" s="18">
        <v>44</v>
      </c>
      <c r="N105" s="18">
        <v>44</v>
      </c>
      <c r="O105" s="18">
        <v>44</v>
      </c>
      <c r="P105" s="18">
        <v>44</v>
      </c>
      <c r="Q105" s="18">
        <v>44</v>
      </c>
    </row>
    <row r="106" spans="10:17" ht="15.75">
      <c r="J106" s="14" t="s">
        <v>76</v>
      </c>
      <c r="K106" s="18">
        <v>62</v>
      </c>
      <c r="L106" s="18">
        <v>43</v>
      </c>
      <c r="M106" s="18">
        <v>34</v>
      </c>
      <c r="N106" s="18">
        <v>32</v>
      </c>
      <c r="O106" s="18">
        <v>30</v>
      </c>
      <c r="P106" s="18">
        <v>27</v>
      </c>
      <c r="Q106" s="18">
        <v>25</v>
      </c>
    </row>
    <row r="107" spans="10:17">
      <c r="J107" s="12"/>
      <c r="K107" s="12"/>
      <c r="L107" s="12"/>
      <c r="M107" s="12"/>
      <c r="N107" s="12"/>
      <c r="O107" s="12"/>
      <c r="P107" s="12"/>
      <c r="Q107" s="12"/>
    </row>
    <row r="108" spans="10:17" ht="15.75">
      <c r="J108" s="11" t="s">
        <v>79</v>
      </c>
      <c r="K108" s="11">
        <v>0.85</v>
      </c>
      <c r="L108" s="11"/>
      <c r="M108" s="11"/>
      <c r="N108" s="11"/>
      <c r="O108" s="11"/>
      <c r="P108" s="11"/>
      <c r="Q108" s="11"/>
    </row>
    <row r="109" spans="10:17" ht="15.75">
      <c r="J109" s="11" t="s">
        <v>80</v>
      </c>
      <c r="K109" s="11"/>
      <c r="L109" s="11"/>
      <c r="M109" s="11"/>
      <c r="N109" s="11"/>
      <c r="O109" s="11"/>
      <c r="P109" s="11"/>
      <c r="Q109" s="11"/>
    </row>
    <row r="110" spans="10:17" ht="15.75">
      <c r="J110" s="11" t="s">
        <v>81</v>
      </c>
      <c r="K110" s="11"/>
      <c r="L110" s="11"/>
      <c r="M110" s="11"/>
      <c r="N110" s="19"/>
      <c r="O110" s="11"/>
      <c r="P110" s="11"/>
      <c r="Q110" s="11"/>
    </row>
  </sheetData>
  <phoneticPr fontId="27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zoomScale="71" workbookViewId="0">
      <selection activeCell="J16" sqref="J16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5.28515625" bestFit="1" customWidth="1"/>
    <col min="10" max="10" width="2" bestFit="1" customWidth="1"/>
    <col min="11" max="11" width="7" bestFit="1" customWidth="1"/>
    <col min="12" max="12" width="15" bestFit="1" customWidth="1"/>
    <col min="13" max="13" width="4" bestFit="1" customWidth="1"/>
    <col min="14" max="14" width="6.42578125" bestFit="1" customWidth="1"/>
    <col min="15" max="15" width="8.140625" bestFit="1" customWidth="1"/>
    <col min="16" max="16" width="4.5703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217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215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54</v>
      </c>
      <c r="F4" t="s">
        <v>52</v>
      </c>
      <c r="G4" t="s">
        <v>82</v>
      </c>
      <c r="H4" t="s">
        <v>83</v>
      </c>
      <c r="I4">
        <v>2030</v>
      </c>
      <c r="J4">
        <v>0</v>
      </c>
      <c r="K4" s="23" t="s">
        <v>84</v>
      </c>
      <c r="L4" s="23" t="s">
        <v>85</v>
      </c>
      <c r="M4" s="23" t="s">
        <v>55</v>
      </c>
      <c r="N4" s="23" t="s">
        <v>97</v>
      </c>
      <c r="O4" s="23" t="s">
        <v>86</v>
      </c>
      <c r="P4" s="23" t="s">
        <v>87</v>
      </c>
      <c r="Q4" s="23"/>
      <c r="R4" s="23" t="s">
        <v>6</v>
      </c>
      <c r="S4" s="23" t="s">
        <v>1</v>
      </c>
      <c r="T4" s="23" t="s">
        <v>7</v>
      </c>
      <c r="U4" s="23" t="s">
        <v>49</v>
      </c>
      <c r="V4" s="23" t="s">
        <v>50</v>
      </c>
      <c r="W4" s="23" t="s">
        <v>11</v>
      </c>
      <c r="X4" s="23" t="s">
        <v>88</v>
      </c>
      <c r="Y4" s="23" t="s">
        <v>89</v>
      </c>
    </row>
    <row r="5" spans="2:25">
      <c r="B5" t="s">
        <v>99</v>
      </c>
      <c r="C5" t="s">
        <v>19</v>
      </c>
      <c r="F5" t="s">
        <v>24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92</v>
      </c>
      <c r="S5" s="23" t="str">
        <f>B5</f>
        <v>ev_battery</v>
      </c>
      <c r="T5" s="23" t="s">
        <v>90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63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91</v>
      </c>
      <c r="E7" t="s">
        <v>44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tr">
        <f>C5</f>
        <v>ELC</v>
      </c>
      <c r="G8" t="str">
        <f>E7</f>
        <v>AuxStoIN</v>
      </c>
      <c r="H8" t="s">
        <v>60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topLeftCell="F1" zoomScale="85" zoomScaleNormal="85" workbookViewId="0">
      <selection activeCell="B19" sqref="B19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104</v>
      </c>
      <c r="C1" s="163" t="s">
        <v>105</v>
      </c>
      <c r="D1" s="163"/>
      <c r="E1" s="163"/>
      <c r="F1" s="164" t="s">
        <v>106</v>
      </c>
      <c r="G1" s="163"/>
      <c r="H1" s="165"/>
      <c r="I1" s="163" t="s">
        <v>107</v>
      </c>
      <c r="J1" s="163"/>
      <c r="K1" s="163"/>
      <c r="L1" s="163"/>
      <c r="M1" s="163"/>
      <c r="N1" s="163"/>
      <c r="O1" s="166" t="s">
        <v>108</v>
      </c>
      <c r="P1" s="27"/>
      <c r="Q1" s="27"/>
      <c r="R1" s="27"/>
    </row>
    <row r="2" spans="1:18">
      <c r="C2" s="28" t="s">
        <v>97</v>
      </c>
      <c r="D2" s="28" t="s">
        <v>97</v>
      </c>
      <c r="E2" s="28" t="s">
        <v>97</v>
      </c>
      <c r="F2" s="28" t="s">
        <v>109</v>
      </c>
      <c r="G2" s="28" t="s">
        <v>109</v>
      </c>
      <c r="H2" s="28" t="s">
        <v>109</v>
      </c>
      <c r="I2" s="28" t="s">
        <v>110</v>
      </c>
      <c r="J2" s="28" t="s">
        <v>141</v>
      </c>
      <c r="K2" s="28" t="str">
        <f>I2</f>
        <v>input~GASNGA</v>
      </c>
      <c r="L2" s="28" t="s">
        <v>141</v>
      </c>
      <c r="M2" s="28" t="str">
        <f>K2</f>
        <v>input~GASNGA</v>
      </c>
      <c r="N2" s="28" t="s">
        <v>141</v>
      </c>
      <c r="O2" s="167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67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111</v>
      </c>
      <c r="F4" s="30">
        <v>2015</v>
      </c>
      <c r="G4" s="29">
        <v>2030</v>
      </c>
      <c r="H4" s="31" t="s">
        <v>111</v>
      </c>
      <c r="I4" s="29" t="s">
        <v>112</v>
      </c>
      <c r="J4" s="29" t="s">
        <v>113</v>
      </c>
      <c r="K4" s="32" t="s">
        <v>114</v>
      </c>
      <c r="L4" s="33" t="s">
        <v>115</v>
      </c>
      <c r="M4" s="29" t="s">
        <v>116</v>
      </c>
      <c r="N4" s="29" t="s">
        <v>117</v>
      </c>
      <c r="O4" s="168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118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119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120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121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122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123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124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125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126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127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128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129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130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131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132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133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134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135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136</v>
      </c>
      <c r="P23" s="123"/>
      <c r="Q23" s="123"/>
      <c r="R23" s="123"/>
    </row>
    <row r="26" spans="1:26" ht="18" thickBot="1">
      <c r="C26" s="143" t="s">
        <v>216</v>
      </c>
      <c r="T26" s="143" t="s">
        <v>215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141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55</v>
      </c>
      <c r="Q27" s="144" t="s">
        <v>137</v>
      </c>
      <c r="T27" s="144" t="s">
        <v>6</v>
      </c>
      <c r="U27" s="144" t="s">
        <v>1</v>
      </c>
      <c r="V27" s="144" t="s">
        <v>7</v>
      </c>
      <c r="W27" s="144" t="s">
        <v>50</v>
      </c>
      <c r="X27" s="144" t="s">
        <v>49</v>
      </c>
      <c r="Y27" s="144" t="s">
        <v>11</v>
      </c>
      <c r="Z27" s="144" t="s">
        <v>89</v>
      </c>
    </row>
    <row r="28" spans="1:26">
      <c r="A28" t="s">
        <v>33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139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138</v>
      </c>
    </row>
    <row r="29" spans="1:26">
      <c r="A29" t="s">
        <v>33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140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138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9:M25"/>
  <sheetViews>
    <sheetView topLeftCell="A7" zoomScale="80" workbookViewId="0">
      <selection activeCell="L29" sqref="L29"/>
    </sheetView>
  </sheetViews>
  <sheetFormatPr defaultRowHeight="15"/>
  <cols>
    <col min="3" max="3" width="17.85546875" bestFit="1" customWidth="1"/>
    <col min="4" max="4" width="24.85546875" bestFit="1" customWidth="1"/>
    <col min="10" max="10" width="18.42578125" bestFit="1" customWidth="1"/>
    <col min="11" max="11" width="18.140625" bestFit="1" customWidth="1"/>
    <col min="12" max="12" width="11.85546875" bestFit="1" customWidth="1"/>
    <col min="16" max="16" width="26" bestFit="1" customWidth="1"/>
    <col min="17" max="17" width="36.28515625" bestFit="1" customWidth="1"/>
    <col min="19" max="19" width="12" bestFit="1" customWidth="1"/>
    <col min="20" max="20" width="9.7109375" bestFit="1" customWidth="1"/>
    <col min="24" max="24" width="26" bestFit="1" customWidth="1"/>
    <col min="25" max="25" width="18.140625" bestFit="1" customWidth="1"/>
    <col min="26" max="26" width="50" bestFit="1" customWidth="1"/>
    <col min="27" max="27" width="12" bestFit="1" customWidth="1"/>
    <col min="28" max="28" width="19.85546875" bestFit="1" customWidth="1"/>
  </cols>
  <sheetData>
    <row r="9" spans="2:13">
      <c r="B9" t="s">
        <v>158</v>
      </c>
      <c r="J9" t="s">
        <v>169</v>
      </c>
    </row>
    <row r="10" spans="2:13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170</v>
      </c>
      <c r="L10" t="s">
        <v>171</v>
      </c>
      <c r="M10" t="s">
        <v>172</v>
      </c>
    </row>
    <row r="11" spans="2:13">
      <c r="B11" t="s">
        <v>166</v>
      </c>
      <c r="C11" t="s">
        <v>223</v>
      </c>
      <c r="D11" t="s">
        <v>222</v>
      </c>
      <c r="E11" t="s">
        <v>10</v>
      </c>
      <c r="F11" t="s">
        <v>21</v>
      </c>
      <c r="G11" t="s">
        <v>167</v>
      </c>
      <c r="H11" t="s">
        <v>168</v>
      </c>
      <c r="J11" t="s">
        <v>223</v>
      </c>
      <c r="K11" t="s">
        <v>221</v>
      </c>
      <c r="L11">
        <v>0.05</v>
      </c>
      <c r="M11">
        <v>0.1461854238754417</v>
      </c>
    </row>
    <row r="12" spans="2:13">
      <c r="B12" t="s">
        <v>166</v>
      </c>
      <c r="C12" t="s">
        <v>228</v>
      </c>
      <c r="D12" t="s">
        <v>230</v>
      </c>
      <c r="E12" t="s">
        <v>10</v>
      </c>
      <c r="F12" t="s">
        <v>21</v>
      </c>
      <c r="G12" t="s">
        <v>167</v>
      </c>
      <c r="H12" t="s">
        <v>168</v>
      </c>
      <c r="J12" t="s">
        <v>228</v>
      </c>
      <c r="K12" t="s">
        <v>227</v>
      </c>
      <c r="L12">
        <v>0.05</v>
      </c>
      <c r="M12">
        <v>0.14867925344692129</v>
      </c>
    </row>
    <row r="13" spans="2:13">
      <c r="B13" t="s">
        <v>166</v>
      </c>
      <c r="C13" t="s">
        <v>225</v>
      </c>
      <c r="D13" t="s">
        <v>233</v>
      </c>
      <c r="E13" t="s">
        <v>10</v>
      </c>
      <c r="F13" t="s">
        <v>21</v>
      </c>
      <c r="G13" t="s">
        <v>167</v>
      </c>
      <c r="H13" t="s">
        <v>168</v>
      </c>
      <c r="J13" t="s">
        <v>225</v>
      </c>
      <c r="K13" t="s">
        <v>226</v>
      </c>
      <c r="L13">
        <v>0.05</v>
      </c>
      <c r="M13">
        <v>0.14701259708091721</v>
      </c>
    </row>
    <row r="14" spans="2:13">
      <c r="B14" t="s">
        <v>166</v>
      </c>
      <c r="C14" t="s">
        <v>238</v>
      </c>
      <c r="D14" t="s">
        <v>232</v>
      </c>
      <c r="E14" t="s">
        <v>10</v>
      </c>
      <c r="F14" t="s">
        <v>21</v>
      </c>
      <c r="G14" t="s">
        <v>167</v>
      </c>
      <c r="H14" t="s">
        <v>168</v>
      </c>
      <c r="J14" t="str">
        <f>C14</f>
        <v>e_spv_ida_viru</v>
      </c>
      <c r="K14" t="s">
        <v>243</v>
      </c>
      <c r="L14">
        <v>0.05</v>
      </c>
      <c r="M14">
        <v>0.15309859852159369</v>
      </c>
    </row>
    <row r="15" spans="2:13">
      <c r="B15" t="s">
        <v>166</v>
      </c>
      <c r="C15" t="s">
        <v>239</v>
      </c>
      <c r="D15" t="s">
        <v>234</v>
      </c>
      <c r="E15" t="s">
        <v>10</v>
      </c>
      <c r="F15" t="s">
        <v>21</v>
      </c>
      <c r="G15" t="s">
        <v>167</v>
      </c>
      <c r="H15" t="s">
        <v>168</v>
      </c>
      <c r="J15" t="str">
        <f t="shared" ref="J15:J20" si="0">C15</f>
        <v>e_spv_jarva</v>
      </c>
      <c r="K15" t="s">
        <v>244</v>
      </c>
      <c r="L15">
        <v>0.05</v>
      </c>
      <c r="M15">
        <v>0.15852072747262991</v>
      </c>
    </row>
    <row r="16" spans="2:13">
      <c r="B16" t="s">
        <v>166</v>
      </c>
      <c r="C16" t="s">
        <v>240</v>
      </c>
      <c r="D16" t="s">
        <v>235</v>
      </c>
      <c r="E16" t="s">
        <v>10</v>
      </c>
      <c r="F16" t="s">
        <v>21</v>
      </c>
      <c r="G16" t="s">
        <v>167</v>
      </c>
      <c r="H16" t="s">
        <v>168</v>
      </c>
      <c r="J16" t="str">
        <f t="shared" si="0"/>
        <v>e_spv_jogeva</v>
      </c>
      <c r="K16" t="s">
        <v>245</v>
      </c>
      <c r="L16">
        <v>0.05</v>
      </c>
      <c r="M16">
        <v>0.1561956058597683</v>
      </c>
    </row>
    <row r="17" spans="2:13">
      <c r="B17" t="s">
        <v>166</v>
      </c>
      <c r="C17" t="s">
        <v>241</v>
      </c>
      <c r="D17" t="s">
        <v>236</v>
      </c>
      <c r="E17" t="s">
        <v>10</v>
      </c>
      <c r="F17" t="s">
        <v>21</v>
      </c>
      <c r="G17" t="s">
        <v>167</v>
      </c>
      <c r="H17" t="s">
        <v>168</v>
      </c>
      <c r="J17" t="str">
        <f t="shared" si="0"/>
        <v>e_spv_polva</v>
      </c>
      <c r="K17" t="s">
        <v>246</v>
      </c>
      <c r="L17">
        <v>0.05</v>
      </c>
      <c r="M17">
        <v>0.14537310453496291</v>
      </c>
    </row>
    <row r="18" spans="2:13">
      <c r="B18" t="s">
        <v>166</v>
      </c>
      <c r="C18" t="s">
        <v>224</v>
      </c>
      <c r="D18" t="s">
        <v>219</v>
      </c>
      <c r="E18" t="s">
        <v>10</v>
      </c>
      <c r="F18" t="s">
        <v>21</v>
      </c>
      <c r="G18" t="s">
        <v>167</v>
      </c>
      <c r="H18" t="s">
        <v>168</v>
      </c>
      <c r="J18" t="str">
        <f t="shared" si="0"/>
        <v>e_spv_harju</v>
      </c>
      <c r="K18" t="s">
        <v>220</v>
      </c>
      <c r="L18">
        <v>0.05</v>
      </c>
      <c r="M18">
        <v>0.1476387365568102</v>
      </c>
    </row>
    <row r="19" spans="2:13">
      <c r="B19" t="s">
        <v>166</v>
      </c>
      <c r="C19" t="s">
        <v>242</v>
      </c>
      <c r="D19" t="s">
        <v>237</v>
      </c>
      <c r="E19" t="s">
        <v>10</v>
      </c>
      <c r="F19" t="s">
        <v>21</v>
      </c>
      <c r="G19" t="s">
        <v>167</v>
      </c>
      <c r="H19" t="s">
        <v>168</v>
      </c>
      <c r="J19" t="str">
        <f t="shared" si="0"/>
        <v>e_spv_valga</v>
      </c>
      <c r="K19" t="s">
        <v>247</v>
      </c>
      <c r="L19">
        <v>0.05</v>
      </c>
      <c r="M19">
        <v>0.1532628310027955</v>
      </c>
    </row>
    <row r="20" spans="2:13">
      <c r="B20" t="s">
        <v>166</v>
      </c>
      <c r="C20" t="s">
        <v>229</v>
      </c>
      <c r="D20" t="s">
        <v>230</v>
      </c>
      <c r="E20" t="s">
        <v>10</v>
      </c>
      <c r="F20" t="s">
        <v>21</v>
      </c>
      <c r="G20" t="s">
        <v>167</v>
      </c>
      <c r="H20" t="s">
        <v>168</v>
      </c>
      <c r="J20" t="str">
        <f t="shared" si="0"/>
        <v>e_spv_viljandi</v>
      </c>
      <c r="K20" t="s">
        <v>231</v>
      </c>
      <c r="L20">
        <v>0.05</v>
      </c>
      <c r="M20">
        <v>0.1451997589052581</v>
      </c>
    </row>
    <row r="21" spans="2:13">
      <c r="B21" t="s">
        <v>166</v>
      </c>
      <c r="C21" t="s">
        <v>285</v>
      </c>
      <c r="D21" t="s">
        <v>280</v>
      </c>
      <c r="E21" t="s">
        <v>10</v>
      </c>
      <c r="F21" t="s">
        <v>21</v>
      </c>
      <c r="G21" t="s">
        <v>167</v>
      </c>
      <c r="H21" t="s">
        <v>168</v>
      </c>
      <c r="J21" t="s">
        <v>285</v>
      </c>
      <c r="K21" t="s">
        <v>290</v>
      </c>
      <c r="L21">
        <v>0.05</v>
      </c>
      <c r="M21">
        <v>0.1451997589052581</v>
      </c>
    </row>
    <row r="22" spans="2:13">
      <c r="B22" t="s">
        <v>166</v>
      </c>
      <c r="C22" t="s">
        <v>286</v>
      </c>
      <c r="D22" t="s">
        <v>281</v>
      </c>
      <c r="E22" t="s">
        <v>10</v>
      </c>
      <c r="F22" t="s">
        <v>21</v>
      </c>
      <c r="G22" t="s">
        <v>167</v>
      </c>
      <c r="H22" t="s">
        <v>168</v>
      </c>
      <c r="J22" t="s">
        <v>286</v>
      </c>
      <c r="K22" t="s">
        <v>291</v>
      </c>
      <c r="L22">
        <v>0.05</v>
      </c>
      <c r="M22">
        <v>0.1451997589052581</v>
      </c>
    </row>
    <row r="23" spans="2:13">
      <c r="B23" t="s">
        <v>166</v>
      </c>
      <c r="C23" t="s">
        <v>287</v>
      </c>
      <c r="D23" t="s">
        <v>282</v>
      </c>
      <c r="E23" t="s">
        <v>10</v>
      </c>
      <c r="F23" t="s">
        <v>21</v>
      </c>
      <c r="G23" t="s">
        <v>167</v>
      </c>
      <c r="H23" t="s">
        <v>168</v>
      </c>
      <c r="J23" t="s">
        <v>287</v>
      </c>
      <c r="K23" t="s">
        <v>292</v>
      </c>
      <c r="L23">
        <v>0.05</v>
      </c>
      <c r="M23">
        <v>0.1451997589052581</v>
      </c>
    </row>
    <row r="24" spans="2:13">
      <c r="B24" t="s">
        <v>166</v>
      </c>
      <c r="C24" t="s">
        <v>288</v>
      </c>
      <c r="D24" t="s">
        <v>283</v>
      </c>
      <c r="E24" t="s">
        <v>10</v>
      </c>
      <c r="F24" t="s">
        <v>21</v>
      </c>
      <c r="G24" t="s">
        <v>167</v>
      </c>
      <c r="H24" t="s">
        <v>168</v>
      </c>
      <c r="J24" t="s">
        <v>288</v>
      </c>
      <c r="K24" t="s">
        <v>293</v>
      </c>
      <c r="L24">
        <v>0.05</v>
      </c>
      <c r="M24">
        <v>0.1451997589052581</v>
      </c>
    </row>
    <row r="25" spans="2:13">
      <c r="B25" t="s">
        <v>166</v>
      </c>
      <c r="C25" t="s">
        <v>289</v>
      </c>
      <c r="D25" t="s">
        <v>284</v>
      </c>
      <c r="E25" t="s">
        <v>10</v>
      </c>
      <c r="F25" t="s">
        <v>21</v>
      </c>
      <c r="G25" t="s">
        <v>167</v>
      </c>
      <c r="H25" t="s">
        <v>168</v>
      </c>
      <c r="J25" t="s">
        <v>289</v>
      </c>
      <c r="K25" t="s">
        <v>294</v>
      </c>
      <c r="L25">
        <v>0.05</v>
      </c>
      <c r="M25">
        <v>0.1451997589052581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9:AA37"/>
  <sheetViews>
    <sheetView topLeftCell="A6" zoomScale="80" workbookViewId="0">
      <selection activeCell="AC24" sqref="AC24"/>
    </sheetView>
  </sheetViews>
  <sheetFormatPr defaultRowHeight="15"/>
  <cols>
    <col min="3" max="3" width="19.42578125" bestFit="1" customWidth="1"/>
    <col min="4" max="4" width="24.42578125" bestFit="1" customWidth="1"/>
    <col min="5" max="5" width="12.140625" bestFit="1" customWidth="1"/>
    <col min="10" max="10" width="19.42578125" bestFit="1" customWidth="1"/>
    <col min="11" max="11" width="17.85546875" bestFit="1" customWidth="1"/>
    <col min="12" max="12" width="9.42578125" bestFit="1" customWidth="1"/>
    <col min="16" max="16" width="10.5703125" bestFit="1" customWidth="1"/>
    <col min="17" max="17" width="16.42578125" bestFit="1" customWidth="1"/>
    <col min="18" max="18" width="33.28515625" bestFit="1" customWidth="1"/>
    <col min="20" max="20" width="11.28515625" bestFit="1" customWidth="1"/>
    <col min="24" max="24" width="16.42578125" bestFit="1" customWidth="1"/>
    <col min="25" max="25" width="12" bestFit="1" customWidth="1"/>
  </cols>
  <sheetData>
    <row r="9" spans="2:27">
      <c r="B9" t="s">
        <v>158</v>
      </c>
      <c r="J9" t="s">
        <v>169</v>
      </c>
      <c r="P9" t="s">
        <v>158</v>
      </c>
      <c r="X9" t="s">
        <v>169</v>
      </c>
    </row>
    <row r="10" spans="2:27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170</v>
      </c>
      <c r="L10" t="s">
        <v>171</v>
      </c>
      <c r="M10" t="s">
        <v>172</v>
      </c>
      <c r="P10" t="s">
        <v>159</v>
      </c>
      <c r="Q10" t="s">
        <v>160</v>
      </c>
      <c r="R10" t="s">
        <v>161</v>
      </c>
      <c r="S10" t="s">
        <v>162</v>
      </c>
      <c r="T10" t="s">
        <v>163</v>
      </c>
      <c r="U10" t="s">
        <v>164</v>
      </c>
      <c r="V10" t="s">
        <v>165</v>
      </c>
      <c r="X10" t="s">
        <v>160</v>
      </c>
      <c r="Y10" t="s">
        <v>170</v>
      </c>
      <c r="Z10" t="s">
        <v>171</v>
      </c>
      <c r="AA10" t="s">
        <v>172</v>
      </c>
    </row>
    <row r="11" spans="2:27">
      <c r="B11" t="s">
        <v>166</v>
      </c>
      <c r="C11" t="s">
        <v>272</v>
      </c>
      <c r="D11" t="s">
        <v>266</v>
      </c>
      <c r="E11" t="s">
        <v>10</v>
      </c>
      <c r="F11" t="s">
        <v>21</v>
      </c>
      <c r="G11" t="s">
        <v>167</v>
      </c>
      <c r="H11" t="s">
        <v>168</v>
      </c>
      <c r="J11" t="s">
        <v>272</v>
      </c>
      <c r="K11" t="s">
        <v>248</v>
      </c>
      <c r="L11">
        <f>$F$37/COUNTA($J$11:$J$16)</f>
        <v>0.11768333333333332</v>
      </c>
      <c r="M11">
        <v>0.47763777043344691</v>
      </c>
      <c r="P11" t="s">
        <v>166</v>
      </c>
      <c r="Q11" t="s">
        <v>278</v>
      </c>
      <c r="R11" t="s">
        <v>173</v>
      </c>
      <c r="S11" t="s">
        <v>10</v>
      </c>
      <c r="T11" t="s">
        <v>21</v>
      </c>
      <c r="U11" t="s">
        <v>167</v>
      </c>
      <c r="V11" t="s">
        <v>168</v>
      </c>
      <c r="X11" t="s">
        <v>278</v>
      </c>
      <c r="Y11" t="s">
        <v>279</v>
      </c>
      <c r="Z11">
        <v>7</v>
      </c>
      <c r="AA11">
        <v>0.45257887643123651</v>
      </c>
    </row>
    <row r="12" spans="2:27">
      <c r="B12" t="s">
        <v>166</v>
      </c>
      <c r="C12" t="s">
        <v>273</v>
      </c>
      <c r="D12" t="s">
        <v>267</v>
      </c>
      <c r="E12" t="s">
        <v>10</v>
      </c>
      <c r="F12" t="s">
        <v>21</v>
      </c>
      <c r="G12" t="s">
        <v>167</v>
      </c>
      <c r="H12" t="s">
        <v>168</v>
      </c>
      <c r="J12" t="s">
        <v>273</v>
      </c>
      <c r="K12" t="s">
        <v>249</v>
      </c>
      <c r="L12">
        <f t="shared" ref="L12:L16" si="0">$F$37/COUNTA($J$11:$J$16)</f>
        <v>0.11768333333333332</v>
      </c>
      <c r="M12">
        <v>0.42070052507616201</v>
      </c>
    </row>
    <row r="13" spans="2:27">
      <c r="B13" t="s">
        <v>166</v>
      </c>
      <c r="C13" t="s">
        <v>274</v>
      </c>
      <c r="D13" t="s">
        <v>268</v>
      </c>
      <c r="E13" t="s">
        <v>10</v>
      </c>
      <c r="F13" t="s">
        <v>21</v>
      </c>
      <c r="G13" t="s">
        <v>167</v>
      </c>
      <c r="H13" t="s">
        <v>168</v>
      </c>
      <c r="J13" t="s">
        <v>274</v>
      </c>
      <c r="K13" t="s">
        <v>250</v>
      </c>
      <c r="L13">
        <f t="shared" si="0"/>
        <v>0.11768333333333332</v>
      </c>
      <c r="M13">
        <v>0.42070052507616201</v>
      </c>
    </row>
    <row r="14" spans="2:27">
      <c r="B14" t="s">
        <v>166</v>
      </c>
      <c r="C14" t="s">
        <v>275</v>
      </c>
      <c r="D14" t="s">
        <v>269</v>
      </c>
      <c r="E14" t="s">
        <v>10</v>
      </c>
      <c r="F14" t="s">
        <v>21</v>
      </c>
      <c r="G14" t="s">
        <v>167</v>
      </c>
      <c r="H14" t="s">
        <v>168</v>
      </c>
      <c r="J14" t="s">
        <v>275</v>
      </c>
      <c r="K14" t="s">
        <v>251</v>
      </c>
      <c r="L14">
        <f t="shared" si="0"/>
        <v>0.11768333333333332</v>
      </c>
      <c r="M14">
        <v>0.35024016362894311</v>
      </c>
    </row>
    <row r="15" spans="2:27">
      <c r="B15" t="s">
        <v>166</v>
      </c>
      <c r="C15" t="s">
        <v>276</v>
      </c>
      <c r="D15" t="s">
        <v>270</v>
      </c>
      <c r="E15" t="s">
        <v>10</v>
      </c>
      <c r="F15" t="s">
        <v>21</v>
      </c>
      <c r="G15" t="s">
        <v>167</v>
      </c>
      <c r="H15" t="s">
        <v>168</v>
      </c>
      <c r="J15" t="s">
        <v>276</v>
      </c>
      <c r="K15" t="s">
        <v>252</v>
      </c>
      <c r="L15">
        <f t="shared" si="0"/>
        <v>0.11768333333333332</v>
      </c>
      <c r="M15">
        <v>0.40144059976798202</v>
      </c>
    </row>
    <row r="16" spans="2:27">
      <c r="B16" t="s">
        <v>166</v>
      </c>
      <c r="C16" t="s">
        <v>277</v>
      </c>
      <c r="D16" t="s">
        <v>271</v>
      </c>
      <c r="E16" t="s">
        <v>10</v>
      </c>
      <c r="F16" t="s">
        <v>21</v>
      </c>
      <c r="G16" t="s">
        <v>167</v>
      </c>
      <c r="H16" t="s">
        <v>168</v>
      </c>
      <c r="J16" t="s">
        <v>277</v>
      </c>
      <c r="K16" t="s">
        <v>253</v>
      </c>
      <c r="L16">
        <f t="shared" si="0"/>
        <v>0.11768333333333332</v>
      </c>
      <c r="M16">
        <v>0.36483357275006911</v>
      </c>
    </row>
    <row r="18" spans="3:27">
      <c r="L18" s="147"/>
      <c r="P18" t="s">
        <v>166</v>
      </c>
      <c r="Q18" t="s">
        <v>174</v>
      </c>
      <c r="R18" t="s">
        <v>175</v>
      </c>
      <c r="S18" t="s">
        <v>10</v>
      </c>
      <c r="T18" t="s">
        <v>21</v>
      </c>
      <c r="U18" t="s">
        <v>167</v>
      </c>
      <c r="V18" t="s">
        <v>168</v>
      </c>
      <c r="X18" t="s">
        <v>174</v>
      </c>
      <c r="Y18" t="s">
        <v>184</v>
      </c>
      <c r="Z18">
        <v>1</v>
      </c>
      <c r="AA18">
        <v>0.37369451123150682</v>
      </c>
    </row>
    <row r="19" spans="3:27">
      <c r="L19">
        <f>1500/6</f>
        <v>250</v>
      </c>
      <c r="P19" t="s">
        <v>166</v>
      </c>
      <c r="Q19" t="s">
        <v>176</v>
      </c>
      <c r="R19" t="s">
        <v>177</v>
      </c>
      <c r="S19" t="s">
        <v>10</v>
      </c>
      <c r="T19" t="s">
        <v>21</v>
      </c>
      <c r="U19" t="s">
        <v>167</v>
      </c>
      <c r="V19" t="s">
        <v>168</v>
      </c>
      <c r="X19" t="s">
        <v>176</v>
      </c>
      <c r="Y19" t="s">
        <v>185</v>
      </c>
      <c r="Z19">
        <v>1</v>
      </c>
      <c r="AA19">
        <v>0.28750467069383828</v>
      </c>
    </row>
    <row r="20" spans="3:27">
      <c r="C20" t="str">
        <f>"e_won_" &amp;E20</f>
        <v>e_won_parnu</v>
      </c>
      <c r="D20" t="str">
        <f>"wind resource in " &amp;F20</f>
        <v>wind resource in Parnu</v>
      </c>
      <c r="E20" t="s">
        <v>254</v>
      </c>
      <c r="F20" t="s">
        <v>260</v>
      </c>
      <c r="P20" t="s">
        <v>166</v>
      </c>
      <c r="Q20" t="s">
        <v>178</v>
      </c>
      <c r="R20" t="s">
        <v>179</v>
      </c>
      <c r="S20" t="s">
        <v>10</v>
      </c>
      <c r="T20" t="s">
        <v>21</v>
      </c>
      <c r="U20" t="s">
        <v>167</v>
      </c>
      <c r="V20" t="s">
        <v>168</v>
      </c>
      <c r="X20" t="s">
        <v>178</v>
      </c>
      <c r="Y20" t="s">
        <v>186</v>
      </c>
      <c r="Z20">
        <v>1</v>
      </c>
      <c r="AA20">
        <v>0.45257887643123651</v>
      </c>
    </row>
    <row r="21" spans="3:27">
      <c r="C21" t="str">
        <f t="shared" ref="C21:C25" si="1">"e_won_" &amp;E21</f>
        <v>e_won_laane_viru</v>
      </c>
      <c r="D21" t="str">
        <f t="shared" ref="D21:D25" si="2">"wind resource in " &amp;F21</f>
        <v>wind resource in Laane-Viru</v>
      </c>
      <c r="E21" t="s">
        <v>255</v>
      </c>
      <c r="F21" t="s">
        <v>264</v>
      </c>
      <c r="P21" t="s">
        <v>166</v>
      </c>
      <c r="Q21" t="s">
        <v>180</v>
      </c>
      <c r="R21" t="s">
        <v>181</v>
      </c>
      <c r="S21" t="s">
        <v>10</v>
      </c>
      <c r="T21" t="s">
        <v>21</v>
      </c>
      <c r="U21" t="s">
        <v>167</v>
      </c>
      <c r="V21" t="s">
        <v>168</v>
      </c>
      <c r="X21" t="s">
        <v>180</v>
      </c>
      <c r="Y21" t="s">
        <v>187</v>
      </c>
      <c r="Z21">
        <v>1</v>
      </c>
      <c r="AA21">
        <v>0.44869827675393242</v>
      </c>
    </row>
    <row r="22" spans="3:27">
      <c r="C22" t="str">
        <f t="shared" si="1"/>
        <v>e_won_ida_viru</v>
      </c>
      <c r="D22" t="str">
        <f t="shared" si="2"/>
        <v>wind resource in Ida-Viru</v>
      </c>
      <c r="E22" t="s">
        <v>256</v>
      </c>
      <c r="F22" t="s">
        <v>265</v>
      </c>
      <c r="L22">
        <f>SUM(L11:L16)</f>
        <v>0.70609999999999995</v>
      </c>
      <c r="P22" t="s">
        <v>166</v>
      </c>
      <c r="Q22" t="s">
        <v>182</v>
      </c>
      <c r="R22" t="s">
        <v>183</v>
      </c>
      <c r="S22" t="s">
        <v>10</v>
      </c>
      <c r="T22" t="s">
        <v>21</v>
      </c>
      <c r="U22" t="s">
        <v>167</v>
      </c>
      <c r="V22" t="s">
        <v>168</v>
      </c>
      <c r="X22" t="s">
        <v>182</v>
      </c>
      <c r="Y22" t="s">
        <v>188</v>
      </c>
      <c r="Z22">
        <v>1</v>
      </c>
      <c r="AA22">
        <v>0.47904088602536332</v>
      </c>
    </row>
    <row r="23" spans="3:27">
      <c r="C23" t="str">
        <f t="shared" si="1"/>
        <v>e_won_laanemaa</v>
      </c>
      <c r="D23" t="str">
        <f t="shared" si="2"/>
        <v>wind resource in Laanemaa</v>
      </c>
      <c r="E23" t="s">
        <v>257</v>
      </c>
      <c r="F23" t="s">
        <v>261</v>
      </c>
    </row>
    <row r="24" spans="3:27">
      <c r="C24" t="str">
        <f t="shared" si="1"/>
        <v>e_won_saaremaa</v>
      </c>
      <c r="D24" t="str">
        <f t="shared" si="2"/>
        <v>wind resource in Saaremaa</v>
      </c>
      <c r="E24" t="s">
        <v>258</v>
      </c>
      <c r="F24" t="s">
        <v>262</v>
      </c>
    </row>
    <row r="25" spans="3:27">
      <c r="C25" t="str">
        <f t="shared" si="1"/>
        <v>e_won_harju</v>
      </c>
      <c r="D25" t="str">
        <f t="shared" si="2"/>
        <v>wind resource in Harju</v>
      </c>
      <c r="E25" t="s">
        <v>259</v>
      </c>
      <c r="F25" t="s">
        <v>263</v>
      </c>
    </row>
    <row r="33" spans="6:10">
      <c r="F33">
        <v>0.69389999999999996</v>
      </c>
    </row>
    <row r="35" spans="6:10">
      <c r="F35">
        <f>1.4-F33</f>
        <v>0.70609999999999995</v>
      </c>
      <c r="H35">
        <f>F35/6</f>
        <v>0.11768333333333332</v>
      </c>
      <c r="J35">
        <f>COUNTA(J11:J16)</f>
        <v>6</v>
      </c>
    </row>
    <row r="37" spans="6:10">
      <c r="F37">
        <v>0.70609999999999995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9:P79"/>
  <sheetViews>
    <sheetView workbookViewId="0">
      <selection activeCell="O21" sqref="O21"/>
    </sheetView>
  </sheetViews>
  <sheetFormatPr defaultRowHeight="15"/>
  <cols>
    <col min="2" max="2" width="31.42578125" bestFit="1" customWidth="1"/>
    <col min="3" max="3" width="10" bestFit="1" customWidth="1"/>
    <col min="5" max="5" width="5" bestFit="1" customWidth="1"/>
    <col min="7" max="7" width="4.85546875" bestFit="1" customWidth="1"/>
    <col min="8" max="8" width="9.7109375" bestFit="1" customWidth="1"/>
    <col min="11" max="11" width="33.85546875" bestFit="1" customWidth="1"/>
    <col min="13" max="13" width="11.85546875" bestFit="1" customWidth="1"/>
  </cols>
  <sheetData>
    <row r="9" spans="2:16">
      <c r="B9" t="s">
        <v>169</v>
      </c>
      <c r="J9" t="s">
        <v>158</v>
      </c>
    </row>
    <row r="10" spans="2:16">
      <c r="B10" t="s">
        <v>160</v>
      </c>
      <c r="C10" t="s">
        <v>189</v>
      </c>
      <c r="D10" t="s">
        <v>170</v>
      </c>
      <c r="E10">
        <v>2023</v>
      </c>
      <c r="F10">
        <v>2030</v>
      </c>
      <c r="G10">
        <v>2050</v>
      </c>
      <c r="H10" t="s">
        <v>51</v>
      </c>
      <c r="J10" t="s">
        <v>159</v>
      </c>
      <c r="K10" t="s">
        <v>160</v>
      </c>
      <c r="L10" t="s">
        <v>161</v>
      </c>
      <c r="M10" t="s">
        <v>162</v>
      </c>
      <c r="N10" t="s">
        <v>163</v>
      </c>
      <c r="O10" t="s">
        <v>164</v>
      </c>
      <c r="P10" t="s">
        <v>165</v>
      </c>
    </row>
    <row r="11" spans="2:16">
      <c r="B11" t="s">
        <v>190</v>
      </c>
      <c r="C11" t="s">
        <v>29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141</v>
      </c>
      <c r="J11" t="s">
        <v>166</v>
      </c>
      <c r="K11" t="s">
        <v>190</v>
      </c>
      <c r="M11" t="s">
        <v>10</v>
      </c>
      <c r="N11" t="s">
        <v>21</v>
      </c>
      <c r="O11" t="s">
        <v>212</v>
      </c>
      <c r="P11" t="s">
        <v>213</v>
      </c>
    </row>
    <row r="12" spans="2:16">
      <c r="B12" t="s">
        <v>190</v>
      </c>
      <c r="C12" t="s">
        <v>29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191</v>
      </c>
      <c r="J12" t="s">
        <v>166</v>
      </c>
      <c r="K12" t="s">
        <v>195</v>
      </c>
      <c r="M12" t="s">
        <v>10</v>
      </c>
      <c r="N12" t="s">
        <v>21</v>
      </c>
      <c r="O12" t="s">
        <v>212</v>
      </c>
      <c r="P12" t="s">
        <v>213</v>
      </c>
    </row>
    <row r="13" spans="2:16">
      <c r="B13" t="s">
        <v>190</v>
      </c>
      <c r="C13" t="s">
        <v>29</v>
      </c>
      <c r="D13" t="s">
        <v>19</v>
      </c>
      <c r="E13">
        <v>5750</v>
      </c>
      <c r="F13">
        <v>5700</v>
      </c>
      <c r="G13">
        <v>5100</v>
      </c>
      <c r="H13" t="s">
        <v>192</v>
      </c>
      <c r="J13" t="s">
        <v>166</v>
      </c>
      <c r="K13" t="s">
        <v>196</v>
      </c>
      <c r="M13" t="s">
        <v>10</v>
      </c>
      <c r="N13" t="s">
        <v>21</v>
      </c>
      <c r="O13" t="s">
        <v>212</v>
      </c>
      <c r="P13" t="s">
        <v>213</v>
      </c>
    </row>
    <row r="14" spans="2:16">
      <c r="B14" t="s">
        <v>190</v>
      </c>
      <c r="C14" t="s">
        <v>29</v>
      </c>
      <c r="D14" t="s">
        <v>19</v>
      </c>
      <c r="E14">
        <v>200</v>
      </c>
      <c r="F14">
        <v>200</v>
      </c>
      <c r="G14">
        <v>175</v>
      </c>
      <c r="H14" t="s">
        <v>193</v>
      </c>
      <c r="J14" t="s">
        <v>166</v>
      </c>
      <c r="K14" t="s">
        <v>197</v>
      </c>
      <c r="M14" t="s">
        <v>10</v>
      </c>
      <c r="N14" t="s">
        <v>21</v>
      </c>
      <c r="O14" t="s">
        <v>212</v>
      </c>
      <c r="P14" t="s">
        <v>213</v>
      </c>
    </row>
    <row r="15" spans="2:16">
      <c r="B15" t="s">
        <v>190</v>
      </c>
      <c r="C15" t="s">
        <v>29</v>
      </c>
      <c r="D15" t="s">
        <v>19</v>
      </c>
      <c r="E15">
        <v>3</v>
      </c>
      <c r="F15">
        <v>3</v>
      </c>
      <c r="G15">
        <v>3</v>
      </c>
      <c r="H15" t="s">
        <v>194</v>
      </c>
      <c r="J15" t="s">
        <v>166</v>
      </c>
      <c r="K15" t="s">
        <v>198</v>
      </c>
      <c r="M15" t="s">
        <v>10</v>
      </c>
      <c r="N15" t="s">
        <v>21</v>
      </c>
      <c r="O15" t="s">
        <v>212</v>
      </c>
      <c r="P15" t="s">
        <v>213</v>
      </c>
    </row>
    <row r="16" spans="2:16">
      <c r="B16" t="s">
        <v>195</v>
      </c>
      <c r="C16" t="s">
        <v>29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141</v>
      </c>
      <c r="J16" t="s">
        <v>166</v>
      </c>
      <c r="K16" t="s">
        <v>199</v>
      </c>
      <c r="M16" t="s">
        <v>10</v>
      </c>
      <c r="N16" t="s">
        <v>21</v>
      </c>
      <c r="O16" t="s">
        <v>212</v>
      </c>
      <c r="P16" t="s">
        <v>213</v>
      </c>
    </row>
    <row r="17" spans="2:16">
      <c r="B17" t="s">
        <v>195</v>
      </c>
      <c r="C17" t="s">
        <v>29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191</v>
      </c>
      <c r="J17" t="s">
        <v>166</v>
      </c>
      <c r="K17" t="s">
        <v>200</v>
      </c>
      <c r="M17" t="s">
        <v>10</v>
      </c>
      <c r="N17" t="s">
        <v>21</v>
      </c>
      <c r="O17" t="s">
        <v>212</v>
      </c>
      <c r="P17" t="s">
        <v>213</v>
      </c>
    </row>
    <row r="18" spans="2:16">
      <c r="B18" t="s">
        <v>195</v>
      </c>
      <c r="C18" t="s">
        <v>29</v>
      </c>
      <c r="D18" t="s">
        <v>19</v>
      </c>
      <c r="E18">
        <v>2400</v>
      </c>
      <c r="F18">
        <v>2350</v>
      </c>
      <c r="G18">
        <v>2300</v>
      </c>
      <c r="H18" t="s">
        <v>192</v>
      </c>
      <c r="J18" t="s">
        <v>166</v>
      </c>
      <c r="K18" t="s">
        <v>201</v>
      </c>
      <c r="M18" t="s">
        <v>10</v>
      </c>
      <c r="N18" t="s">
        <v>21</v>
      </c>
      <c r="O18" t="s">
        <v>212</v>
      </c>
      <c r="P18" t="s">
        <v>213</v>
      </c>
    </row>
    <row r="19" spans="2:16">
      <c r="B19" t="s">
        <v>195</v>
      </c>
      <c r="C19" t="s">
        <v>29</v>
      </c>
      <c r="D19" t="s">
        <v>19</v>
      </c>
      <c r="E19">
        <v>85</v>
      </c>
      <c r="F19">
        <v>85</v>
      </c>
      <c r="G19">
        <v>80</v>
      </c>
      <c r="H19" t="s">
        <v>193</v>
      </c>
      <c r="J19" t="s">
        <v>166</v>
      </c>
      <c r="K19" t="s">
        <v>202</v>
      </c>
      <c r="M19" t="s">
        <v>10</v>
      </c>
      <c r="N19" t="s">
        <v>21</v>
      </c>
      <c r="O19" t="s">
        <v>212</v>
      </c>
      <c r="P19" t="s">
        <v>213</v>
      </c>
    </row>
    <row r="20" spans="2:16">
      <c r="B20" t="s">
        <v>195</v>
      </c>
      <c r="C20" t="s">
        <v>29</v>
      </c>
      <c r="D20" t="s">
        <v>19</v>
      </c>
      <c r="E20">
        <v>3</v>
      </c>
      <c r="F20">
        <v>3</v>
      </c>
      <c r="G20">
        <v>3</v>
      </c>
      <c r="H20" t="s">
        <v>194</v>
      </c>
      <c r="J20" t="s">
        <v>166</v>
      </c>
      <c r="K20" t="s">
        <v>203</v>
      </c>
      <c r="M20" t="s">
        <v>10</v>
      </c>
      <c r="N20" t="s">
        <v>21</v>
      </c>
      <c r="O20" t="s">
        <v>212</v>
      </c>
      <c r="P20" t="s">
        <v>213</v>
      </c>
    </row>
    <row r="21" spans="2:16">
      <c r="B21" t="s">
        <v>196</v>
      </c>
      <c r="C21" t="s">
        <v>31</v>
      </c>
      <c r="D21" t="s">
        <v>19</v>
      </c>
      <c r="E21">
        <v>0.59</v>
      </c>
      <c r="F21">
        <v>0.6</v>
      </c>
      <c r="G21">
        <v>0.61</v>
      </c>
      <c r="H21" t="s">
        <v>141</v>
      </c>
      <c r="J21" t="s">
        <v>166</v>
      </c>
      <c r="K21" t="s">
        <v>204</v>
      </c>
      <c r="M21" t="s">
        <v>10</v>
      </c>
      <c r="N21" t="s">
        <v>21</v>
      </c>
      <c r="O21" t="s">
        <v>212</v>
      </c>
      <c r="P21" t="s">
        <v>213</v>
      </c>
    </row>
    <row r="22" spans="2:16">
      <c r="B22" t="s">
        <v>196</v>
      </c>
      <c r="C22" t="s">
        <v>31</v>
      </c>
      <c r="D22" t="s">
        <v>19</v>
      </c>
      <c r="E22">
        <v>1000</v>
      </c>
      <c r="F22">
        <v>1000</v>
      </c>
      <c r="G22">
        <v>1000</v>
      </c>
      <c r="H22" t="s">
        <v>192</v>
      </c>
      <c r="J22" t="s">
        <v>166</v>
      </c>
      <c r="K22" t="s">
        <v>205</v>
      </c>
      <c r="M22" t="s">
        <v>10</v>
      </c>
      <c r="N22" t="s">
        <v>21</v>
      </c>
      <c r="O22" t="s">
        <v>212</v>
      </c>
      <c r="P22" t="s">
        <v>213</v>
      </c>
    </row>
    <row r="23" spans="2:16">
      <c r="B23" t="s">
        <v>196</v>
      </c>
      <c r="C23" t="s">
        <v>31</v>
      </c>
      <c r="D23" t="s">
        <v>19</v>
      </c>
      <c r="E23">
        <v>25</v>
      </c>
      <c r="F23">
        <v>25</v>
      </c>
      <c r="G23">
        <v>25</v>
      </c>
      <c r="H23" t="s">
        <v>193</v>
      </c>
      <c r="J23" t="s">
        <v>166</v>
      </c>
      <c r="K23" t="s">
        <v>206</v>
      </c>
      <c r="M23" t="s">
        <v>10</v>
      </c>
      <c r="N23" t="s">
        <v>21</v>
      </c>
      <c r="O23" t="s">
        <v>212</v>
      </c>
      <c r="P23" t="s">
        <v>213</v>
      </c>
    </row>
    <row r="24" spans="2:16">
      <c r="B24" t="s">
        <v>197</v>
      </c>
      <c r="C24" t="s">
        <v>31</v>
      </c>
      <c r="D24" t="s">
        <v>19</v>
      </c>
      <c r="E24">
        <v>0.51</v>
      </c>
      <c r="F24">
        <v>0.52</v>
      </c>
      <c r="G24">
        <v>0.54</v>
      </c>
      <c r="H24" t="s">
        <v>141</v>
      </c>
      <c r="J24" t="s">
        <v>166</v>
      </c>
      <c r="K24" t="s">
        <v>207</v>
      </c>
      <c r="M24" t="s">
        <v>10</v>
      </c>
      <c r="N24" t="s">
        <v>21</v>
      </c>
      <c r="O24" t="s">
        <v>212</v>
      </c>
      <c r="P24" t="s">
        <v>213</v>
      </c>
    </row>
    <row r="25" spans="2:16">
      <c r="B25" t="s">
        <v>197</v>
      </c>
      <c r="C25" t="s">
        <v>31</v>
      </c>
      <c r="D25" t="s">
        <v>19</v>
      </c>
      <c r="E25">
        <v>3100</v>
      </c>
      <c r="F25">
        <v>3100</v>
      </c>
      <c r="G25">
        <v>2400</v>
      </c>
      <c r="H25" t="s">
        <v>192</v>
      </c>
      <c r="J25" t="s">
        <v>166</v>
      </c>
      <c r="K25" t="s">
        <v>208</v>
      </c>
      <c r="M25" t="s">
        <v>10</v>
      </c>
      <c r="N25" t="s">
        <v>21</v>
      </c>
      <c r="O25" t="s">
        <v>212</v>
      </c>
      <c r="P25" t="s">
        <v>213</v>
      </c>
    </row>
    <row r="26" spans="2:16">
      <c r="B26" t="s">
        <v>197</v>
      </c>
      <c r="C26" t="s">
        <v>31</v>
      </c>
      <c r="D26" t="s">
        <v>19</v>
      </c>
      <c r="E26">
        <v>75</v>
      </c>
      <c r="F26">
        <v>75</v>
      </c>
      <c r="G26">
        <v>60</v>
      </c>
      <c r="H26" t="s">
        <v>193</v>
      </c>
      <c r="J26" t="s">
        <v>166</v>
      </c>
      <c r="K26" t="s">
        <v>209</v>
      </c>
      <c r="M26" t="s">
        <v>10</v>
      </c>
      <c r="N26" t="s">
        <v>21</v>
      </c>
      <c r="O26" t="s">
        <v>212</v>
      </c>
      <c r="P26" t="s">
        <v>213</v>
      </c>
    </row>
    <row r="27" spans="2:16">
      <c r="B27" t="s">
        <v>198</v>
      </c>
      <c r="C27" t="s">
        <v>30</v>
      </c>
      <c r="D27" t="s">
        <v>19</v>
      </c>
      <c r="E27">
        <v>0.37</v>
      </c>
      <c r="F27">
        <v>0.38</v>
      </c>
      <c r="G27">
        <v>0.39</v>
      </c>
      <c r="H27" t="s">
        <v>141</v>
      </c>
      <c r="J27" t="s">
        <v>166</v>
      </c>
      <c r="K27" t="s">
        <v>211</v>
      </c>
      <c r="M27" t="s">
        <v>10</v>
      </c>
      <c r="N27" t="s">
        <v>21</v>
      </c>
      <c r="O27" t="s">
        <v>212</v>
      </c>
      <c r="P27" t="s">
        <v>213</v>
      </c>
    </row>
    <row r="28" spans="2:16">
      <c r="B28" t="s">
        <v>198</v>
      </c>
      <c r="C28" t="s">
        <v>30</v>
      </c>
      <c r="D28" t="s">
        <v>19</v>
      </c>
      <c r="E28">
        <v>5500</v>
      </c>
      <c r="F28">
        <v>5500</v>
      </c>
      <c r="G28">
        <v>4350</v>
      </c>
      <c r="H28" t="s">
        <v>192</v>
      </c>
      <c r="J28" t="s">
        <v>166</v>
      </c>
      <c r="K28" t="s">
        <v>314</v>
      </c>
      <c r="M28" t="s">
        <v>10</v>
      </c>
      <c r="N28" t="s">
        <v>21</v>
      </c>
      <c r="O28" t="s">
        <v>212</v>
      </c>
      <c r="P28" t="s">
        <v>213</v>
      </c>
    </row>
    <row r="29" spans="2:16">
      <c r="B29" t="s">
        <v>198</v>
      </c>
      <c r="C29" t="s">
        <v>30</v>
      </c>
      <c r="D29" t="s">
        <v>19</v>
      </c>
      <c r="E29">
        <v>165</v>
      </c>
      <c r="F29">
        <v>165</v>
      </c>
      <c r="G29">
        <v>130</v>
      </c>
      <c r="H29" t="s">
        <v>193</v>
      </c>
    </row>
    <row r="30" spans="2:16">
      <c r="B30" t="s">
        <v>199</v>
      </c>
      <c r="C30" t="s">
        <v>31</v>
      </c>
      <c r="D30" t="s">
        <v>19</v>
      </c>
      <c r="E30">
        <v>0.4</v>
      </c>
      <c r="F30">
        <v>0.43</v>
      </c>
      <c r="G30">
        <v>0.45</v>
      </c>
      <c r="H30" t="s">
        <v>141</v>
      </c>
    </row>
    <row r="31" spans="2:16">
      <c r="B31" t="s">
        <v>199</v>
      </c>
      <c r="C31" t="s">
        <v>31</v>
      </c>
      <c r="D31" t="s">
        <v>19</v>
      </c>
      <c r="E31">
        <v>630</v>
      </c>
      <c r="F31">
        <v>600</v>
      </c>
      <c r="G31">
        <v>550</v>
      </c>
      <c r="H31" t="s">
        <v>192</v>
      </c>
    </row>
    <row r="32" spans="2:16">
      <c r="B32" t="s">
        <v>199</v>
      </c>
      <c r="C32" t="s">
        <v>31</v>
      </c>
      <c r="D32" t="s">
        <v>19</v>
      </c>
      <c r="E32">
        <v>20</v>
      </c>
      <c r="F32">
        <v>20</v>
      </c>
      <c r="G32">
        <v>20</v>
      </c>
      <c r="H32" t="s">
        <v>193</v>
      </c>
    </row>
    <row r="33" spans="2:8">
      <c r="B33" t="s">
        <v>200</v>
      </c>
      <c r="C33" t="s">
        <v>26</v>
      </c>
      <c r="D33" t="s">
        <v>19</v>
      </c>
      <c r="E33">
        <v>1</v>
      </c>
      <c r="F33">
        <v>1</v>
      </c>
      <c r="G33">
        <v>1</v>
      </c>
      <c r="H33" t="s">
        <v>141</v>
      </c>
    </row>
    <row r="34" spans="2:8">
      <c r="B34" t="s">
        <v>200</v>
      </c>
      <c r="C34" t="s">
        <v>26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191</v>
      </c>
    </row>
    <row r="35" spans="2:8">
      <c r="B35" t="s">
        <v>200</v>
      </c>
      <c r="C35" t="s">
        <v>26</v>
      </c>
      <c r="D35" t="s">
        <v>19</v>
      </c>
      <c r="E35">
        <v>2650</v>
      </c>
      <c r="F35">
        <v>2650</v>
      </c>
      <c r="G35">
        <v>2650</v>
      </c>
      <c r="H35" t="s">
        <v>192</v>
      </c>
    </row>
    <row r="36" spans="2:8">
      <c r="B36" t="s">
        <v>200</v>
      </c>
      <c r="C36" t="s">
        <v>26</v>
      </c>
      <c r="D36" t="s">
        <v>19</v>
      </c>
      <c r="E36">
        <v>65</v>
      </c>
      <c r="F36">
        <v>65</v>
      </c>
      <c r="G36">
        <v>65</v>
      </c>
      <c r="H36" t="s">
        <v>193</v>
      </c>
    </row>
    <row r="37" spans="2:8">
      <c r="B37" t="s">
        <v>200</v>
      </c>
      <c r="C37" t="s">
        <v>26</v>
      </c>
      <c r="D37" t="s">
        <v>19</v>
      </c>
      <c r="E37">
        <v>4</v>
      </c>
      <c r="F37">
        <v>4</v>
      </c>
      <c r="G37">
        <v>4</v>
      </c>
      <c r="H37" t="s">
        <v>194</v>
      </c>
    </row>
    <row r="38" spans="2:8">
      <c r="B38" t="s">
        <v>201</v>
      </c>
      <c r="C38" t="s">
        <v>31</v>
      </c>
      <c r="D38" t="s">
        <v>19</v>
      </c>
      <c r="E38">
        <v>0.45</v>
      </c>
      <c r="F38">
        <v>0.47000000000000003</v>
      </c>
      <c r="G38">
        <v>0.5</v>
      </c>
      <c r="H38" t="s">
        <v>141</v>
      </c>
    </row>
    <row r="39" spans="2:8">
      <c r="B39" t="s">
        <v>201</v>
      </c>
      <c r="C39" t="s">
        <v>31</v>
      </c>
      <c r="D39" t="s">
        <v>19</v>
      </c>
      <c r="E39">
        <v>2500</v>
      </c>
      <c r="F39">
        <v>2350</v>
      </c>
      <c r="G39">
        <v>2300</v>
      </c>
      <c r="H39" t="s">
        <v>192</v>
      </c>
    </row>
    <row r="40" spans="2:8">
      <c r="B40" t="s">
        <v>201</v>
      </c>
      <c r="C40" t="s">
        <v>31</v>
      </c>
      <c r="D40" t="s">
        <v>19</v>
      </c>
      <c r="E40">
        <v>95</v>
      </c>
      <c r="F40">
        <v>85</v>
      </c>
      <c r="G40">
        <v>80</v>
      </c>
      <c r="H40" t="s">
        <v>193</v>
      </c>
    </row>
    <row r="41" spans="2:8">
      <c r="B41" t="s">
        <v>202</v>
      </c>
      <c r="C41" t="s">
        <v>30</v>
      </c>
      <c r="D41" t="s">
        <v>19</v>
      </c>
      <c r="E41">
        <v>0.36</v>
      </c>
      <c r="F41">
        <v>0.38</v>
      </c>
      <c r="G41">
        <v>0.43</v>
      </c>
      <c r="H41" t="s">
        <v>141</v>
      </c>
    </row>
    <row r="42" spans="2:8">
      <c r="B42" t="s">
        <v>202</v>
      </c>
      <c r="C42" t="s">
        <v>30</v>
      </c>
      <c r="D42" t="s">
        <v>19</v>
      </c>
      <c r="E42">
        <v>5850</v>
      </c>
      <c r="F42">
        <v>5700</v>
      </c>
      <c r="G42">
        <v>5100</v>
      </c>
      <c r="H42" t="s">
        <v>192</v>
      </c>
    </row>
    <row r="43" spans="2:8">
      <c r="B43" t="s">
        <v>202</v>
      </c>
      <c r="C43" t="s">
        <v>30</v>
      </c>
      <c r="D43" t="s">
        <v>19</v>
      </c>
      <c r="E43">
        <v>205</v>
      </c>
      <c r="F43">
        <v>200</v>
      </c>
      <c r="G43">
        <v>180</v>
      </c>
      <c r="H43" t="s">
        <v>193</v>
      </c>
    </row>
    <row r="44" spans="2:8">
      <c r="B44" t="s">
        <v>203</v>
      </c>
      <c r="C44" t="s">
        <v>34</v>
      </c>
      <c r="D44" t="s">
        <v>19</v>
      </c>
      <c r="E44">
        <v>0.33</v>
      </c>
      <c r="F44">
        <v>0.33</v>
      </c>
      <c r="G44">
        <v>0.33</v>
      </c>
      <c r="H44" t="s">
        <v>141</v>
      </c>
    </row>
    <row r="45" spans="2:8">
      <c r="B45" t="s">
        <v>203</v>
      </c>
      <c r="C45" t="s">
        <v>34</v>
      </c>
      <c r="D45" t="s">
        <v>19</v>
      </c>
      <c r="E45">
        <v>6600</v>
      </c>
      <c r="F45">
        <v>5100</v>
      </c>
      <c r="G45">
        <v>4500</v>
      </c>
      <c r="H45" t="s">
        <v>192</v>
      </c>
    </row>
    <row r="46" spans="2:8">
      <c r="B46" t="s">
        <v>203</v>
      </c>
      <c r="C46" t="s">
        <v>34</v>
      </c>
      <c r="D46" t="s">
        <v>19</v>
      </c>
      <c r="E46">
        <v>165</v>
      </c>
      <c r="F46">
        <v>165</v>
      </c>
      <c r="G46">
        <v>160</v>
      </c>
      <c r="H46" t="s">
        <v>193</v>
      </c>
    </row>
    <row r="47" spans="2:8">
      <c r="B47" t="s">
        <v>203</v>
      </c>
      <c r="C47" t="s">
        <v>34</v>
      </c>
      <c r="D47" t="s">
        <v>19</v>
      </c>
      <c r="E47">
        <v>10</v>
      </c>
      <c r="F47">
        <v>8</v>
      </c>
      <c r="G47">
        <v>8</v>
      </c>
      <c r="H47" t="s">
        <v>194</v>
      </c>
    </row>
    <row r="48" spans="2:8">
      <c r="B48" t="s">
        <v>204</v>
      </c>
      <c r="C48" t="s">
        <v>30</v>
      </c>
      <c r="D48" t="s">
        <v>19</v>
      </c>
      <c r="E48">
        <v>0.37</v>
      </c>
      <c r="F48">
        <v>0.38</v>
      </c>
      <c r="G48">
        <v>0.39</v>
      </c>
      <c r="H48" t="s">
        <v>141</v>
      </c>
    </row>
    <row r="49" spans="2:8">
      <c r="B49" t="s">
        <v>204</v>
      </c>
      <c r="C49" t="s">
        <v>30</v>
      </c>
      <c r="D49" t="s">
        <v>19</v>
      </c>
      <c r="E49">
        <v>5700</v>
      </c>
      <c r="F49">
        <v>5700</v>
      </c>
      <c r="G49">
        <v>5100</v>
      </c>
      <c r="H49" t="s">
        <v>192</v>
      </c>
    </row>
    <row r="50" spans="2:8">
      <c r="B50" t="s">
        <v>204</v>
      </c>
      <c r="C50" t="s">
        <v>30</v>
      </c>
      <c r="D50" t="s">
        <v>19</v>
      </c>
      <c r="E50">
        <v>170</v>
      </c>
      <c r="F50">
        <v>170</v>
      </c>
      <c r="G50">
        <v>155</v>
      </c>
      <c r="H50" t="s">
        <v>193</v>
      </c>
    </row>
    <row r="51" spans="2:8">
      <c r="B51" t="s">
        <v>205</v>
      </c>
      <c r="C51" t="s">
        <v>25</v>
      </c>
      <c r="D51" t="s">
        <v>19</v>
      </c>
      <c r="E51">
        <v>1</v>
      </c>
      <c r="F51">
        <v>1</v>
      </c>
      <c r="G51">
        <v>1</v>
      </c>
      <c r="H51" t="s">
        <v>141</v>
      </c>
    </row>
    <row r="52" spans="2:8">
      <c r="B52" t="s">
        <v>205</v>
      </c>
      <c r="C52" t="s">
        <v>25</v>
      </c>
      <c r="D52" t="s">
        <v>19</v>
      </c>
      <c r="E52">
        <v>0.14000000000000001</v>
      </c>
      <c r="F52">
        <v>0.14000000000000001</v>
      </c>
      <c r="G52">
        <v>0.14000000000000001</v>
      </c>
      <c r="H52" t="s">
        <v>191</v>
      </c>
    </row>
    <row r="53" spans="2:8">
      <c r="B53" t="s">
        <v>205</v>
      </c>
      <c r="C53" t="s">
        <v>25</v>
      </c>
      <c r="D53" t="s">
        <v>19</v>
      </c>
      <c r="E53">
        <v>750</v>
      </c>
      <c r="F53">
        <v>480</v>
      </c>
      <c r="G53">
        <v>340</v>
      </c>
      <c r="H53" t="s">
        <v>192</v>
      </c>
    </row>
    <row r="54" spans="2:8">
      <c r="B54" t="s">
        <v>205</v>
      </c>
      <c r="C54" t="s">
        <v>25</v>
      </c>
      <c r="D54" t="s">
        <v>19</v>
      </c>
      <c r="E54">
        <v>12</v>
      </c>
      <c r="F54">
        <v>10</v>
      </c>
      <c r="G54">
        <v>10</v>
      </c>
      <c r="H54" t="s">
        <v>193</v>
      </c>
    </row>
    <row r="55" spans="2:8">
      <c r="B55" t="s">
        <v>205</v>
      </c>
      <c r="C55" t="s">
        <v>25</v>
      </c>
      <c r="D55" t="s">
        <v>19</v>
      </c>
      <c r="E55">
        <v>1.5</v>
      </c>
      <c r="F55">
        <v>1.5</v>
      </c>
      <c r="G55">
        <v>1.5</v>
      </c>
      <c r="H55" t="s">
        <v>194</v>
      </c>
    </row>
    <row r="56" spans="2:8">
      <c r="B56" t="s">
        <v>206</v>
      </c>
      <c r="C56" t="s">
        <v>30</v>
      </c>
      <c r="D56" t="s">
        <v>19</v>
      </c>
      <c r="E56">
        <v>0.39</v>
      </c>
      <c r="F56">
        <v>0.39</v>
      </c>
      <c r="G56">
        <v>0.39</v>
      </c>
      <c r="H56" t="s">
        <v>141</v>
      </c>
    </row>
    <row r="57" spans="2:8">
      <c r="B57" t="s">
        <v>206</v>
      </c>
      <c r="C57" t="s">
        <v>30</v>
      </c>
      <c r="D57" t="s">
        <v>19</v>
      </c>
      <c r="E57">
        <v>1700</v>
      </c>
      <c r="F57">
        <v>1700</v>
      </c>
      <c r="G57">
        <v>1700</v>
      </c>
      <c r="H57" t="s">
        <v>192</v>
      </c>
    </row>
    <row r="58" spans="2:8">
      <c r="B58" t="s">
        <v>206</v>
      </c>
      <c r="C58" t="s">
        <v>30</v>
      </c>
      <c r="D58" t="s">
        <v>19</v>
      </c>
      <c r="E58">
        <v>45</v>
      </c>
      <c r="F58">
        <v>45</v>
      </c>
      <c r="G58">
        <v>45</v>
      </c>
      <c r="H58" t="s">
        <v>193</v>
      </c>
    </row>
    <row r="59" spans="2:8">
      <c r="B59" t="s">
        <v>207</v>
      </c>
      <c r="C59" t="s">
        <v>30</v>
      </c>
      <c r="D59" t="s">
        <v>19</v>
      </c>
      <c r="E59">
        <v>0.43</v>
      </c>
      <c r="F59">
        <v>0.43</v>
      </c>
      <c r="G59">
        <v>0.43</v>
      </c>
      <c r="H59" t="s">
        <v>141</v>
      </c>
    </row>
    <row r="60" spans="2:8">
      <c r="B60" t="s">
        <v>207</v>
      </c>
      <c r="C60" t="s">
        <v>30</v>
      </c>
      <c r="D60" t="s">
        <v>19</v>
      </c>
      <c r="E60">
        <v>2000</v>
      </c>
      <c r="F60">
        <v>2000</v>
      </c>
      <c r="G60">
        <v>2000</v>
      </c>
      <c r="H60" t="s">
        <v>192</v>
      </c>
    </row>
    <row r="61" spans="2:8">
      <c r="B61" t="s">
        <v>207</v>
      </c>
      <c r="C61" t="s">
        <v>30</v>
      </c>
      <c r="D61" t="s">
        <v>19</v>
      </c>
      <c r="E61">
        <v>60</v>
      </c>
      <c r="F61">
        <v>60</v>
      </c>
      <c r="G61">
        <v>60</v>
      </c>
      <c r="H61" t="s">
        <v>193</v>
      </c>
    </row>
    <row r="62" spans="2:8">
      <c r="B62" t="s">
        <v>208</v>
      </c>
      <c r="C62" t="s">
        <v>30</v>
      </c>
      <c r="D62" t="s">
        <v>19</v>
      </c>
      <c r="E62">
        <v>0.46</v>
      </c>
      <c r="F62">
        <v>0.46</v>
      </c>
      <c r="G62">
        <v>0.48</v>
      </c>
      <c r="H62" t="s">
        <v>141</v>
      </c>
    </row>
    <row r="63" spans="2:8">
      <c r="B63" t="s">
        <v>208</v>
      </c>
      <c r="C63" t="s">
        <v>30</v>
      </c>
      <c r="D63" t="s">
        <v>19</v>
      </c>
      <c r="E63">
        <v>2200</v>
      </c>
      <c r="F63">
        <v>2200</v>
      </c>
      <c r="G63">
        <v>2200</v>
      </c>
      <c r="H63" t="s">
        <v>192</v>
      </c>
    </row>
    <row r="64" spans="2:8">
      <c r="B64" t="s">
        <v>208</v>
      </c>
      <c r="C64" t="s">
        <v>30</v>
      </c>
      <c r="D64" t="s">
        <v>19</v>
      </c>
      <c r="E64">
        <v>65</v>
      </c>
      <c r="F64">
        <v>65</v>
      </c>
      <c r="G64">
        <v>65</v>
      </c>
      <c r="H64" t="s">
        <v>193</v>
      </c>
    </row>
    <row r="65" spans="2:8">
      <c r="B65" t="s">
        <v>209</v>
      </c>
      <c r="C65" t="s">
        <v>210</v>
      </c>
      <c r="D65" t="s">
        <v>19</v>
      </c>
      <c r="E65">
        <v>1</v>
      </c>
      <c r="F65">
        <v>1</v>
      </c>
      <c r="G65">
        <v>1</v>
      </c>
      <c r="H65" t="s">
        <v>141</v>
      </c>
    </row>
    <row r="66" spans="2:8">
      <c r="B66" t="s">
        <v>209</v>
      </c>
      <c r="C66" t="s">
        <v>210</v>
      </c>
      <c r="D66" t="s">
        <v>19</v>
      </c>
      <c r="E66">
        <v>0.5</v>
      </c>
      <c r="F66">
        <v>0.55000000000000004</v>
      </c>
      <c r="G66">
        <v>0.56000000000000005</v>
      </c>
      <c r="H66" t="s">
        <v>191</v>
      </c>
    </row>
    <row r="67" spans="2:8">
      <c r="B67" t="s">
        <v>209</v>
      </c>
      <c r="C67" t="s">
        <v>210</v>
      </c>
      <c r="D67" t="s">
        <v>19</v>
      </c>
      <c r="E67">
        <v>3120</v>
      </c>
      <c r="F67">
        <v>2280</v>
      </c>
      <c r="G67">
        <v>1660</v>
      </c>
      <c r="H67" t="s">
        <v>192</v>
      </c>
    </row>
    <row r="68" spans="2:8">
      <c r="B68" t="s">
        <v>209</v>
      </c>
      <c r="C68" t="s">
        <v>210</v>
      </c>
      <c r="D68" t="s">
        <v>19</v>
      </c>
      <c r="E68">
        <v>60</v>
      </c>
      <c r="F68">
        <v>50</v>
      </c>
      <c r="G68">
        <v>40</v>
      </c>
      <c r="H68" t="s">
        <v>193</v>
      </c>
    </row>
    <row r="69" spans="2:8">
      <c r="B69" t="s">
        <v>209</v>
      </c>
      <c r="C69" t="s">
        <v>210</v>
      </c>
      <c r="D69" t="s">
        <v>19</v>
      </c>
      <c r="E69">
        <v>10</v>
      </c>
      <c r="F69">
        <v>7</v>
      </c>
      <c r="G69">
        <v>5</v>
      </c>
      <c r="H69" t="s">
        <v>194</v>
      </c>
    </row>
    <row r="70" spans="2:8">
      <c r="B70" t="s">
        <v>211</v>
      </c>
      <c r="C70" t="s">
        <v>210</v>
      </c>
      <c r="D70" t="s">
        <v>19</v>
      </c>
      <c r="E70">
        <v>1</v>
      </c>
      <c r="F70">
        <v>1</v>
      </c>
      <c r="G70">
        <v>1</v>
      </c>
      <c r="H70" t="s">
        <v>141</v>
      </c>
    </row>
    <row r="71" spans="2:8">
      <c r="B71" t="s">
        <v>211</v>
      </c>
      <c r="C71" t="s">
        <v>210</v>
      </c>
      <c r="D71" t="s">
        <v>19</v>
      </c>
      <c r="E71">
        <v>0.28999999999999998</v>
      </c>
      <c r="F71">
        <v>0.3</v>
      </c>
      <c r="G71">
        <v>0.3</v>
      </c>
      <c r="H71" t="s">
        <v>191</v>
      </c>
    </row>
    <row r="72" spans="2:8">
      <c r="B72" t="s">
        <v>211</v>
      </c>
      <c r="C72" t="s">
        <v>210</v>
      </c>
      <c r="D72" t="s">
        <v>19</v>
      </c>
      <c r="E72">
        <v>1630</v>
      </c>
      <c r="F72">
        <v>1550</v>
      </c>
      <c r="G72">
        <v>1490</v>
      </c>
      <c r="H72" t="s">
        <v>192</v>
      </c>
    </row>
    <row r="73" spans="2:8">
      <c r="B73" t="s">
        <v>211</v>
      </c>
      <c r="C73" t="s">
        <v>210</v>
      </c>
      <c r="D73" t="s">
        <v>19</v>
      </c>
      <c r="E73">
        <v>42</v>
      </c>
      <c r="F73">
        <v>40</v>
      </c>
      <c r="G73">
        <v>38</v>
      </c>
      <c r="H73" t="s">
        <v>193</v>
      </c>
    </row>
    <row r="74" spans="2:8">
      <c r="B74" t="s">
        <v>211</v>
      </c>
      <c r="C74" t="s">
        <v>210</v>
      </c>
      <c r="D74" t="s">
        <v>19</v>
      </c>
      <c r="E74">
        <v>1.5</v>
      </c>
      <c r="F74">
        <v>1.5</v>
      </c>
      <c r="G74">
        <v>1.5</v>
      </c>
      <c r="H74" t="s">
        <v>194</v>
      </c>
    </row>
    <row r="75" spans="2:8">
      <c r="B75" t="s">
        <v>314</v>
      </c>
      <c r="C75" t="s">
        <v>34</v>
      </c>
      <c r="D75" t="s">
        <v>19</v>
      </c>
      <c r="E75">
        <v>0.32600000000000001</v>
      </c>
      <c r="F75">
        <v>0.32600000000000001</v>
      </c>
      <c r="G75">
        <v>0.32600000000000001</v>
      </c>
      <c r="H75" t="s">
        <v>141</v>
      </c>
    </row>
    <row r="76" spans="2:8">
      <c r="B76" t="s">
        <v>314</v>
      </c>
      <c r="C76" t="s">
        <v>34</v>
      </c>
      <c r="D76" t="s">
        <v>19</v>
      </c>
      <c r="E76">
        <v>6600</v>
      </c>
      <c r="F76">
        <v>6600</v>
      </c>
      <c r="G76">
        <v>6600</v>
      </c>
      <c r="H76" t="s">
        <v>192</v>
      </c>
    </row>
    <row r="77" spans="2:8">
      <c r="B77" t="s">
        <v>314</v>
      </c>
      <c r="C77" t="s">
        <v>34</v>
      </c>
      <c r="D77" t="s">
        <v>19</v>
      </c>
      <c r="E77">
        <v>21</v>
      </c>
      <c r="F77">
        <v>21</v>
      </c>
      <c r="G77">
        <v>21</v>
      </c>
      <c r="H77" t="s">
        <v>193</v>
      </c>
    </row>
    <row r="78" spans="2:8">
      <c r="B78" t="s">
        <v>314</v>
      </c>
      <c r="C78" t="s">
        <v>34</v>
      </c>
      <c r="D78" t="s">
        <v>19</v>
      </c>
      <c r="E78">
        <v>60</v>
      </c>
      <c r="F78">
        <v>60</v>
      </c>
      <c r="G78">
        <v>60</v>
      </c>
      <c r="H78" t="s">
        <v>55</v>
      </c>
    </row>
    <row r="79" spans="2:8">
      <c r="B79" t="s">
        <v>314</v>
      </c>
      <c r="C79" t="s">
        <v>34</v>
      </c>
      <c r="D79" t="s">
        <v>19</v>
      </c>
      <c r="E79">
        <v>0.92</v>
      </c>
      <c r="F79">
        <v>0.92</v>
      </c>
      <c r="G79">
        <v>0.92</v>
      </c>
      <c r="H79" t="s">
        <v>191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2019-05-06T14:41:57Z</cp:lastPrinted>
  <dcterms:created xsi:type="dcterms:W3CDTF">2016-08-02T11:07:23Z</dcterms:created>
  <dcterms:modified xsi:type="dcterms:W3CDTF">2026-05-28T07:58:03Z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