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EAF42FD1-4593-41C4-83C4-4F1959EA3EF3}" xr6:coauthVersionLast="47" xr6:coauthVersionMax="47" xr10:uidLastSave="{00000000-0000-0000-0000-000000000000}"/>
  <bookViews>
    <workbookView xWindow="-10350" yWindow="11010" windowWidth="19180" windowHeight="11260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ELC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N26" i="12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4" i="7"/>
  <c r="O12" i="7"/>
  <c r="O11" i="7"/>
  <c r="J8" i="7"/>
  <c r="J6" i="7"/>
  <c r="J5" i="7"/>
  <c r="J4" i="7"/>
</calcChain>
</file>

<file path=xl/sharedStrings.xml><?xml version="1.0" encoding="utf-8"?>
<sst xmlns="http://schemas.openxmlformats.org/spreadsheetml/2006/main" count="1031" uniqueCount="302">
  <si>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</si>
  <si>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</si>
  <si>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</si>
  <si>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</si>
  <si>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</si>
  <si>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</si>
  <si>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</si>
  <si>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</si>
  <si>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</si>
  <si>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</si>
  <si>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</si>
  <si>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</si>
  <si>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</si>
  <si>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</si>
  <si>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</si>
  <si>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</si>
  <si>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</si>
  <si>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</si>
  <si>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</si>
  <si>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</si>
  <si>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</si>
  <si>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</si>
  <si>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</si>
  <si>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</si>
  <si>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</si>
  <si>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</si>
  <si>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</si>
  <si>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</si>
  <si>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</si>
  <si>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</si>
  <si>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</si>
  <si>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</si>
  <si>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</si>
  <si>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</si>
  <si>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</si>
  <si>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</si>
  <si>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</si>
  <si>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</si>
  <si>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</si>
  <si>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</si>
  <si>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</si>
  <si>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</si>
  <si>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</si>
  <si>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</si>
  <si>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</si>
  <si>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</si>
  <si>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</si>
  <si>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</si>
  <si>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</si>
  <si>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</si>
  <si>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</si>
  <si>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</si>
  <si>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</si>
  <si>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</si>
  <si>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</si>
  <si>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</si>
  <si>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</si>
  <si>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</si>
  <si>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</si>
  <si>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</si>
  <si>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</si>
  <si>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</si>
  <si>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</si>
  <si>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</si>
  <si>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</si>
  <si>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</si>
  <si>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</si>
  <si>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</si>
  <si>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</si>
  <si>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</si>
  <si>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</si>
  <si>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</si>
  <si>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</si>
  <si>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</si>
  <si>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</si>
  <si>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</si>
  <si>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</si>
  <si>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</si>
  <si>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</si>
  <si>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</si>
  <si>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</si>
  <si>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</si>
  <si>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</si>
  <si>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</si>
  <si>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</si>
  <si>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</si>
  <si>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</si>
  <si>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</si>
  <si>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</si>
  <si>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</si>
  <si>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</si>
  <si>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</si>
  <si>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</si>
  <si>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</si>
  <si>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</si>
  <si>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</si>
  <si>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</si>
  <si>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</si>
  <si>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</si>
  <si>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</si>
  <si>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</si>
  <si>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</si>
  <si>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</si>
  <si>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</si>
  <si>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</si>
  <si>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</si>
  <si>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</si>
  <si>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</si>
  <si>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</si>
  <si>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</si>
  <si>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</si>
  <si>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</si>
  <si>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</si>
  <si>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</si>
  <si>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</si>
  <si>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</si>
  <si>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</si>
  <si>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</si>
  <si>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</si>
  <si>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</si>
  <si>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</si>
  <si>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</si>
  <si>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</si>
  <si>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</si>
  <si>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</si>
  <si>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</si>
  <si>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</si>
  <si>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</si>
  <si>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</si>
  <si>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</si>
  <si>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</si>
  <si>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</si>
  <si>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</si>
  <si>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</si>
  <si>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</si>
  <si>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</si>
  <si>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</si>
  <si>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</si>
  <si>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</si>
  <si>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</si>
  <si>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</si>
  <si>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</si>
  <si>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</si>
  <si>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</si>
  <si>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</si>
  <si>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</si>
  <si>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</si>
  <si>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</si>
  <si>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</si>
  <si>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</si>
  <si>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</si>
  <si>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</si>
  <si>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</si>
  <si>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</si>
  <si>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</si>
  <si>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</si>
  <si>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</si>
  <si>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</si>
  <si>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</si>
  <si>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</si>
  <si>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</si>
  <si>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</si>
  <si>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</si>
  <si>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</si>
  <si>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</si>
  <si>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</si>
  <si>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</si>
  <si>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</si>
  <si>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</si>
  <si>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</si>
  <si>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</si>
  <si>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</si>
  <si>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</si>
  <si>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</si>
  <si>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</si>
  <si>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</si>
  <si>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</si>
  <si>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</si>
  <si>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</si>
  <si>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</si>
  <si>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</si>
  <si>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</si>
  <si>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</si>
  <si>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</si>
  <si>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</si>
  <si>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</si>
  <si>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</si>
  <si>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</si>
  <si>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</si>
  <si>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</si>
  <si>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</si>
  <si>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</si>
  <si>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</si>
  <si>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</si>
  <si>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</si>
  <si>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</si>
  <si>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</si>
  <si>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</si>
  <si>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</si>
  <si>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</si>
  <si>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</si>
  <si>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</si>
  <si>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</si>
  <si>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</si>
  <si>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</si>
  <si>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</si>
  <si>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</si>
  <si>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</si>
  <si>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</si>
  <si>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</si>
  <si>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</si>
  <si>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</si>
  <si>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</si>
  <si>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</si>
  <si>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</si>
  <si>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</si>
  <si>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</si>
  <si>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</si>
  <si>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</si>
  <si>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</si>
  <si>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</si>
  <si>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</si>
  <si>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</si>
  <si>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</si>
  <si>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</si>
  <si>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</si>
  <si>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</si>
  <si>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</si>
  <si>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</si>
  <si>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</si>
  <si>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</si>
  <si>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</si>
  <si>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</si>
  <si>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</si>
  <si>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</si>
  <si>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</si>
  <si>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</si>
  <si>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</si>
  <si>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</si>
  <si>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</si>
  <si>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</si>
  <si>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</si>
  <si>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</si>
  <si>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</si>
  <si>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</si>
  <si>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</si>
  <si>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</si>
  <si>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</si>
  <si>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</si>
  <si>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</si>
  <si>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</si>
  <si>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</si>
  <si>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</si>
  <si>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</si>
  <si>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</si>
  <si>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</si>
  <si>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</si>
  <si>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</si>
  <si>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</si>
  <si>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</si>
  <si>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</si>
  <si>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</si>
  <si>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</si>
  <si>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</si>
  <si>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</si>
  <si>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</si>
  <si>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</si>
  <si>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</si>
  <si>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</si>
  <si>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</si>
  <si>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</si>
  <si>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</si>
  <si>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</si>
  <si>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</si>
  <si>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</si>
  <si>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</si>
  <si>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</si>
  <si>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</si>
  <si>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</si>
  <si>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</si>
  <si>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</si>
  <si>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</si>
  <si>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</si>
  <si>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</si>
  <si>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</si>
  <si>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</si>
  <si>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</si>
  <si>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</si>
  <si>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</si>
  <si>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</si>
  <si>
    <t>FI_Process</t>
  </si>
  <si>
    <t>FI_T: EUR15</t>
  </si>
  <si>
    <t>FI_T: FX</t>
  </si>
  <si>
    <t>FI_Comm</t>
  </si>
  <si>
    <t>FI_T: USD21</t>
  </si>
  <si>
    <t>Enefit PP</t>
  </si>
  <si>
    <t>act_cost</t>
  </si>
  <si>
    <t>ncap_tlife</t>
  </si>
  <si>
    <t>ncap_af~fx</t>
  </si>
  <si>
    <t>en_a_coal_cfb_enefit</t>
  </si>
  <si>
    <t>ncap_pasti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</si>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</sst>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167" fontId="0" fillId="0" borderId="0" xfId="0" applyNumberForma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tabSelected="1" topLeftCell="D1" zoomScale="80" workbookViewId="0">
      <selection activeCell="N15" sqref="N15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18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t="s">
        <v>27</v>
      </c>
      <c r="C8" t="s">
        <v>94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t="s">
        <v>93</v>
      </c>
      <c r="C9" t="s">
        <v>95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147</v>
      </c>
      <c r="D10" s="1" t="s">
        <v>103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149</v>
      </c>
      <c r="D11" s="1" t="s">
        <v>148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32</v>
      </c>
      <c r="M11" s="1"/>
      <c r="N11" s="1"/>
      <c r="O11" s="1">
        <f>V11*3.6</f>
        <v>0.36000000000000004</v>
      </c>
      <c r="P11" s="1"/>
      <c r="V11">
        <v>0.1</v>
      </c>
    </row>
    <row r="12" spans="2:22">
      <c r="B12" s="1" t="s">
        <v>27</v>
      </c>
      <c r="C12" s="1" t="s">
        <v>150</v>
      </c>
      <c r="D12" s="1" t="s">
        <v>151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>V12*3.6</f>
        <v>0.36000000000000004</v>
      </c>
      <c r="P12" s="1"/>
      <c r="V12">
        <v>0.1</v>
      </c>
    </row>
    <row r="13" spans="2:22">
      <c r="B13" s="1" t="s">
        <v>27</v>
      </c>
      <c r="C13" s="1" t="s">
        <v>152</v>
      </c>
      <c r="D13" s="1" t="s">
        <v>155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B14" s="1" t="s">
        <v>27</v>
      </c>
      <c r="C14" t="s">
        <v>153</v>
      </c>
      <c r="D14" t="s">
        <v>156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34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27</v>
      </c>
      <c r="C15" t="s">
        <v>154</v>
      </c>
      <c r="D15" t="s">
        <v>157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25</v>
      </c>
      <c r="M15" s="1"/>
      <c r="N15" s="1"/>
      <c r="O15" s="1"/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145</v>
      </c>
      <c r="M16" s="1"/>
      <c r="N16" s="1"/>
      <c r="O16" s="1"/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146</v>
      </c>
      <c r="M17" s="1"/>
      <c r="N17" s="1"/>
      <c r="O17" s="1"/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5" workbookViewId="0">
      <selection activeCell="M9" sqref="M9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293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290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294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R4" sqref="R4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292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290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9" t="s">
        <v>105</v>
      </c>
      <c r="D1" s="149"/>
      <c r="E1" s="149"/>
      <c r="F1" s="150" t="s">
        <v>106</v>
      </c>
      <c r="G1" s="149"/>
      <c r="H1" s="151"/>
      <c r="I1" s="149" t="s">
        <v>107</v>
      </c>
      <c r="J1" s="149"/>
      <c r="K1" s="149"/>
      <c r="L1" s="149"/>
      <c r="M1" s="149"/>
      <c r="N1" s="149"/>
      <c r="O1" s="152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3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3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4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291</v>
      </c>
      <c r="T26" s="143" t="s">
        <v>290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opLeftCell="A5" workbookViewId="0">
      <selection activeCell="Q17" sqref="Q17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4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4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4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4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M7" workbookViewId="0">
      <selection activeCell="U15" sqref="U15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.5703125" bestFit="1" customWidth="1"/>
    <col min="24" max="24" width="11.28515625" bestFit="1" customWidth="1"/>
  </cols>
  <sheetData>
    <row r="9" spans="2:26">
      <c r="B9" t="s">
        <v>158</v>
      </c>
      <c r="J9" t="s">
        <v>189</v>
      </c>
      <c r="O9" t="s">
        <v>158</v>
      </c>
      <c r="W9" t="s">
        <v>189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191</v>
      </c>
      <c r="Z10" t="s">
        <v>192</v>
      </c>
    </row>
    <row r="11" spans="2:26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10.905749999999999</v>
      </c>
      <c r="Z11">
        <v>0.2978238628360676</v>
      </c>
    </row>
    <row r="12" spans="2:26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7.0004999999999997</v>
      </c>
      <c r="Z12">
        <v>0.37369451123150682</v>
      </c>
    </row>
    <row r="13" spans="2:26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3.048</v>
      </c>
      <c r="Z13">
        <v>0.28750467069383828</v>
      </c>
    </row>
    <row r="14" spans="2:26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9.0150000000000006</v>
      </c>
      <c r="Z14">
        <v>0.45257887643123651</v>
      </c>
    </row>
    <row r="15" spans="2:26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9.3472500000000007</v>
      </c>
      <c r="Z15">
        <v>0.44869827675393242</v>
      </c>
    </row>
    <row r="16" spans="2:26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19.705500000000001</v>
      </c>
      <c r="Z16">
        <v>0.47904088602536332</v>
      </c>
    </row>
    <row r="17" spans="2:26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15.350250000000001</v>
      </c>
      <c r="Z17">
        <v>0.47146795634591199</v>
      </c>
    </row>
    <row r="18" spans="2:26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17.492999999999999</v>
      </c>
      <c r="Z18">
        <v>0.4831226670907412</v>
      </c>
    </row>
    <row r="19" spans="2:26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2.87175</v>
      </c>
      <c r="Z19">
        <v>0.45668669806804207</v>
      </c>
    </row>
    <row r="20" spans="2:26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0.84824999999999995</v>
      </c>
      <c r="Z20">
        <v>0.45368618559080531</v>
      </c>
    </row>
    <row r="22" spans="2:26">
      <c r="L22" s="147" t="s">
        <v>289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25" workbookViewId="0">
      <selection activeCell="B56" sqref="B56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30A14-8E9E-4284-B5A6-1C3FDCD546BB}">
  <dimension ref="A3:U5"/>
  <sheetViews>
    <sheetView workbookViewId="0">
      <selection activeCell="J7" sqref="H7:J7"/>
    </sheetView>
  </sheetViews>
  <sheetFormatPr defaultRowHeight="15"/>
  <cols>
    <col min="5" max="5" width="10.42578125" bestFit="1" customWidth="1"/>
    <col min="12" max="12" width="16.5703125" bestFit="1" customWidth="1"/>
  </cols>
  <sheetData>
    <row r="3" spans="1:21">
      <c r="A3" t="s">
        <v>189</v>
      </c>
      <c r="O3" t="s">
        <v>158</v>
      </c>
    </row>
    <row r="4" spans="1:21">
      <c r="A4" t="s">
        <v>160</v>
      </c>
      <c r="B4" t="s">
        <v>263</v>
      </c>
      <c r="C4" t="s">
        <v>190</v>
      </c>
      <c r="D4" t="s">
        <v>301</v>
      </c>
      <c r="E4" t="s">
        <v>300</v>
      </c>
      <c r="F4" t="s">
        <v>141</v>
      </c>
      <c r="G4" t="s">
        <v>266</v>
      </c>
      <c r="H4" t="s">
        <v>267</v>
      </c>
      <c r="I4" t="s">
        <v>296</v>
      </c>
      <c r="J4" t="s">
        <v>297</v>
      </c>
      <c r="K4" t="s">
        <v>298</v>
      </c>
      <c r="O4" t="s">
        <v>159</v>
      </c>
      <c r="P4" t="s">
        <v>160</v>
      </c>
      <c r="Q4" t="s">
        <v>161</v>
      </c>
      <c r="R4" t="s">
        <v>162</v>
      </c>
      <c r="S4" t="s">
        <v>163</v>
      </c>
      <c r="T4" t="s">
        <v>164</v>
      </c>
      <c r="U4" t="s">
        <v>165</v>
      </c>
    </row>
    <row r="5" spans="1:21">
      <c r="A5" t="s">
        <v>299</v>
      </c>
      <c r="B5" t="s">
        <v>30</v>
      </c>
      <c r="C5" t="s">
        <v>19</v>
      </c>
      <c r="D5">
        <v>2025</v>
      </c>
      <c r="E5">
        <v>0.01</v>
      </c>
      <c r="F5">
        <v>0.33</v>
      </c>
      <c r="G5">
        <v>4812</v>
      </c>
      <c r="H5" s="148">
        <v>63</v>
      </c>
      <c r="I5">
        <v>4.1005000000000003</v>
      </c>
      <c r="J5">
        <v>40</v>
      </c>
      <c r="O5" t="s">
        <v>166</v>
      </c>
      <c r="P5" t="s">
        <v>299</v>
      </c>
      <c r="Q5" t="s">
        <v>295</v>
      </c>
      <c r="R5" t="s">
        <v>10</v>
      </c>
      <c r="S5" t="s">
        <v>21</v>
      </c>
      <c r="T5" t="s">
        <v>169</v>
      </c>
      <c r="U5" t="s">
        <v>287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ELC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2026-03-06T12:36:48Z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