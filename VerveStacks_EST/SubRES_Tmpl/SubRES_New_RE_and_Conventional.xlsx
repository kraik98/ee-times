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AEF3EA8-1A36-4281-9ACB-5601DAD0EC7B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63" i="9"/>
  <c r="O42" i="9"/>
  <c r="O43" i="9"/>
  <c r="O15" i="7" l="1"/>
  <c r="O16" i="7"/>
  <c r="O17" i="7"/>
  <c r="O11" i="7"/>
  <c r="O12" i="7"/>
  <c r="O14" i="7"/>
  <c r="P42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51" i="9"/>
  <c r="T51" i="9"/>
  <c r="S51" i="9"/>
  <c r="R51" i="9"/>
  <c r="Q51" i="9"/>
  <c r="P51" i="9"/>
  <c r="O51" i="9"/>
  <c r="U50" i="9"/>
  <c r="T50" i="9"/>
  <c r="S50" i="9"/>
  <c r="R50" i="9"/>
  <c r="Q50" i="9"/>
  <c r="P50" i="9"/>
  <c r="O50" i="9"/>
  <c r="V48" i="9"/>
  <c r="O48" i="9"/>
  <c r="W47" i="9"/>
  <c r="O47" i="9"/>
  <c r="U43" i="9"/>
  <c r="T43" i="9"/>
  <c r="S43" i="9"/>
  <c r="R43" i="9"/>
  <c r="Q43" i="9"/>
  <c r="P43" i="9"/>
  <c r="U42" i="9"/>
  <c r="T42" i="9"/>
  <c r="S42" i="9"/>
  <c r="R42" i="9"/>
  <c r="Q42" i="9"/>
  <c r="V40" i="9"/>
  <c r="O40" i="9"/>
  <c r="W39" i="9"/>
  <c r="O39" i="9"/>
  <c r="U38" i="9"/>
  <c r="T38" i="9"/>
  <c r="S38" i="9"/>
  <c r="R38" i="9"/>
  <c r="Q38" i="9"/>
  <c r="P38" i="9"/>
  <c r="O38" i="9"/>
  <c r="J8" i="7"/>
  <c r="J6" i="7"/>
  <c r="J5" i="7"/>
  <c r="J4" i="7"/>
</calcChain>
</file>

<file path=xl/sharedStrings.xml><?xml version="1.0" encoding="utf-8"?>
<sst xmlns="http://schemas.openxmlformats.org/spreadsheetml/2006/main" count="1080" uniqueCount="339">
  <si>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</si>
  <si>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</si>
  <si>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</si>
  <si>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</si>
  <si>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</si>
  <si>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</si>
  <si>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</si>
  <si>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</si>
  <si>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</si>
  <si>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</si>
  <si>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</si>
  <si>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</si>
  <si>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</si>
  <si>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</si>
  <si>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</si>
  <si>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</si>
  <si>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</si>
  <si>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</si>
  <si>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</si>
  <si>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</si>
  <si>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</si>
  <si>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</si>
  <si>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</si>
  <si>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</si>
  <si>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</si>
  <si>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</si>
  <si>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</si>
  <si>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</si>
  <si>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</si>
  <si>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</si>
  <si>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</si>
  <si>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</si>
  <si>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</si>
  <si>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</si>
  <si>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</si>
  <si>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</si>
  <si>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</si>
  <si>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</si>
  <si>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</si>
  <si>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</si>
  <si>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</si>
  <si>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</si>
  <si>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</si>
  <si>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</si>
  <si>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</si>
  <si>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</si>
  <si>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</si>
  <si>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</si>
  <si>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</si>
  <si>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</si>
  <si>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</si>
  <si>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</si>
  <si>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</si>
  <si>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</si>
  <si>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</si>
  <si>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</si>
  <si>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</si>
  <si>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</si>
  <si>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</si>
  <si>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</si>
  <si>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</si>
  <si>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</si>
  <si>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</si>
  <si>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</si>
  <si>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</si>
  <si>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</si>
  <si>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</si>
  <si>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</si>
  <si>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</si>
  <si>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</si>
  <si>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</si>
  <si>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</si>
  <si>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</si>
  <si>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</si>
  <si>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</si>
  <si>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</si>
  <si>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</si>
  <si>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</si>
  <si>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</si>
  <si>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</si>
  <si>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</si>
  <si>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</si>
  <si>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</si>
  <si>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</si>
  <si>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</si>
  <si>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</si>
  <si>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</si>
  <si>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</si>
  <si>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</si>
  <si>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</si>
  <si>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</si>
  <si>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</si>
  <si>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</si>
  <si>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</si>
  <si>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</si>
  <si>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</si>
  <si>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</si>
  <si>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</si>
  <si>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</si>
  <si>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</si>
  <si>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</si>
  <si>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</si>
  <si>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</si>
  <si>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</si>
  <si>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</si>
  <si>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</si>
  <si>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</si>
  <si>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</si>
  <si>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</si>
  <si>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</si>
  <si>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</si>
  <si>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</si>
  <si>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</si>
  <si>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</si>
  <si>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</si>
  <si>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</si>
  <si>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</si>
  <si>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</si>
  <si>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</si>
  <si>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</si>
  <si>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</si>
  <si>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</si>
  <si>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</si>
  <si>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</si>
  <si>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</si>
  <si>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</si>
  <si>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</si>
  <si>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</si>
  <si>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</si>
  <si>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</si>
  <si>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</si>
  <si>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</si>
  <si>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</si>
  <si>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</si>
  <si>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</si>
  <si>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</si>
  <si>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</si>
  <si>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</si>
  <si>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</si>
  <si>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</si>
  <si>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</si>
  <si>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</si>
  <si>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</si>
  <si>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</si>
  <si>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</si>
  <si>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</si>
  <si>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</si>
  <si>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</si>
  <si>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</si>
  <si>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</si>
  <si>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</si>
  <si>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</si>
  <si>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</si>
  <si>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</si>
  <si>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</si>
  <si>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</si>
  <si>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</si>
  <si>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</si>
  <si>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</si>
  <si>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</si>
  <si>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</si>
  <si>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</si>
  <si>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</si>
  <si>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</si>
  <si>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</si>
  <si>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</si>
  <si>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</si>
  <si>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</si>
  <si>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</si>
  <si>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</si>
  <si>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</si>
  <si>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</si>
  <si>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</si>
  <si>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</si>
  <si>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</si>
  <si>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</si>
  <si>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</si>
  <si>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</si>
  <si>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</si>
  <si>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</si>
  <si>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</si>
  <si>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</si>
  <si>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</si>
  <si>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</si>
  <si>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</si>
  <si>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</si>
  <si>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</si>
  <si>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</si>
  <si>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</si>
  <si>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</si>
  <si>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</si>
  <si>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</si>
  <si>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</si>
  <si>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</si>
  <si>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</si>
  <si>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</si>
  <si>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</si>
  <si>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</si>
  <si>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</si>
  <si>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</si>
  <si>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</si>
  <si>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</si>
  <si>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</si>
  <si>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</si>
  <si>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</si>
  <si>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</si>
  <si>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</si>
  <si>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</si>
  <si>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</si>
  <si>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</si>
  <si>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</si>
  <si>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</si>
  <si>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</si>
  <si>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</si>
  <si>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</si>
  <si>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</si>
  <si>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</si>
  <si>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</si>
  <si>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</si>
  <si>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</si>
  <si>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</si>
  <si>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</si>
  <si>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</si>
  <si>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</si>
  <si>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</si>
  <si>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</si>
  <si>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</si>
  <si>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</si>
  <si>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</si>
  <si>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</si>
  <si>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</si>
  <si>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</si>
  <si>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</si>
  <si>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</si>
  <si>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</si>
  <si>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</si>
  <si>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</si>
  <si>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</si>
  <si>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</si>
  <si>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</si>
  <si>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</si>
  <si>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</si>
  <si>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</si>
  <si>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</si>
  <si>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</si>
  <si>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</si>
  <si>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</si>
  <si>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</si>
  <si>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</si>
  <si>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</si>
  <si>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</si>
  <si>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</si>
  <si>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</si>
  <si>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</si>
  <si>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</si>
  <si>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</si>
  <si>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</si>
  <si>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</si>
  <si>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</si>
  <si>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</si>
  <si>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</si>
  <si>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</si>
  <si>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</si>
  <si>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</si>
  <si>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</si>
  <si>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</si>
  <si>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</si>
  <si>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</si>
  <si>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</si>
  <si>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</si>
  <si>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</si>
  <si>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</si>
  <si>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</si>
  <si>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</si>
  <si>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</si>
  <si>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</si>
  <si>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</si>
  <si>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</si>
  <si>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</si>
  <si>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</si>
  <si>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</si>
  <si>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</si>
  <si>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</si>
  <si>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</si>
  <si>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</si>
  <si>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</si>
  <si>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</si>
  <si>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</si>
  <si>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</si>
  <si>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</si>
  <si>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</si>
  <si>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</si>
  <si>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</si>
  <si>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</si>
  <si>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</si>
  <si>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</si>
  <si>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</si>
  <si>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</si>
  <si>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</si>
  <si>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</si>
  <si>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</si>
  <si>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</si>
  <si>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</si>
  <si>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</si>
  <si>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</si>
  <si>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</si>
  <si>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</si>
  <si>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</si>
  <si>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</si>
  <si>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</si>
  <si>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</si>
  <si>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</si>
  <si>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</si>
  <si>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</si>
  <si>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</si>
  <si>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</si>
  <si>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</si>
  <si>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</si>
  <si>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</si>
  <si>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</si>
  <si>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</si>
  <si>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*TechDesc</t>
  </si>
  <si>
    <t>Life</t>
  </si>
  <si>
    <t>STG_MAXCYC</t>
  </si>
  <si>
    <t>*Technology Name</t>
  </si>
  <si>
    <t>Input Commodity</t>
  </si>
  <si>
    <t>Output Commodity</t>
  </si>
  <si>
    <t>Commodity group</t>
  </si>
  <si>
    <t>Efficiency</t>
  </si>
  <si>
    <t>Storage efficiency</t>
  </si>
  <si>
    <t>Investment cost</t>
  </si>
  <si>
    <t>Fixed O&amp;M Cost</t>
  </si>
  <si>
    <t>Lifetime of Process</t>
  </si>
  <si>
    <t>Capacity to Activity Factor</t>
  </si>
  <si>
    <t>Maximum number of storage cycles over lifetime</t>
  </si>
  <si>
    <t>Fraction of capacity in peak equations</t>
  </si>
  <si>
    <t>~FI_T:EUR25</t>
  </si>
  <si>
    <t>FI_T: USD21</t>
  </si>
  <si>
    <t>FI_Comm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</si>
</sst>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J1" zoomScale="80" workbookViewId="0">
      <selection activeCell="N6" sqref="N6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3:Y86"/>
  <sheetViews>
    <sheetView tabSelected="1" zoomScale="74" workbookViewId="0">
      <selection activeCell="I20" sqref="I20"/>
    </sheetView>
  </sheetViews>
  <sheetFormatPr defaultColWidth="8.85546875" defaultRowHeight="15"/>
  <cols>
    <col min="2" max="2" width="12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45.425781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4.5703125" bestFit="1" customWidth="1"/>
  </cols>
  <sheetData>
    <row r="3" spans="2:9">
      <c r="B3" t="s">
        <v>218</v>
      </c>
    </row>
    <row r="4" spans="2:9">
      <c r="B4" t="s">
        <v>36</v>
      </c>
      <c r="C4" t="s">
        <v>37</v>
      </c>
      <c r="D4" t="s">
        <v>38</v>
      </c>
      <c r="E4" t="s">
        <v>23</v>
      </c>
      <c r="F4" t="s">
        <v>39</v>
      </c>
      <c r="G4" t="s">
        <v>40</v>
      </c>
      <c r="H4" t="s">
        <v>41</v>
      </c>
      <c r="I4" t="s">
        <v>42</v>
      </c>
    </row>
    <row r="5" spans="2:9">
      <c r="B5" t="s">
        <v>295</v>
      </c>
      <c r="C5" t="s">
        <v>296</v>
      </c>
      <c r="D5" t="s">
        <v>297</v>
      </c>
      <c r="E5" t="s">
        <v>23</v>
      </c>
      <c r="F5" t="s">
        <v>298</v>
      </c>
      <c r="G5" t="s">
        <v>299</v>
      </c>
      <c r="H5" t="s">
        <v>300</v>
      </c>
      <c r="I5" t="s">
        <v>301</v>
      </c>
    </row>
    <row r="6" spans="2:9">
      <c r="B6" t="s">
        <v>24</v>
      </c>
      <c r="C6" t="s">
        <v>302</v>
      </c>
      <c r="D6" t="s">
        <v>303</v>
      </c>
      <c r="E6" t="s">
        <v>21</v>
      </c>
      <c r="G6" t="s">
        <v>14</v>
      </c>
      <c r="I6" t="s">
        <v>19</v>
      </c>
    </row>
    <row r="7" spans="2:9">
      <c r="C7" t="s">
        <v>304</v>
      </c>
      <c r="D7" t="s">
        <v>305</v>
      </c>
      <c r="E7" t="s">
        <v>21</v>
      </c>
      <c r="G7" t="s">
        <v>14</v>
      </c>
      <c r="I7" t="s">
        <v>19</v>
      </c>
    </row>
    <row r="10" spans="2:9">
      <c r="B10" t="s">
        <v>0</v>
      </c>
    </row>
    <row r="11" spans="2:9">
      <c r="B11" t="s">
        <v>6</v>
      </c>
      <c r="C11" t="s">
        <v>1</v>
      </c>
      <c r="D11" t="s">
        <v>7</v>
      </c>
      <c r="E11" t="s">
        <v>49</v>
      </c>
      <c r="F11" t="s">
        <v>50</v>
      </c>
      <c r="G11" t="s">
        <v>11</v>
      </c>
      <c r="H11" t="s">
        <v>88</v>
      </c>
      <c r="I11" t="s">
        <v>89</v>
      </c>
    </row>
    <row r="12" spans="2:9">
      <c r="B12" t="s">
        <v>306</v>
      </c>
      <c r="C12" t="s">
        <v>307</v>
      </c>
      <c r="D12" t="s">
        <v>308</v>
      </c>
      <c r="E12" t="s">
        <v>309</v>
      </c>
      <c r="F12" t="s">
        <v>310</v>
      </c>
      <c r="G12" t="s">
        <v>311</v>
      </c>
      <c r="H12" t="s">
        <v>312</v>
      </c>
      <c r="I12" t="s">
        <v>313</v>
      </c>
    </row>
    <row r="13" spans="2:9">
      <c r="B13" t="s">
        <v>17</v>
      </c>
      <c r="C13" t="s">
        <v>314</v>
      </c>
      <c r="D13" t="s">
        <v>315</v>
      </c>
      <c r="E13" t="s">
        <v>21</v>
      </c>
      <c r="F13" t="s">
        <v>10</v>
      </c>
      <c r="G13" t="s">
        <v>14</v>
      </c>
    </row>
    <row r="14" spans="2:9">
      <c r="B14" t="s">
        <v>92</v>
      </c>
      <c r="C14" t="s">
        <v>316</v>
      </c>
      <c r="D14" t="s">
        <v>317</v>
      </c>
      <c r="E14" t="s">
        <v>21</v>
      </c>
      <c r="F14" t="s">
        <v>318</v>
      </c>
      <c r="G14" t="s">
        <v>14</v>
      </c>
    </row>
    <row r="15" spans="2:9">
      <c r="B15" t="s">
        <v>17</v>
      </c>
      <c r="C15" t="s">
        <v>319</v>
      </c>
      <c r="D15" t="s">
        <v>320</v>
      </c>
      <c r="E15" t="s">
        <v>21</v>
      </c>
      <c r="F15" t="s">
        <v>10</v>
      </c>
      <c r="G15" t="s">
        <v>14</v>
      </c>
    </row>
    <row r="17" spans="2:25">
      <c r="F17" t="s">
        <v>336</v>
      </c>
    </row>
    <row r="18" spans="2:25">
      <c r="B18" t="s">
        <v>1</v>
      </c>
      <c r="C18" t="s">
        <v>321</v>
      </c>
      <c r="D18" t="s">
        <v>2</v>
      </c>
      <c r="E18" t="s">
        <v>3</v>
      </c>
      <c r="F18" t="s">
        <v>52</v>
      </c>
      <c r="G18" t="s">
        <v>4</v>
      </c>
      <c r="H18" t="s">
        <v>68</v>
      </c>
      <c r="I18" t="s">
        <v>64</v>
      </c>
      <c r="J18" t="s">
        <v>65</v>
      </c>
      <c r="K18" t="s">
        <v>322</v>
      </c>
      <c r="L18" t="s">
        <v>86</v>
      </c>
      <c r="M18" t="s">
        <v>323</v>
      </c>
      <c r="Y18" t="s">
        <v>66</v>
      </c>
    </row>
    <row r="19" spans="2:25">
      <c r="B19" t="s">
        <v>324</v>
      </c>
      <c r="C19" t="s">
        <v>308</v>
      </c>
      <c r="D19" t="s">
        <v>325</v>
      </c>
      <c r="E19" t="s">
        <v>326</v>
      </c>
      <c r="F19" t="s">
        <v>327</v>
      </c>
      <c r="G19" t="s">
        <v>328</v>
      </c>
      <c r="H19" t="s">
        <v>329</v>
      </c>
      <c r="I19" t="s">
        <v>330</v>
      </c>
      <c r="J19" t="s">
        <v>331</v>
      </c>
      <c r="K19" t="s">
        <v>332</v>
      </c>
      <c r="L19" t="s">
        <v>333</v>
      </c>
      <c r="M19" t="s">
        <v>334</v>
      </c>
      <c r="Y19" t="s">
        <v>335</v>
      </c>
    </row>
    <row r="20" spans="2:25">
      <c r="B20" t="s">
        <v>314</v>
      </c>
      <c r="C20" t="s">
        <v>315</v>
      </c>
      <c r="D20" t="s">
        <v>19</v>
      </c>
      <c r="E20" t="s">
        <v>302</v>
      </c>
      <c r="G20">
        <v>1</v>
      </c>
      <c r="I20">
        <v>200</v>
      </c>
      <c r="J20">
        <v>10</v>
      </c>
      <c r="K20">
        <v>10</v>
      </c>
      <c r="L20" s="1">
        <v>8.76</v>
      </c>
      <c r="Y20">
        <v>0</v>
      </c>
    </row>
    <row r="21" spans="2:25">
      <c r="B21" t="s">
        <v>316</v>
      </c>
      <c r="C21" t="s">
        <v>317</v>
      </c>
      <c r="D21" t="s">
        <v>302</v>
      </c>
      <c r="E21" t="s">
        <v>304</v>
      </c>
      <c r="H21">
        <v>0.9</v>
      </c>
      <c r="I21">
        <v>83333.333333333328</v>
      </c>
      <c r="K21">
        <v>10</v>
      </c>
      <c r="L21">
        <v>1</v>
      </c>
      <c r="M21">
        <v>4000</v>
      </c>
      <c r="Y21">
        <v>0</v>
      </c>
    </row>
    <row r="22" spans="2:25">
      <c r="B22" t="s">
        <v>319</v>
      </c>
      <c r="C22" t="s">
        <v>320</v>
      </c>
      <c r="D22" t="s">
        <v>304</v>
      </c>
      <c r="E22" t="s">
        <v>19</v>
      </c>
      <c r="G22">
        <v>1</v>
      </c>
      <c r="I22">
        <v>200</v>
      </c>
      <c r="J22">
        <v>10</v>
      </c>
      <c r="K22">
        <v>10</v>
      </c>
      <c r="L22" s="1">
        <v>8.76</v>
      </c>
      <c r="Y22">
        <v>1</v>
      </c>
    </row>
    <row r="31" spans="2:25">
      <c r="C31" s="3" t="s">
        <v>338</v>
      </c>
      <c r="D31" s="3"/>
      <c r="E31" s="3"/>
      <c r="F31" s="3"/>
      <c r="G31" s="3"/>
      <c r="H31" s="3"/>
      <c r="I31" s="3"/>
      <c r="J31" s="3"/>
    </row>
    <row r="32" spans="2:25">
      <c r="C32" s="3" t="s">
        <v>36</v>
      </c>
      <c r="D32" s="3" t="s">
        <v>37</v>
      </c>
      <c r="E32" s="3" t="s">
        <v>38</v>
      </c>
      <c r="F32" s="3" t="s">
        <v>23</v>
      </c>
      <c r="G32" s="3" t="s">
        <v>39</v>
      </c>
      <c r="H32" s="3" t="s">
        <v>40</v>
      </c>
      <c r="I32" s="3" t="s">
        <v>41</v>
      </c>
      <c r="J32" s="3" t="s">
        <v>42</v>
      </c>
    </row>
    <row r="33" spans="3:24">
      <c r="C33" s="3" t="s">
        <v>43</v>
      </c>
      <c r="D33" s="3" t="s">
        <v>44</v>
      </c>
      <c r="E33" s="3" t="s">
        <v>45</v>
      </c>
      <c r="F33" s="3" t="s">
        <v>46</v>
      </c>
      <c r="G33" s="3"/>
      <c r="H33" s="5" t="s">
        <v>14</v>
      </c>
      <c r="I33" s="3"/>
      <c r="J33" s="3"/>
    </row>
    <row r="34" spans="3:24">
      <c r="D34" s="3" t="s">
        <v>47</v>
      </c>
      <c r="E34" s="3" t="s">
        <v>48</v>
      </c>
      <c r="F34" s="3" t="s">
        <v>46</v>
      </c>
      <c r="G34" s="3"/>
      <c r="H34" s="5" t="s">
        <v>14</v>
      </c>
    </row>
    <row r="37" spans="3:24">
      <c r="C37" s="5" t="s">
        <v>215</v>
      </c>
      <c r="D37" s="5"/>
      <c r="E37" s="5"/>
      <c r="F37" s="5"/>
      <c r="G37" s="5"/>
      <c r="H37" s="5"/>
      <c r="I37" s="6"/>
      <c r="J37" s="6"/>
      <c r="K37" s="6"/>
      <c r="L37" s="6"/>
      <c r="M37" s="6"/>
      <c r="N37" s="7" t="s">
        <v>337</v>
      </c>
      <c r="P37" s="6"/>
      <c r="Q37" s="6"/>
      <c r="R37" s="6"/>
      <c r="S37" s="6"/>
      <c r="T37" s="6"/>
      <c r="U37" s="6"/>
      <c r="V37" s="6"/>
      <c r="W37" s="6"/>
      <c r="X37" s="6"/>
    </row>
    <row r="38" spans="3:24">
      <c r="C38" s="5" t="s">
        <v>6</v>
      </c>
      <c r="D38" s="5" t="s">
        <v>1</v>
      </c>
      <c r="E38" s="5" t="s">
        <v>7</v>
      </c>
      <c r="F38" s="5" t="s">
        <v>49</v>
      </c>
      <c r="G38" s="5" t="s">
        <v>50</v>
      </c>
      <c r="H38" s="5" t="s">
        <v>11</v>
      </c>
      <c r="I38" s="6"/>
      <c r="J38" s="6" t="s">
        <v>1</v>
      </c>
      <c r="K38" s="6" t="s">
        <v>51</v>
      </c>
      <c r="L38" s="6" t="s">
        <v>52</v>
      </c>
      <c r="M38" s="6" t="s">
        <v>22</v>
      </c>
      <c r="N38" s="7" t="s">
        <v>53</v>
      </c>
      <c r="O38" s="6">
        <f>K64</f>
        <v>2020</v>
      </c>
      <c r="P38" s="6">
        <f t="shared" ref="P38:U38" si="0">L64</f>
        <v>2025</v>
      </c>
      <c r="Q38" s="6">
        <f t="shared" si="0"/>
        <v>2030</v>
      </c>
      <c r="R38" s="6">
        <f t="shared" si="0"/>
        <v>2035</v>
      </c>
      <c r="S38" s="6">
        <f t="shared" si="0"/>
        <v>2040</v>
      </c>
      <c r="T38" s="6">
        <f t="shared" si="0"/>
        <v>2045</v>
      </c>
      <c r="U38" s="6">
        <f t="shared" si="0"/>
        <v>2050</v>
      </c>
      <c r="V38" s="6" t="s">
        <v>3</v>
      </c>
      <c r="W38" s="6" t="s">
        <v>54</v>
      </c>
      <c r="X38" t="s">
        <v>55</v>
      </c>
    </row>
    <row r="39" spans="3:24">
      <c r="C39" s="5" t="s">
        <v>56</v>
      </c>
      <c r="D39" s="5" t="s">
        <v>57</v>
      </c>
      <c r="E39" s="8" t="s">
        <v>58</v>
      </c>
      <c r="F39" s="5" t="s">
        <v>46</v>
      </c>
      <c r="G39" s="5" t="s">
        <v>10</v>
      </c>
      <c r="H39" s="5" t="s">
        <v>14</v>
      </c>
      <c r="I39" s="6"/>
      <c r="J39" s="6" t="s">
        <v>59</v>
      </c>
      <c r="K39" s="6" t="s">
        <v>60</v>
      </c>
      <c r="L39" s="3" t="s">
        <v>47</v>
      </c>
      <c r="M39" s="3" t="s">
        <v>19</v>
      </c>
      <c r="N39" s="6" t="s">
        <v>18</v>
      </c>
      <c r="O39" s="9">
        <f>1/O46</f>
        <v>1.1764705882352942</v>
      </c>
      <c r="P39" s="9"/>
      <c r="Q39" s="9"/>
      <c r="R39" s="9"/>
      <c r="S39" s="9"/>
      <c r="T39" s="9"/>
      <c r="U39" s="9"/>
      <c r="V39" s="6"/>
      <c r="W39" s="5" t="str">
        <f>L39</f>
        <v>AuxStoOUT</v>
      </c>
      <c r="X39">
        <v>20</v>
      </c>
    </row>
    <row r="40" spans="3:24">
      <c r="C40" s="5"/>
      <c r="D40" s="7" t="s">
        <v>59</v>
      </c>
      <c r="E40" s="7" t="s">
        <v>61</v>
      </c>
      <c r="F40" s="5" t="s">
        <v>46</v>
      </c>
      <c r="G40" s="5" t="s">
        <v>10</v>
      </c>
      <c r="H40" s="5" t="s">
        <v>14</v>
      </c>
      <c r="I40" s="6"/>
      <c r="J40" s="6" t="s">
        <v>59</v>
      </c>
      <c r="K40" s="6" t="s">
        <v>62</v>
      </c>
      <c r="L40" s="6" t="s">
        <v>63</v>
      </c>
      <c r="M40" s="6" t="s">
        <v>19</v>
      </c>
      <c r="N40" s="6" t="s">
        <v>14</v>
      </c>
      <c r="O40" s="9">
        <f>4/24</f>
        <v>0.16666666666666666</v>
      </c>
      <c r="P40" s="4"/>
      <c r="Q40" s="4"/>
      <c r="R40" s="4"/>
      <c r="S40" s="4"/>
      <c r="T40" s="4"/>
      <c r="U40" s="4"/>
      <c r="V40" s="5" t="str">
        <f>M40</f>
        <v>ELC</v>
      </c>
    </row>
    <row r="41" spans="3:24">
      <c r="C41" s="5"/>
      <c r="D41" s="5"/>
      <c r="E41" s="5"/>
      <c r="F41" s="5"/>
      <c r="G41" s="5"/>
      <c r="H41" s="5"/>
      <c r="I41" s="6"/>
      <c r="J41" s="6" t="s">
        <v>59</v>
      </c>
      <c r="K41" s="6" t="s">
        <v>62</v>
      </c>
      <c r="L41" s="6" t="s">
        <v>24</v>
      </c>
      <c r="M41" s="6"/>
      <c r="N41" s="7" t="s">
        <v>14</v>
      </c>
      <c r="O41" s="9">
        <v>1</v>
      </c>
      <c r="P41" s="9"/>
      <c r="Q41" s="9"/>
      <c r="R41" s="9"/>
      <c r="S41" s="9"/>
      <c r="T41" s="9"/>
      <c r="U41" s="9"/>
      <c r="V41" s="6"/>
      <c r="W41" s="6"/>
    </row>
    <row r="42" spans="3:24">
      <c r="C42" s="5"/>
      <c r="D42" s="5"/>
      <c r="E42" s="5"/>
      <c r="F42" s="5"/>
      <c r="G42" s="5"/>
      <c r="H42" s="5"/>
      <c r="I42" s="6"/>
      <c r="J42" s="6" t="s">
        <v>59</v>
      </c>
      <c r="K42" s="6" t="s">
        <v>64</v>
      </c>
      <c r="L42" s="6"/>
      <c r="M42" s="6"/>
      <c r="N42" s="7"/>
      <c r="O42" s="9">
        <f>K69</f>
        <v>1363</v>
      </c>
      <c r="P42" s="9">
        <f>L69</f>
        <v>956</v>
      </c>
      <c r="Q42" s="9">
        <f t="shared" ref="Q42:U42" si="1">M69</f>
        <v>784</v>
      </c>
      <c r="R42" s="9">
        <f t="shared" si="1"/>
        <v>735</v>
      </c>
      <c r="S42" s="9">
        <f t="shared" si="1"/>
        <v>686</v>
      </c>
      <c r="T42" s="9">
        <f t="shared" si="1"/>
        <v>637</v>
      </c>
      <c r="U42" s="9">
        <f t="shared" si="1"/>
        <v>588</v>
      </c>
      <c r="V42" s="6"/>
      <c r="W42" s="6"/>
    </row>
    <row r="43" spans="3:24">
      <c r="J43" t="s">
        <v>59</v>
      </c>
      <c r="K43" t="s">
        <v>65</v>
      </c>
      <c r="O43" s="4">
        <f>K73</f>
        <v>34</v>
      </c>
      <c r="P43" s="4">
        <f t="shared" ref="P43:U43" si="2">L73</f>
        <v>24</v>
      </c>
      <c r="Q43" s="4">
        <f t="shared" si="2"/>
        <v>20</v>
      </c>
      <c r="R43" s="4">
        <f t="shared" si="2"/>
        <v>18</v>
      </c>
      <c r="S43" s="4">
        <f t="shared" si="2"/>
        <v>17</v>
      </c>
      <c r="T43" s="4">
        <f t="shared" si="2"/>
        <v>16</v>
      </c>
      <c r="U43" s="4">
        <f t="shared" si="2"/>
        <v>15</v>
      </c>
    </row>
    <row r="44" spans="3:24">
      <c r="J44" t="s">
        <v>59</v>
      </c>
      <c r="K44" t="s">
        <v>66</v>
      </c>
      <c r="N44" t="s">
        <v>18</v>
      </c>
      <c r="O44" s="4">
        <v>1</v>
      </c>
      <c r="P44" s="4"/>
      <c r="Q44" s="4"/>
      <c r="R44" s="4"/>
      <c r="S44" s="4"/>
      <c r="T44" s="4"/>
      <c r="U44" s="4"/>
    </row>
    <row r="45" spans="3:24">
      <c r="J45" t="s">
        <v>59</v>
      </c>
      <c r="K45" t="s">
        <v>67</v>
      </c>
      <c r="O45" s="9">
        <v>31.536000000000001</v>
      </c>
      <c r="P45" s="4"/>
      <c r="Q45" s="4"/>
      <c r="R45" s="4"/>
      <c r="S45" s="4"/>
      <c r="T45" s="4"/>
      <c r="U45" s="4"/>
    </row>
    <row r="46" spans="3:24">
      <c r="J46" t="s">
        <v>59</v>
      </c>
      <c r="K46" t="s">
        <v>68</v>
      </c>
      <c r="O46" s="4">
        <v>0.85</v>
      </c>
      <c r="P46" s="4"/>
      <c r="Q46" s="4"/>
      <c r="R46" s="4"/>
      <c r="S46" s="4"/>
      <c r="T46" s="4"/>
      <c r="U46" s="4"/>
    </row>
    <row r="47" spans="3:24">
      <c r="J47" t="s">
        <v>57</v>
      </c>
      <c r="K47" t="s">
        <v>60</v>
      </c>
      <c r="L47" s="3" t="s">
        <v>47</v>
      </c>
      <c r="M47" s="3" t="s">
        <v>19</v>
      </c>
      <c r="N47" t="s">
        <v>18</v>
      </c>
      <c r="O47" s="9">
        <f>1/O54</f>
        <v>1.1764705882352942</v>
      </c>
      <c r="P47" s="4"/>
      <c r="Q47" s="4"/>
      <c r="R47" s="4"/>
      <c r="S47" s="4"/>
      <c r="T47" s="4"/>
      <c r="U47" s="4"/>
      <c r="V47" s="6"/>
      <c r="W47" s="5" t="str">
        <f>L47</f>
        <v>AuxStoOUT</v>
      </c>
      <c r="X47">
        <v>20</v>
      </c>
    </row>
    <row r="48" spans="3:24">
      <c r="J48" t="s">
        <v>57</v>
      </c>
      <c r="K48" t="s">
        <v>62</v>
      </c>
      <c r="L48" t="s">
        <v>63</v>
      </c>
      <c r="M48" t="s">
        <v>19</v>
      </c>
      <c r="N48" t="s">
        <v>14</v>
      </c>
      <c r="O48" s="4">
        <f>8/24</f>
        <v>0.33333333333333331</v>
      </c>
      <c r="P48" s="4"/>
      <c r="Q48" s="4"/>
      <c r="R48" s="4"/>
      <c r="S48" s="4"/>
      <c r="T48" s="4"/>
      <c r="U48" s="4"/>
      <c r="V48" s="5" t="str">
        <f>M48</f>
        <v>ELC</v>
      </c>
    </row>
    <row r="49" spans="10:23">
      <c r="J49" t="s">
        <v>57</v>
      </c>
      <c r="K49" t="s">
        <v>62</v>
      </c>
      <c r="L49" t="s">
        <v>24</v>
      </c>
      <c r="N49" t="s">
        <v>14</v>
      </c>
      <c r="O49" s="4">
        <v>1</v>
      </c>
      <c r="P49" s="4"/>
      <c r="Q49" s="4"/>
      <c r="R49" s="4"/>
      <c r="S49" s="4"/>
      <c r="T49" s="4"/>
      <c r="U49" s="4"/>
    </row>
    <row r="50" spans="10:23">
      <c r="J50" t="s">
        <v>57</v>
      </c>
      <c r="K50" t="s">
        <v>64</v>
      </c>
      <c r="O50" s="4">
        <f>K78</f>
        <v>2470</v>
      </c>
      <c r="P50" s="4">
        <f t="shared" ref="P50:U50" si="3">L78</f>
        <v>1714</v>
      </c>
      <c r="Q50" s="4">
        <f t="shared" si="3"/>
        <v>1371</v>
      </c>
      <c r="R50" s="4">
        <f t="shared" si="3"/>
        <v>1277</v>
      </c>
      <c r="S50" s="4">
        <f t="shared" si="3"/>
        <v>1183</v>
      </c>
      <c r="T50" s="4">
        <f t="shared" si="3"/>
        <v>1089</v>
      </c>
      <c r="U50" s="4">
        <f t="shared" si="3"/>
        <v>995</v>
      </c>
    </row>
    <row r="51" spans="10:23">
      <c r="J51" t="s">
        <v>57</v>
      </c>
      <c r="K51" t="s">
        <v>65</v>
      </c>
      <c r="O51" s="4">
        <f>K82</f>
        <v>62</v>
      </c>
      <c r="P51" s="4">
        <f t="shared" ref="P51:U51" si="4">L82</f>
        <v>43</v>
      </c>
      <c r="Q51" s="4">
        <f t="shared" si="4"/>
        <v>34</v>
      </c>
      <c r="R51" s="4">
        <f t="shared" si="4"/>
        <v>32</v>
      </c>
      <c r="S51" s="4">
        <f t="shared" si="4"/>
        <v>30</v>
      </c>
      <c r="T51" s="4">
        <f t="shared" si="4"/>
        <v>27</v>
      </c>
      <c r="U51" s="4">
        <f t="shared" si="4"/>
        <v>25</v>
      </c>
    </row>
    <row r="52" spans="10:23">
      <c r="J52" t="s">
        <v>57</v>
      </c>
      <c r="K52" t="s">
        <v>66</v>
      </c>
      <c r="N52" t="s">
        <v>18</v>
      </c>
      <c r="O52" s="4">
        <v>1</v>
      </c>
      <c r="P52" s="4"/>
      <c r="Q52" s="4"/>
      <c r="R52" s="4"/>
      <c r="S52" s="4"/>
      <c r="T52" s="4"/>
      <c r="U52" s="4"/>
    </row>
    <row r="53" spans="10:23">
      <c r="J53" t="s">
        <v>57</v>
      </c>
      <c r="K53" t="s">
        <v>67</v>
      </c>
      <c r="O53" s="9">
        <v>31.536000000000001</v>
      </c>
      <c r="P53" s="4"/>
      <c r="Q53" s="4"/>
      <c r="R53" s="4"/>
      <c r="S53" s="4"/>
      <c r="T53" s="4"/>
      <c r="U53" s="4"/>
    </row>
    <row r="54" spans="10:23">
      <c r="J54" t="s">
        <v>57</v>
      </c>
      <c r="K54" t="s">
        <v>68</v>
      </c>
      <c r="O54" s="4">
        <v>0.85</v>
      </c>
      <c r="P54" s="4"/>
      <c r="Q54" s="4"/>
      <c r="R54" s="4"/>
      <c r="S54" s="4"/>
      <c r="T54" s="4"/>
      <c r="U54" s="4"/>
    </row>
    <row r="60" spans="10:23" ht="15.75">
      <c r="J60" s="10" t="s">
        <v>69</v>
      </c>
      <c r="K60" s="11"/>
      <c r="L60" s="11"/>
      <c r="M60" s="11"/>
      <c r="N60" s="11"/>
      <c r="O60" s="11"/>
      <c r="P60" s="11"/>
      <c r="Q60" s="11"/>
    </row>
    <row r="61" spans="10:23" ht="15.75">
      <c r="J61" s="10" t="s">
        <v>70</v>
      </c>
      <c r="K61" s="11"/>
      <c r="L61" s="11"/>
      <c r="M61" s="11"/>
      <c r="N61" s="11"/>
      <c r="O61" s="11"/>
      <c r="P61" s="11"/>
      <c r="Q61" s="11"/>
    </row>
    <row r="62" spans="10:23">
      <c r="J62" s="12"/>
      <c r="K62" s="12"/>
      <c r="L62" s="12"/>
      <c r="M62" s="12"/>
      <c r="N62" s="12"/>
      <c r="O62" s="12"/>
      <c r="P62" s="12"/>
      <c r="Q62" s="12"/>
    </row>
    <row r="63" spans="10:23" ht="15.75">
      <c r="J63" s="13" t="s">
        <v>71</v>
      </c>
      <c r="K63" s="14"/>
      <c r="L63" s="14"/>
      <c r="M63" s="14"/>
      <c r="N63" s="14"/>
      <c r="O63" s="14"/>
      <c r="P63" s="14"/>
      <c r="Q63" s="14"/>
      <c r="W63">
        <f>24/8</f>
        <v>3</v>
      </c>
    </row>
    <row r="64" spans="10:23" ht="15.75">
      <c r="J64" s="14"/>
      <c r="K64" s="14">
        <v>2020</v>
      </c>
      <c r="L64" s="14">
        <v>2025</v>
      </c>
      <c r="M64" s="14">
        <v>2030</v>
      </c>
      <c r="N64" s="14">
        <v>2035</v>
      </c>
      <c r="O64" s="14">
        <v>2040</v>
      </c>
      <c r="P64" s="14">
        <v>2045</v>
      </c>
      <c r="Q64" s="14">
        <v>2050</v>
      </c>
    </row>
    <row r="65" spans="10:17" ht="15.75">
      <c r="J65" s="15" t="s">
        <v>72</v>
      </c>
      <c r="K65" s="14"/>
      <c r="L65" s="14"/>
      <c r="M65" s="14"/>
      <c r="N65" s="14"/>
      <c r="O65" s="14"/>
      <c r="P65" s="14"/>
      <c r="Q65" s="14"/>
    </row>
    <row r="66" spans="10:17" ht="15.75">
      <c r="J66" s="13" t="s">
        <v>73</v>
      </c>
      <c r="K66" s="14"/>
      <c r="L66" s="14"/>
      <c r="M66" s="14"/>
      <c r="N66" s="14"/>
      <c r="O66" s="14"/>
      <c r="P66" s="14"/>
      <c r="Q66" s="14"/>
    </row>
    <row r="67" spans="10:17" ht="15.75">
      <c r="J67" s="14" t="s">
        <v>74</v>
      </c>
      <c r="K67" s="16">
        <v>1363</v>
      </c>
      <c r="L67" s="16">
        <v>839</v>
      </c>
      <c r="M67" s="16">
        <v>566</v>
      </c>
      <c r="N67" s="16">
        <v>512</v>
      </c>
      <c r="O67" s="16">
        <v>454</v>
      </c>
      <c r="P67" s="16">
        <v>400</v>
      </c>
      <c r="Q67" s="16">
        <v>346</v>
      </c>
    </row>
    <row r="68" spans="10:17" ht="15.75">
      <c r="J68" s="14" t="s">
        <v>75</v>
      </c>
      <c r="K68" s="16">
        <v>1363</v>
      </c>
      <c r="L68" s="16">
        <v>1167</v>
      </c>
      <c r="M68" s="16">
        <v>981</v>
      </c>
      <c r="N68" s="16">
        <v>981</v>
      </c>
      <c r="O68" s="16">
        <v>981</v>
      </c>
      <c r="P68" s="16">
        <v>981</v>
      </c>
      <c r="Q68" s="16">
        <v>981</v>
      </c>
    </row>
    <row r="69" spans="10:17" ht="15.75">
      <c r="J69" s="14" t="s">
        <v>76</v>
      </c>
      <c r="K69" s="16">
        <v>1363</v>
      </c>
      <c r="L69" s="16">
        <v>956</v>
      </c>
      <c r="M69" s="16">
        <v>784</v>
      </c>
      <c r="N69" s="16">
        <v>735</v>
      </c>
      <c r="O69" s="16">
        <v>686</v>
      </c>
      <c r="P69" s="16">
        <v>637</v>
      </c>
      <c r="Q69" s="16">
        <v>588</v>
      </c>
    </row>
    <row r="70" spans="10:17" ht="15.75">
      <c r="J70" s="13" t="s">
        <v>77</v>
      </c>
      <c r="K70" s="17"/>
      <c r="L70" s="17"/>
      <c r="M70" s="17"/>
      <c r="N70" s="17"/>
      <c r="O70" s="17"/>
      <c r="P70" s="17"/>
      <c r="Q70" s="17"/>
    </row>
    <row r="71" spans="10:17" ht="15.75">
      <c r="J71" s="14" t="s">
        <v>74</v>
      </c>
      <c r="K71" s="18">
        <v>34</v>
      </c>
      <c r="L71" s="18">
        <v>21</v>
      </c>
      <c r="M71" s="18">
        <v>14</v>
      </c>
      <c r="N71" s="18">
        <v>13</v>
      </c>
      <c r="O71" s="18">
        <v>11</v>
      </c>
      <c r="P71" s="18">
        <v>10</v>
      </c>
      <c r="Q71" s="18">
        <v>9</v>
      </c>
    </row>
    <row r="72" spans="10:17" ht="15.75">
      <c r="J72" s="14" t="s">
        <v>75</v>
      </c>
      <c r="K72" s="18">
        <v>34</v>
      </c>
      <c r="L72" s="18">
        <v>29</v>
      </c>
      <c r="M72" s="18">
        <v>25</v>
      </c>
      <c r="N72" s="18">
        <v>25</v>
      </c>
      <c r="O72" s="18">
        <v>25</v>
      </c>
      <c r="P72" s="18">
        <v>25</v>
      </c>
      <c r="Q72" s="18">
        <v>25</v>
      </c>
    </row>
    <row r="73" spans="10:17" ht="15.75">
      <c r="J73" s="14" t="s">
        <v>76</v>
      </c>
      <c r="K73" s="18">
        <v>34</v>
      </c>
      <c r="L73" s="18">
        <v>24</v>
      </c>
      <c r="M73" s="18">
        <v>20</v>
      </c>
      <c r="N73" s="18">
        <v>18</v>
      </c>
      <c r="O73" s="18">
        <v>17</v>
      </c>
      <c r="P73" s="18">
        <v>16</v>
      </c>
      <c r="Q73" s="18">
        <v>15</v>
      </c>
    </row>
    <row r="74" spans="10:17" ht="15.75">
      <c r="J74" s="15" t="s">
        <v>78</v>
      </c>
      <c r="K74" s="17"/>
      <c r="L74" s="17"/>
      <c r="M74" s="17"/>
      <c r="N74" s="17"/>
      <c r="O74" s="17"/>
      <c r="P74" s="17"/>
      <c r="Q74" s="17"/>
    </row>
    <row r="75" spans="10:17" ht="15.75">
      <c r="J75" s="13" t="s">
        <v>73</v>
      </c>
      <c r="K75" s="17"/>
      <c r="L75" s="17"/>
      <c r="M75" s="17"/>
      <c r="N75" s="17"/>
      <c r="O75" s="17"/>
      <c r="P75" s="17"/>
      <c r="Q75" s="17"/>
    </row>
    <row r="76" spans="10:17" ht="15.75">
      <c r="J76" s="14" t="s">
        <v>74</v>
      </c>
      <c r="K76" s="16">
        <v>2470</v>
      </c>
      <c r="L76" s="16">
        <v>1518</v>
      </c>
      <c r="M76" s="16">
        <v>1024</v>
      </c>
      <c r="N76" s="16">
        <v>927</v>
      </c>
      <c r="O76" s="16">
        <v>822</v>
      </c>
      <c r="P76" s="16">
        <v>724</v>
      </c>
      <c r="Q76" s="16">
        <v>626</v>
      </c>
    </row>
    <row r="77" spans="10:17" ht="15.75">
      <c r="J77" s="14" t="s">
        <v>75</v>
      </c>
      <c r="K77" s="16">
        <v>2470</v>
      </c>
      <c r="L77" s="16">
        <v>2111</v>
      </c>
      <c r="M77" s="16">
        <v>1754</v>
      </c>
      <c r="N77" s="16">
        <v>1754</v>
      </c>
      <c r="O77" s="16">
        <v>1754</v>
      </c>
      <c r="P77" s="16">
        <v>1754</v>
      </c>
      <c r="Q77" s="16">
        <v>1754</v>
      </c>
    </row>
    <row r="78" spans="10:17" ht="15.75">
      <c r="J78" s="14" t="s">
        <v>76</v>
      </c>
      <c r="K78" s="16">
        <v>2470</v>
      </c>
      <c r="L78" s="16">
        <v>1714</v>
      </c>
      <c r="M78" s="16">
        <v>1371</v>
      </c>
      <c r="N78" s="16">
        <v>1277</v>
      </c>
      <c r="O78" s="16">
        <v>1183</v>
      </c>
      <c r="P78" s="16">
        <v>1089</v>
      </c>
      <c r="Q78" s="16">
        <v>995</v>
      </c>
    </row>
    <row r="79" spans="10:17" ht="15.75">
      <c r="J79" s="13" t="s">
        <v>77</v>
      </c>
      <c r="K79" s="17"/>
      <c r="L79" s="17"/>
      <c r="M79" s="17"/>
      <c r="N79" s="17"/>
      <c r="O79" s="17"/>
      <c r="P79" s="17"/>
      <c r="Q79" s="17"/>
    </row>
    <row r="80" spans="10:17" ht="15.75">
      <c r="J80" s="14" t="s">
        <v>74</v>
      </c>
      <c r="K80" s="18">
        <v>62</v>
      </c>
      <c r="L80" s="18">
        <v>38</v>
      </c>
      <c r="M80" s="18">
        <v>26</v>
      </c>
      <c r="N80" s="18">
        <v>23</v>
      </c>
      <c r="O80" s="18">
        <v>21</v>
      </c>
      <c r="P80" s="18">
        <v>18</v>
      </c>
      <c r="Q80" s="18">
        <v>16</v>
      </c>
    </row>
    <row r="81" spans="10:17" ht="15.75">
      <c r="J81" s="14" t="s">
        <v>75</v>
      </c>
      <c r="K81" s="18">
        <v>62</v>
      </c>
      <c r="L81" s="18">
        <v>53</v>
      </c>
      <c r="M81" s="18">
        <v>44</v>
      </c>
      <c r="N81" s="18">
        <v>44</v>
      </c>
      <c r="O81" s="18">
        <v>44</v>
      </c>
      <c r="P81" s="18">
        <v>44</v>
      </c>
      <c r="Q81" s="18">
        <v>44</v>
      </c>
    </row>
    <row r="82" spans="10:17" ht="15.75">
      <c r="J82" s="14" t="s">
        <v>76</v>
      </c>
      <c r="K82" s="18">
        <v>62</v>
      </c>
      <c r="L82" s="18">
        <v>43</v>
      </c>
      <c r="M82" s="18">
        <v>34</v>
      </c>
      <c r="N82" s="18">
        <v>32</v>
      </c>
      <c r="O82" s="18">
        <v>30</v>
      </c>
      <c r="P82" s="18">
        <v>27</v>
      </c>
      <c r="Q82" s="18">
        <v>25</v>
      </c>
    </row>
    <row r="83" spans="10:17">
      <c r="J83" s="12"/>
      <c r="K83" s="12"/>
      <c r="L83" s="12"/>
      <c r="M83" s="12"/>
      <c r="N83" s="12"/>
      <c r="O83" s="12"/>
      <c r="P83" s="12"/>
      <c r="Q83" s="12"/>
    </row>
    <row r="84" spans="10:17" ht="15.75">
      <c r="J84" s="11" t="s">
        <v>79</v>
      </c>
      <c r="K84" s="11">
        <v>0.85</v>
      </c>
      <c r="L84" s="11"/>
      <c r="M84" s="11"/>
      <c r="N84" s="11"/>
      <c r="O84" s="11"/>
      <c r="P84" s="11"/>
      <c r="Q84" s="11"/>
    </row>
    <row r="85" spans="10:17" ht="15.75">
      <c r="J85" s="11" t="s">
        <v>80</v>
      </c>
      <c r="K85" s="11"/>
      <c r="L85" s="11"/>
      <c r="M85" s="11"/>
      <c r="N85" s="11"/>
      <c r="O85" s="11"/>
      <c r="P85" s="11"/>
      <c r="Q85" s="11"/>
    </row>
    <row r="86" spans="10:17" ht="15.75">
      <c r="J86" s="11" t="s">
        <v>81</v>
      </c>
      <c r="K86" s="11"/>
      <c r="L86" s="11"/>
      <c r="M86" s="11"/>
      <c r="N86" s="19"/>
      <c r="O86" s="11"/>
      <c r="P86" s="11"/>
      <c r="Q86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2026-04-16T11:10:03Z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