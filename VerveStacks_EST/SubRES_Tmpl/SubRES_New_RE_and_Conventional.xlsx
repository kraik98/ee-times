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PycharmProjects\ee-times\VerveStacks_EST\SubRES_Tmpl\"/>
    </mc:Choice>
  </mc:AlternateContent>
  <xr:revisionPtr revIDLastSave="0" documentId="13_ncr:1_{A1924B90-D014-498D-9452-12C62049B3F0}" xr6:coauthVersionLast="47" xr6:coauthVersionMax="47" xr10:uidLastSave="{00000000-0000-0000-0000-000000000000}"/>
  <bookViews>
    <workbookView xWindow="-10470" yWindow="10890" windowWidth="19420" windowHeight="11500" activeTab="5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3" l="1"/>
  <c r="C20" i="13" l="1"/>
  <c r="D20" i="13"/>
  <c r="C21" i="13"/>
  <c r="D21" i="13"/>
  <c r="C22" i="13"/>
  <c r="D22" i="13"/>
  <c r="C23" i="13"/>
  <c r="D23" i="13"/>
  <c r="C24" i="13"/>
  <c r="D24" i="13"/>
  <c r="C25" i="13"/>
  <c r="D25" i="13"/>
  <c r="J15" i="12" l="1"/>
  <c r="J16" i="12"/>
  <c r="J17" i="12"/>
  <c r="J18" i="12"/>
  <c r="J19" i="12"/>
  <c r="J20" i="12"/>
  <c r="J14" i="12"/>
  <c r="V34" i="9"/>
  <c r="N13" i="9"/>
  <c r="N14" i="9"/>
  <c r="O15" i="7" l="1"/>
  <c r="O16" i="7"/>
  <c r="O17" i="7"/>
  <c r="O11" i="7"/>
  <c r="O12" i="7"/>
  <c r="O14" i="7"/>
  <c r="O13" i="9"/>
  <c r="L5" i="10"/>
  <c r="J15" i="7" l="1"/>
  <c r="J17" i="7" l="1"/>
  <c r="J16" i="7"/>
  <c r="J14" i="7"/>
  <c r="J11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F8" i="10" l="1"/>
  <c r="G8" i="10"/>
  <c r="J21" i="7" l="1"/>
  <c r="J20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T13" i="9"/>
  <c r="S13" i="9"/>
  <c r="R13" i="9"/>
  <c r="Q13" i="9"/>
  <c r="P13" i="9"/>
  <c r="U11" i="9"/>
  <c r="N11" i="9"/>
  <c r="V10" i="9"/>
  <c r="N10" i="9"/>
  <c r="T9" i="9"/>
  <c r="S9" i="9"/>
  <c r="R9" i="9"/>
  <c r="Q9" i="9"/>
  <c r="P9" i="9"/>
  <c r="O9" i="9"/>
  <c r="N9" i="9"/>
  <c r="J8" i="7"/>
  <c r="J6" i="7"/>
  <c r="J5" i="7"/>
  <c r="J4" i="7"/>
</calcChain>
</file>

<file path=xl/sharedStrings.xml><?xml version="1.0" encoding="utf-8"?>
<sst xmlns="http://schemas.openxmlformats.org/spreadsheetml/2006/main" count="933" uniqueCount="281">
  <si>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</si>
  <si>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</si>
  <si>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</si>
  <si>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</si>
  <si>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</si>
  <si>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</si>
  <si>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</si>
  <si>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</si>
  <si>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</si>
  <si>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</si>
  <si>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</si>
  <si>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</si>
  <si>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</si>
  <si>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</si>
  <si>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</si>
  <si>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</si>
  <si>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</si>
  <si>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</si>
  <si>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</si>
  <si>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</si>
  <si>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</si>
  <si>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</si>
  <si>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</si>
  <si>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</si>
  <si>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</si>
  <si>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</si>
  <si>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</si>
  <si>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</si>
  <si>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</si>
  <si>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</si>
  <si>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</si>
  <si>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</si>
  <si>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</si>
  <si>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</si>
  <si>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</si>
  <si>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</si>
  <si>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</si>
  <si>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</si>
  <si>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</si>
  <si>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</si>
  <si>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</si>
  <si>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</si>
  <si>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</si>
  <si>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</si>
  <si>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</si>
  <si>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</si>
  <si>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</si>
  <si>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</si>
  <si>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</si>
  <si>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</si>
  <si>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</si>
  <si>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</si>
  <si>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</si>
  <si>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</si>
  <si>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</si>
  <si>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</si>
  <si>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</si>
  <si>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</si>
  <si>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</si>
  <si>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</si>
  <si>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</si>
  <si>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</si>
  <si>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</si>
  <si>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</si>
  <si>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</si>
  <si>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</si>
  <si>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</si>
  <si>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</si>
  <si>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</si>
  <si>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</si>
  <si>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</si>
  <si>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</si>
  <si>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</si>
  <si>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</si>
  <si>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</si>
  <si>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</si>
  <si>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</si>
  <si>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</si>
  <si>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</si>
  <si>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</si>
  <si>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</si>
  <si>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</si>
  <si>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</si>
  <si>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</si>
  <si>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</si>
  <si>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</si>
  <si>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</si>
  <si>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</si>
  <si>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</si>
  <si>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</si>
  <si>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</si>
  <si>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</si>
  <si>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</si>
  <si>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</si>
  <si>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</si>
  <si>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</si>
  <si>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</si>
  <si>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</si>
  <si>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</si>
  <si>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</si>
  <si>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</si>
  <si>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</si>
  <si>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</si>
  <si>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</si>
  <si>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</si>
  <si>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</si>
  <si>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</si>
  <si>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</si>
  <si>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</si>
  <si>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</si>
  <si>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</si>
  <si>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</si>
  <si>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</si>
  <si>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</si>
  <si>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</si>
  <si>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</si>
  <si>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</si>
  <si>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</si>
  <si>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</si>
  <si>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</si>
  <si>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</si>
  <si>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</si>
  <si>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</si>
  <si>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</si>
  <si>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</si>
  <si>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</si>
  <si>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</si>
  <si>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</si>
  <si>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</si>
  <si>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</si>
  <si>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</si>
  <si>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</si>
  <si>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</si>
  <si>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</si>
  <si>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</si>
  <si>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</si>
  <si>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</si>
  <si>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</si>
  <si>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</si>
  <si>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</si>
  <si>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</si>
  <si>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</si>
  <si>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</si>
  <si>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</si>
  <si>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</si>
  <si>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</si>
  <si>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</si>
  <si>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</si>
  <si>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</si>
  <si>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</si>
  <si>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</si>
  <si>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</si>
  <si>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</si>
  <si>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</si>
  <si>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</si>
  <si>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</si>
  <si>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</si>
  <si>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</si>
  <si>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</si>
  <si>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</si>
  <si>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</si>
  <si>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</si>
  <si>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</si>
  <si>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</si>
  <si>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</si>
  <si>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</si>
  <si>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</si>
  <si>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annual</t>
  </si>
  <si>
    <t>no</t>
  </si>
  <si>
    <t>~fi_t</t>
  </si>
  <si>
    <t>comm-out</t>
  </si>
  <si>
    <t>cap_bnd</t>
  </si>
  <si>
    <t>af~fx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</si>
  <si>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</si>
  <si>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</si>
  <si>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</si>
  <si>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</si>
  <si>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</si>
  <si>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</si>
  <si>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</si>
  <si>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</si>
  <si>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</si>
  <si>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</si>
  <si>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</si>
  <si>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elc_wof_002</t>
  </si>
  <si>
    <t>elc_wof_003</t>
  </si>
  <si>
    <t>elc_wof_004</t>
  </si>
  <si>
    <t>elc_wof_005</t>
  </si>
  <si>
    <t>elc_wof_006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</si>
  <si>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</si>
  <si>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</si>
  <si>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</si>
  <si>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</si>
  <si>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</si>
  <si>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</si>
  <si>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</si>
  <si>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</si>
  <si>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</si>
  <si>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</si>
  <si>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</si>
  <si>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</si>
  <si>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</si>
  <si>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</si>
  <si>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</si>
  <si>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</si>
  <si>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</si>
  <si>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</si>
  <si>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</si>
  <si>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</si>
  <si>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</si>
  <si>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</si>
  <si>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</si>
  <si>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</si>
  <si>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</si>
  <si>
    <t>elc_buildings,elc_industry,elc_transport,elc_commercial</t>
  </si>
  <si>
    <t>FI_Process</t>
  </si>
  <si>
    <t>FI_T: EUR15</t>
  </si>
  <si>
    <t>FI_T: FX</t>
  </si>
  <si>
    <t>~FI_Comm</t>
  </si>
  <si>
    <t>~FI_T: USD21</t>
  </si>
  <si>
    <t>solar resource in Harju</t>
  </si>
  <si>
    <t>elc_spv_harju</t>
  </si>
  <si>
    <t>elc_spv_parnu</t>
  </si>
  <si>
    <t>solar resource in Parnu</t>
  </si>
  <si>
    <t>e_spv_parnu</t>
  </si>
  <si>
    <t>e_spv_harju</t>
  </si>
  <si>
    <t>e_spv_laane_viru</t>
  </si>
  <si>
    <t>elc_spv_laane_viru</t>
  </si>
  <si>
    <t>elc_spv_tartu</t>
  </si>
  <si>
    <t>e_spv_tartu</t>
  </si>
  <si>
    <t>e_spv_viljandi</t>
  </si>
  <si>
    <t>solar resource in Viljandi</t>
  </si>
  <si>
    <t>elc_spv_viljandi</t>
  </si>
  <si>
    <t>solar resource in Ida-Viru</t>
  </si>
  <si>
    <t>solar resource in Laane-Viru</t>
  </si>
  <si>
    <t>solar resource in Jarva</t>
  </si>
  <si>
    <t>solar resource in Jogeva</t>
  </si>
  <si>
    <t>solar resource in Polva</t>
  </si>
  <si>
    <t>solar resource in Valga</t>
  </si>
  <si>
    <t>e_spv_ida_viru</t>
  </si>
  <si>
    <t>e_spv_jarva</t>
  </si>
  <si>
    <t>e_spv_jogeva</t>
  </si>
  <si>
    <t>e_spv_polva</t>
  </si>
  <si>
    <t>e_spv_valga</t>
  </si>
  <si>
    <t>elc_spv_ida_viru</t>
  </si>
  <si>
    <t>elc_spv_jarva</t>
  </si>
  <si>
    <t>elc_spv_jogeva</t>
  </si>
  <si>
    <t>elc_spv_polva</t>
  </si>
  <si>
    <t>elc_spv_valga</t>
  </si>
  <si>
    <t>elc_won_parnu</t>
  </si>
  <si>
    <t>elc_won_laane_viru</t>
  </si>
  <si>
    <t>elc_won_ida_viru</t>
  </si>
  <si>
    <t>elc_won_laanemaa</t>
  </si>
  <si>
    <t>elc_won_saaremaa</t>
  </si>
  <si>
    <t>elc_won_harju</t>
  </si>
  <si>
    <t>parnu</t>
  </si>
  <si>
    <t>laane_viru</t>
  </si>
  <si>
    <t>ida_viru</t>
  </si>
  <si>
    <t>laanemaa</t>
  </si>
  <si>
    <t>saaremaa</t>
  </si>
  <si>
    <t>harju</t>
  </si>
  <si>
    <t>Parnu</t>
  </si>
  <si>
    <t>Laanemaa</t>
  </si>
  <si>
    <t>Saaremaa</t>
  </si>
  <si>
    <t>Harju</t>
  </si>
  <si>
    <t>Laane-Viru</t>
  </si>
  <si>
    <t>Ida-Viru</t>
  </si>
  <si>
    <t>wind resource in Parnu</t>
  </si>
  <si>
    <t>wind resource in Laane-Viru</t>
  </si>
  <si>
    <t>wind resource in Ida-Viru</t>
  </si>
  <si>
    <t>wind resource in Laanemaa</t>
  </si>
  <si>
    <t>wind resource in Saaremaa</t>
  </si>
  <si>
    <t>wind resource in Harju</t>
  </si>
  <si>
    <t>e_won_parnu</t>
  </si>
  <si>
    <t>e_won_laane_viru</t>
  </si>
  <si>
    <t>e_won_ida_viru</t>
  </si>
  <si>
    <t>e_won_laanemaa</t>
  </si>
  <si>
    <t>e_won_saaremaa</t>
  </si>
  <si>
    <t>e_won_harju</t>
  </si>
  <si>
    <t>e_wof_parnu_laht</t>
  </si>
  <si>
    <t>elc_wof_parnu_laht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</si>
</sst>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\Te\x\t"/>
    <numFmt numFmtId="165" formatCode="&quot;$&quot;#,##0"/>
    <numFmt numFmtId="166" formatCode="0.0%"/>
    <numFmt numFmtId="167" formatCode="0.0"/>
    <numFmt numFmtId="168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1"/>
      <color theme="1"/>
      <name val="Calibri"/>
      <family val="2"/>
      <charset val="186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7" fontId="19" fillId="7" borderId="8" xfId="0" applyNumberFormat="1" applyFont="1" applyFill="1" applyBorder="1" applyAlignment="1">
      <alignment vertical="center"/>
    </xf>
    <xf numFmtId="167" fontId="19" fillId="7" borderId="0" xfId="0" applyNumberFormat="1" applyFont="1" applyFill="1" applyAlignment="1">
      <alignment vertical="center"/>
    </xf>
    <xf numFmtId="167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7" fontId="19" fillId="8" borderId="8" xfId="0" applyNumberFormat="1" applyFont="1" applyFill="1" applyBorder="1" applyAlignment="1">
      <alignment vertical="center"/>
    </xf>
    <xf numFmtId="167" fontId="19" fillId="8" borderId="0" xfId="0" applyNumberFormat="1" applyFont="1" applyFill="1" applyAlignment="1">
      <alignment vertical="center"/>
    </xf>
    <xf numFmtId="167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7" fontId="20" fillId="9" borderId="8" xfId="0" applyNumberFormat="1" applyFont="1" applyFill="1" applyBorder="1" applyAlignment="1">
      <alignment vertical="center"/>
    </xf>
    <xf numFmtId="167" fontId="20" fillId="9" borderId="0" xfId="0" applyNumberFormat="1" applyFont="1" applyFill="1" applyAlignment="1">
      <alignment vertical="center"/>
    </xf>
    <xf numFmtId="167" fontId="20" fillId="9" borderId="9" xfId="0" applyNumberFormat="1" applyFont="1" applyFill="1" applyBorder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10" xfId="0" applyNumberFormat="1" applyFont="1" applyFill="1" applyBorder="1" applyAlignment="1">
      <alignment vertical="center"/>
    </xf>
    <xf numFmtId="168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7" fontId="19" fillId="10" borderId="8" xfId="0" applyNumberFormat="1" applyFont="1" applyFill="1" applyBorder="1" applyAlignment="1">
      <alignment vertical="center"/>
    </xf>
    <xf numFmtId="167" fontId="19" fillId="10" borderId="0" xfId="0" applyNumberFormat="1" applyFont="1" applyFill="1" applyAlignment="1">
      <alignment vertical="center"/>
    </xf>
    <xf numFmtId="167" fontId="19" fillId="10" borderId="9" xfId="0" applyNumberFormat="1" applyFont="1" applyFill="1" applyBorder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10" xfId="0" applyNumberFormat="1" applyFont="1" applyFill="1" applyBorder="1" applyAlignment="1">
      <alignment vertical="center"/>
    </xf>
    <xf numFmtId="168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7" fontId="19" fillId="11" borderId="8" xfId="0" applyNumberFormat="1" applyFont="1" applyFill="1" applyBorder="1" applyAlignment="1">
      <alignment vertical="center"/>
    </xf>
    <xf numFmtId="167" fontId="19" fillId="11" borderId="0" xfId="0" applyNumberFormat="1" applyFont="1" applyFill="1" applyAlignment="1">
      <alignment vertical="center"/>
    </xf>
    <xf numFmtId="167" fontId="19" fillId="11" borderId="9" xfId="0" applyNumberFormat="1" applyFont="1" applyFill="1" applyBorder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10" xfId="0" applyNumberFormat="1" applyFont="1" applyFill="1" applyBorder="1" applyAlignment="1">
      <alignment vertical="center"/>
    </xf>
    <xf numFmtId="168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7" fontId="19" fillId="12" borderId="5" xfId="0" applyNumberFormat="1" applyFont="1" applyFill="1" applyBorder="1" applyAlignment="1">
      <alignment vertical="center"/>
    </xf>
    <xf numFmtId="167" fontId="19" fillId="12" borderId="4" xfId="0" applyNumberFormat="1" applyFont="1" applyFill="1" applyBorder="1" applyAlignment="1">
      <alignment vertical="center"/>
    </xf>
    <xf numFmtId="167" fontId="19" fillId="12" borderId="6" xfId="0" applyNumberFormat="1" applyFont="1" applyFill="1" applyBorder="1" applyAlignment="1">
      <alignment vertical="center"/>
    </xf>
    <xf numFmtId="168" fontId="20" fillId="12" borderId="5" xfId="0" applyNumberFormat="1" applyFont="1" applyFill="1" applyBorder="1" applyAlignment="1">
      <alignment vertical="center"/>
    </xf>
    <xf numFmtId="168" fontId="20" fillId="12" borderId="4" xfId="0" applyNumberFormat="1" applyFont="1" applyFill="1" applyBorder="1" applyAlignment="1">
      <alignment vertical="center"/>
    </xf>
    <xf numFmtId="168" fontId="20" fillId="12" borderId="13" xfId="0" applyNumberFormat="1" applyFont="1" applyFill="1" applyBorder="1" applyAlignment="1">
      <alignment vertical="center"/>
    </xf>
    <xf numFmtId="168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7" fontId="19" fillId="14" borderId="8" xfId="0" applyNumberFormat="1" applyFont="1" applyFill="1" applyBorder="1" applyAlignment="1">
      <alignment vertical="center"/>
    </xf>
    <xf numFmtId="167" fontId="19" fillId="14" borderId="0" xfId="0" applyNumberFormat="1" applyFont="1" applyFill="1" applyAlignment="1">
      <alignment vertical="center"/>
    </xf>
    <xf numFmtId="167" fontId="19" fillId="14" borderId="9" xfId="0" applyNumberFormat="1" applyFont="1" applyFill="1" applyBorder="1" applyAlignment="1">
      <alignment vertical="center"/>
    </xf>
    <xf numFmtId="168" fontId="20" fillId="14" borderId="8" xfId="0" applyNumberFormat="1" applyFont="1" applyFill="1" applyBorder="1" applyAlignment="1">
      <alignment vertical="center"/>
    </xf>
    <xf numFmtId="168" fontId="20" fillId="14" borderId="0" xfId="0" applyNumberFormat="1" applyFont="1" applyFill="1" applyAlignment="1">
      <alignment vertical="center"/>
    </xf>
    <xf numFmtId="168" fontId="20" fillId="14" borderId="10" xfId="0" applyNumberFormat="1" applyFont="1" applyFill="1" applyBorder="1" applyAlignment="1">
      <alignment vertical="center"/>
    </xf>
    <xf numFmtId="168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7" fontId="19" fillId="12" borderId="16" xfId="0" applyNumberFormat="1" applyFont="1" applyFill="1" applyBorder="1" applyAlignment="1">
      <alignment vertical="center"/>
    </xf>
    <xf numFmtId="167" fontId="19" fillId="12" borderId="15" xfId="0" applyNumberFormat="1" applyFont="1" applyFill="1" applyBorder="1" applyAlignment="1">
      <alignment vertical="center"/>
    </xf>
    <xf numFmtId="167" fontId="19" fillId="12" borderId="17" xfId="0" applyNumberFormat="1" applyFont="1" applyFill="1" applyBorder="1" applyAlignment="1">
      <alignment vertical="center"/>
    </xf>
    <xf numFmtId="168" fontId="20" fillId="12" borderId="16" xfId="0" applyNumberFormat="1" applyFont="1" applyFill="1" applyBorder="1" applyAlignment="1">
      <alignment vertical="center"/>
    </xf>
    <xf numFmtId="168" fontId="20" fillId="12" borderId="15" xfId="0" applyNumberFormat="1" applyFont="1" applyFill="1" applyBorder="1" applyAlignment="1">
      <alignment vertical="center"/>
    </xf>
    <xf numFmtId="168" fontId="20" fillId="12" borderId="18" xfId="0" applyNumberFormat="1" applyFont="1" applyFill="1" applyBorder="1" applyAlignment="1">
      <alignment vertical="center"/>
    </xf>
    <xf numFmtId="168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7" fontId="19" fillId="15" borderId="8" xfId="0" applyNumberFormat="1" applyFont="1" applyFill="1" applyBorder="1" applyAlignment="1">
      <alignment vertical="center"/>
    </xf>
    <xf numFmtId="167" fontId="19" fillId="15" borderId="0" xfId="0" applyNumberFormat="1" applyFont="1" applyFill="1" applyAlignment="1">
      <alignment vertical="center"/>
    </xf>
    <xf numFmtId="167" fontId="19" fillId="15" borderId="9" xfId="0" applyNumberFormat="1" applyFont="1" applyFill="1" applyBorder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10" xfId="0" applyNumberFormat="1" applyFont="1" applyFill="1" applyBorder="1" applyAlignment="1">
      <alignment vertical="center"/>
    </xf>
    <xf numFmtId="168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7" fontId="19" fillId="16" borderId="8" xfId="0" applyNumberFormat="1" applyFont="1" applyFill="1" applyBorder="1" applyAlignment="1">
      <alignment vertical="center"/>
    </xf>
    <xf numFmtId="167" fontId="19" fillId="16" borderId="0" xfId="0" applyNumberFormat="1" applyFont="1" applyFill="1" applyAlignment="1">
      <alignment vertical="center"/>
    </xf>
    <xf numFmtId="167" fontId="19" fillId="16" borderId="9" xfId="0" applyNumberFormat="1" applyFont="1" applyFill="1" applyBorder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10" xfId="0" applyNumberFormat="1" applyFont="1" applyFill="1" applyBorder="1" applyAlignment="1">
      <alignment vertical="center"/>
    </xf>
    <xf numFmtId="168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7" fontId="19" fillId="15" borderId="16" xfId="0" applyNumberFormat="1" applyFont="1" applyFill="1" applyBorder="1" applyAlignment="1">
      <alignment vertical="center"/>
    </xf>
    <xf numFmtId="167" fontId="19" fillId="15" borderId="15" xfId="0" applyNumberFormat="1" applyFont="1" applyFill="1" applyBorder="1" applyAlignment="1">
      <alignment vertical="center"/>
    </xf>
    <xf numFmtId="167" fontId="19" fillId="15" borderId="17" xfId="0" applyNumberFormat="1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8" xfId="0" applyNumberFormat="1" applyFont="1" applyFill="1" applyBorder="1" applyAlignment="1">
      <alignment vertical="center"/>
    </xf>
    <xf numFmtId="168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0" borderId="0" xfId="0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VEDA/Veda/Veda_models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21"/>
  <sheetViews>
    <sheetView topLeftCell="A3" zoomScale="80" workbookViewId="0">
      <selection activeCell="L25" sqref="L25"/>
    </sheetView>
  </sheetViews>
  <sheetFormatPr defaultRowHeight="14.5"/>
  <cols>
    <col min="2" max="2" width="10.1796875" bestFit="1" customWidth="1"/>
    <col min="3" max="3" width="18" bestFit="1" customWidth="1"/>
    <col min="4" max="4" width="22.453125" bestFit="1" customWidth="1"/>
    <col min="5" max="5" width="4.453125" bestFit="1" customWidth="1"/>
    <col min="6" max="6" width="4.54296875" bestFit="1" customWidth="1"/>
    <col min="7" max="7" width="7.54296875" bestFit="1" customWidth="1"/>
    <col min="10" max="10" width="20.453125" bestFit="1" customWidth="1"/>
    <col min="11" max="11" width="8.1796875" bestFit="1" customWidth="1"/>
    <col min="12" max="12" width="52.26953125" bestFit="1" customWidth="1"/>
    <col min="13" max="13" width="3.453125" bestFit="1" customWidth="1"/>
    <col min="14" max="14" width="8.7265625" bestFit="1" customWidth="1"/>
    <col min="15" max="15" width="8.81640625" bestFit="1" customWidth="1"/>
    <col min="17" max="17" width="3.7265625" bestFit="1" customWidth="1"/>
    <col min="22" max="22" width="4.26953125" bestFit="1" customWidth="1"/>
  </cols>
  <sheetData>
    <row r="2" spans="2:22" ht="15" thickBot="1">
      <c r="B2" s="2" t="s">
        <v>0</v>
      </c>
      <c r="L2" s="2" t="s">
        <v>98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28</v>
      </c>
      <c r="P3" s="1">
        <v>2022</v>
      </c>
      <c r="Q3" s="1">
        <v>0</v>
      </c>
      <c r="R3" t="s">
        <v>97</v>
      </c>
      <c r="S3" t="s">
        <v>101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100</v>
      </c>
      <c r="D6" s="1" t="s">
        <v>102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214</v>
      </c>
      <c r="M6" s="1">
        <v>1</v>
      </c>
      <c r="N6" s="1">
        <v>8.76</v>
      </c>
      <c r="O6" s="1"/>
      <c r="P6" s="1"/>
      <c r="Q6" s="1"/>
      <c r="V6" t="s">
        <v>96</v>
      </c>
    </row>
    <row r="7" spans="2:22">
      <c r="B7" t="s">
        <v>20</v>
      </c>
      <c r="C7" t="s">
        <v>142</v>
      </c>
      <c r="D7" s="1" t="s">
        <v>143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33</v>
      </c>
      <c r="L7" t="s">
        <v>144</v>
      </c>
      <c r="M7" s="1">
        <v>1</v>
      </c>
      <c r="N7" s="1">
        <v>8.76</v>
      </c>
      <c r="O7" s="1"/>
      <c r="P7" s="1"/>
      <c r="Q7" s="1"/>
    </row>
    <row r="8" spans="2:22">
      <c r="B8" s="1" t="s">
        <v>27</v>
      </c>
      <c r="C8" s="1" t="s">
        <v>147</v>
      </c>
      <c r="D8" s="1" t="s">
        <v>103</v>
      </c>
      <c r="E8" s="1" t="s">
        <v>21</v>
      </c>
      <c r="F8" t="s">
        <v>10</v>
      </c>
      <c r="H8" s="1"/>
      <c r="I8" s="1"/>
      <c r="J8" s="1" t="str">
        <f>C8</f>
        <v>fossil_supply</v>
      </c>
      <c r="K8" s="1"/>
      <c r="L8" s="1" t="s">
        <v>30</v>
      </c>
      <c r="M8" s="1"/>
      <c r="N8" s="1"/>
      <c r="O8" s="1">
        <v>97.330783938814534</v>
      </c>
      <c r="P8" s="1"/>
      <c r="V8" s="1">
        <v>2</v>
      </c>
    </row>
    <row r="9" spans="2:22">
      <c r="B9" s="1" t="s">
        <v>27</v>
      </c>
      <c r="C9" s="1" t="s">
        <v>149</v>
      </c>
      <c r="D9" s="1" t="s">
        <v>148</v>
      </c>
      <c r="E9" s="1" t="s">
        <v>21</v>
      </c>
      <c r="F9" t="s">
        <v>10</v>
      </c>
      <c r="H9" s="1"/>
      <c r="I9" s="1"/>
      <c r="K9" s="1"/>
      <c r="L9" s="1" t="s">
        <v>31</v>
      </c>
      <c r="M9" s="1"/>
      <c r="N9" s="1"/>
      <c r="O9" s="1">
        <v>35.496509410102867</v>
      </c>
      <c r="P9" s="1"/>
      <c r="V9" s="1">
        <v>5</v>
      </c>
    </row>
    <row r="10" spans="2:22">
      <c r="B10" s="1" t="s">
        <v>27</v>
      </c>
      <c r="C10" s="1" t="s">
        <v>150</v>
      </c>
      <c r="D10" s="1" t="s">
        <v>151</v>
      </c>
      <c r="E10" s="1" t="s">
        <v>21</v>
      </c>
      <c r="F10" t="s">
        <v>10</v>
      </c>
      <c r="G10" s="1"/>
      <c r="H10" s="1"/>
      <c r="I10" s="1"/>
      <c r="K10" s="1"/>
      <c r="L10" s="1" t="s">
        <v>35</v>
      </c>
      <c r="M10" s="1"/>
      <c r="N10" s="1"/>
      <c r="O10" s="1">
        <v>46.935294117647068</v>
      </c>
      <c r="P10" s="1"/>
      <c r="V10">
        <v>10</v>
      </c>
    </row>
    <row r="11" spans="2:22">
      <c r="B11" s="1" t="s">
        <v>27</v>
      </c>
      <c r="C11" s="1" t="s">
        <v>152</v>
      </c>
      <c r="D11" s="1" t="s">
        <v>155</v>
      </c>
      <c r="E11" s="1" t="s">
        <v>21</v>
      </c>
      <c r="F11" t="s">
        <v>10</v>
      </c>
      <c r="G11" s="1"/>
      <c r="H11" s="1"/>
      <c r="I11" s="1"/>
      <c r="J11" s="1" t="str">
        <f>C9</f>
        <v>renewable</v>
      </c>
      <c r="K11" s="1"/>
      <c r="L11" s="1" t="s">
        <v>32</v>
      </c>
      <c r="M11" s="1"/>
      <c r="N11" s="1"/>
      <c r="O11" s="1">
        <f t="shared" ref="O11:O17" si="0">V11*3.6</f>
        <v>0.36000000000000004</v>
      </c>
      <c r="P11" s="1"/>
      <c r="V11">
        <v>0.1</v>
      </c>
    </row>
    <row r="12" spans="2:22">
      <c r="B12" s="1" t="s">
        <v>27</v>
      </c>
      <c r="C12" t="s">
        <v>153</v>
      </c>
      <c r="D12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26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27</v>
      </c>
      <c r="C13" t="s">
        <v>154</v>
      </c>
      <c r="D13" t="s">
        <v>157</v>
      </c>
      <c r="E13" s="1" t="s">
        <v>21</v>
      </c>
      <c r="F13" t="s">
        <v>10</v>
      </c>
      <c r="G13" s="1"/>
      <c r="H13" s="1"/>
      <c r="I13" s="1"/>
      <c r="L13" s="1" t="s">
        <v>29</v>
      </c>
      <c r="M13" s="1"/>
      <c r="N13" s="1"/>
      <c r="O13" s="1">
        <v>46.249920000000003</v>
      </c>
      <c r="P13" s="1"/>
      <c r="V13" s="1">
        <v>6</v>
      </c>
    </row>
    <row r="14" spans="2:22">
      <c r="G14" s="1"/>
      <c r="H14" s="1"/>
      <c r="I14" s="1"/>
      <c r="J14" s="1" t="str">
        <f>C10</f>
        <v>nuclear_fuel</v>
      </c>
      <c r="K14" s="1"/>
      <c r="L14" s="1" t="s">
        <v>34</v>
      </c>
      <c r="M14" s="1"/>
      <c r="N14" s="1"/>
      <c r="O14" s="1">
        <f t="shared" si="0"/>
        <v>0.36000000000000004</v>
      </c>
      <c r="P14" s="1"/>
      <c r="V14">
        <v>0.1</v>
      </c>
    </row>
    <row r="15" spans="2:22">
      <c r="G15" s="1"/>
      <c r="H15" s="1"/>
      <c r="I15" s="1"/>
      <c r="J15" s="1" t="str">
        <f>C11</f>
        <v>solar_potential</v>
      </c>
      <c r="K15" s="1"/>
      <c r="L15" s="1" t="s">
        <v>25</v>
      </c>
      <c r="M15" s="1"/>
      <c r="N15" s="1"/>
      <c r="O15" s="1">
        <f t="shared" si="0"/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C12</f>
        <v>winon_potential</v>
      </c>
      <c r="K16" s="1"/>
      <c r="L16" s="1" t="s">
        <v>145</v>
      </c>
      <c r="M16" s="1"/>
      <c r="N16" s="1"/>
      <c r="O16" s="1">
        <f t="shared" si="0"/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C13</f>
        <v>winoff_potential</v>
      </c>
      <c r="K17" s="1"/>
      <c r="L17" s="1" t="s">
        <v>146</v>
      </c>
      <c r="M17" s="1"/>
      <c r="N17" s="1"/>
      <c r="O17" s="1">
        <f t="shared" si="0"/>
        <v>0.36000000000000004</v>
      </c>
      <c r="P17" s="1"/>
      <c r="V17">
        <v>0.1</v>
      </c>
    </row>
    <row r="18" spans="2:22">
      <c r="B18" t="s">
        <v>27</v>
      </c>
      <c r="C18" t="s">
        <v>94</v>
      </c>
      <c r="D18" s="1"/>
      <c r="E18" s="1" t="s">
        <v>21</v>
      </c>
      <c r="F18" t="s">
        <v>10</v>
      </c>
      <c r="G18" t="s">
        <v>18</v>
      </c>
    </row>
    <row r="19" spans="2:22">
      <c r="B19" t="s">
        <v>93</v>
      </c>
      <c r="C19" t="s">
        <v>95</v>
      </c>
      <c r="D19" s="1"/>
      <c r="E19" s="1" t="s">
        <v>21</v>
      </c>
      <c r="F19" t="s">
        <v>10</v>
      </c>
      <c r="G19" t="s">
        <v>18</v>
      </c>
    </row>
    <row r="20" spans="2:22">
      <c r="J20" t="str">
        <f>C18</f>
        <v>Trd_electricity import</v>
      </c>
      <c r="L20" t="s">
        <v>19</v>
      </c>
      <c r="P20">
        <v>0</v>
      </c>
      <c r="Q20">
        <v>3</v>
      </c>
      <c r="R20">
        <v>1000</v>
      </c>
      <c r="S20">
        <v>50</v>
      </c>
    </row>
    <row r="21" spans="2:22">
      <c r="J21" t="str">
        <f>C19</f>
        <v>Trd_electricity export</v>
      </c>
      <c r="K21" t="s">
        <v>19</v>
      </c>
      <c r="P21">
        <v>0</v>
      </c>
      <c r="Q21">
        <v>3</v>
      </c>
      <c r="R21">
        <v>1000</v>
      </c>
      <c r="S2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topLeftCell="A3" workbookViewId="0">
      <selection activeCell="I9" sqref="I9:W25"/>
    </sheetView>
  </sheetViews>
  <sheetFormatPr defaultColWidth="8.81640625" defaultRowHeight="14.5"/>
  <cols>
    <col min="2" max="2" width="18.81640625" bestFit="1" customWidth="1"/>
    <col min="3" max="3" width="17.54296875" bestFit="1" customWidth="1"/>
    <col min="4" max="4" width="36.1796875" bestFit="1" customWidth="1"/>
    <col min="5" max="5" width="11.1796875" bestFit="1" customWidth="1"/>
    <col min="6" max="6" width="13.26953125" bestFit="1" customWidth="1"/>
    <col min="7" max="7" width="12.1796875" bestFit="1" customWidth="1"/>
    <col min="8" max="8" width="10.26953125" bestFit="1" customWidth="1"/>
    <col min="9" max="9" width="16.26953125" bestFit="1" customWidth="1"/>
    <col min="10" max="10" width="19.26953125" bestFit="1" customWidth="1"/>
    <col min="11" max="11" width="11" bestFit="1" customWidth="1"/>
    <col min="12" max="12" width="14.26953125" bestFit="1" customWidth="1"/>
    <col min="13" max="13" width="9.1796875" bestFit="1" customWidth="1"/>
    <col min="14" max="14" width="13" bestFit="1" customWidth="1"/>
    <col min="15" max="15" width="7.54296875" bestFit="1" customWidth="1"/>
    <col min="16" max="17" width="9" bestFit="1" customWidth="1"/>
    <col min="18" max="18" width="7.54296875" bestFit="1" customWidth="1"/>
    <col min="19" max="20" width="9" bestFit="1" customWidth="1"/>
    <col min="21" max="21" width="10.26953125" bestFit="1" customWidth="1"/>
    <col min="22" max="22" width="12.1796875" bestFit="1" customWidth="1"/>
    <col min="23" max="23" width="3.81640625" bestFit="1" customWidth="1"/>
  </cols>
  <sheetData>
    <row r="2" spans="2:23">
      <c r="B2" s="3" t="s">
        <v>218</v>
      </c>
      <c r="C2" s="3"/>
      <c r="D2" s="3"/>
      <c r="E2" s="3"/>
      <c r="F2" s="3"/>
      <c r="G2" s="3"/>
      <c r="H2" s="3"/>
      <c r="I2" s="3"/>
    </row>
    <row r="3" spans="2:23">
      <c r="B3" s="3" t="s">
        <v>36</v>
      </c>
      <c r="C3" s="3" t="s">
        <v>37</v>
      </c>
      <c r="D3" s="3" t="s">
        <v>38</v>
      </c>
      <c r="E3" s="3" t="s">
        <v>23</v>
      </c>
      <c r="F3" s="3" t="s">
        <v>39</v>
      </c>
      <c r="G3" s="3" t="s">
        <v>40</v>
      </c>
      <c r="H3" s="3" t="s">
        <v>41</v>
      </c>
      <c r="I3" s="3" t="s">
        <v>42</v>
      </c>
    </row>
    <row r="4" spans="2:23">
      <c r="B4" s="3" t="s">
        <v>43</v>
      </c>
      <c r="C4" s="3" t="s">
        <v>44</v>
      </c>
      <c r="D4" s="3" t="s">
        <v>45</v>
      </c>
      <c r="E4" s="3" t="s">
        <v>46</v>
      </c>
      <c r="F4" s="3"/>
      <c r="G4" s="5" t="s">
        <v>14</v>
      </c>
      <c r="H4" s="3"/>
      <c r="I4" s="3"/>
    </row>
    <row r="5" spans="2:23">
      <c r="C5" s="3" t="s">
        <v>47</v>
      </c>
      <c r="D5" s="3" t="s">
        <v>48</v>
      </c>
      <c r="E5" s="3" t="s">
        <v>46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219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49</v>
      </c>
      <c r="F9" s="5" t="s">
        <v>50</v>
      </c>
      <c r="G9" s="5" t="s">
        <v>11</v>
      </c>
      <c r="H9" s="6"/>
      <c r="I9" s="6" t="s">
        <v>1</v>
      </c>
      <c r="J9" s="6" t="s">
        <v>51</v>
      </c>
      <c r="K9" s="6" t="s">
        <v>52</v>
      </c>
      <c r="L9" s="6" t="s">
        <v>22</v>
      </c>
      <c r="M9" s="7" t="s">
        <v>53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54</v>
      </c>
      <c r="W9" t="s">
        <v>55</v>
      </c>
    </row>
    <row r="10" spans="2:23">
      <c r="B10" s="5" t="s">
        <v>56</v>
      </c>
      <c r="C10" s="5" t="s">
        <v>57</v>
      </c>
      <c r="D10" s="8" t="s">
        <v>58</v>
      </c>
      <c r="E10" s="5" t="s">
        <v>46</v>
      </c>
      <c r="F10" s="5" t="s">
        <v>10</v>
      </c>
      <c r="G10" s="5" t="s">
        <v>14</v>
      </c>
      <c r="H10" s="6"/>
      <c r="I10" s="6" t="s">
        <v>59</v>
      </c>
      <c r="J10" s="6" t="s">
        <v>60</v>
      </c>
      <c r="K10" s="3" t="s">
        <v>47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59</v>
      </c>
      <c r="D11" s="7" t="s">
        <v>61</v>
      </c>
      <c r="E11" s="5" t="s">
        <v>46</v>
      </c>
      <c r="F11" s="5" t="s">
        <v>10</v>
      </c>
      <c r="G11" s="5" t="s">
        <v>14</v>
      </c>
      <c r="H11" s="6"/>
      <c r="I11" s="6" t="s">
        <v>59</v>
      </c>
      <c r="J11" s="6" t="s">
        <v>62</v>
      </c>
      <c r="K11" s="6" t="s">
        <v>63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59</v>
      </c>
      <c r="J12" s="6" t="s">
        <v>62</v>
      </c>
      <c r="K12" s="6" t="s">
        <v>24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59</v>
      </c>
      <c r="J13" s="6" t="s">
        <v>64</v>
      </c>
      <c r="K13" s="6"/>
      <c r="L13" s="6"/>
      <c r="M13" s="7"/>
      <c r="N13" s="9">
        <f>J40</f>
        <v>1363</v>
      </c>
      <c r="O13" s="9">
        <f>K40</f>
        <v>956</v>
      </c>
      <c r="P13" s="9">
        <f t="shared" ref="P13:T13" si="1">L40</f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59</v>
      </c>
      <c r="J14" t="s">
        <v>65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59</v>
      </c>
      <c r="J15" t="s">
        <v>66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59</v>
      </c>
      <c r="J16" t="s">
        <v>67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59</v>
      </c>
      <c r="J17" t="s">
        <v>68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57</v>
      </c>
      <c r="J18" t="s">
        <v>60</v>
      </c>
      <c r="K18" s="3" t="s">
        <v>47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57</v>
      </c>
      <c r="J19" t="s">
        <v>62</v>
      </c>
      <c r="K19" t="s">
        <v>63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57</v>
      </c>
      <c r="J20" t="s">
        <v>62</v>
      </c>
      <c r="K20" t="s">
        <v>24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57</v>
      </c>
      <c r="J21" t="s">
        <v>64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57</v>
      </c>
      <c r="J22" t="s">
        <v>65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57</v>
      </c>
      <c r="J23" t="s">
        <v>66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57</v>
      </c>
      <c r="J24" t="s">
        <v>67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57</v>
      </c>
      <c r="J25" t="s">
        <v>68</v>
      </c>
      <c r="N25" s="4">
        <v>0.85</v>
      </c>
      <c r="O25" s="4"/>
      <c r="P25" s="4"/>
      <c r="Q25" s="4"/>
      <c r="R25" s="4"/>
      <c r="S25" s="4"/>
      <c r="T25" s="4"/>
    </row>
    <row r="31" spans="9:23" ht="15.5">
      <c r="I31" s="10" t="s">
        <v>69</v>
      </c>
      <c r="J31" s="11"/>
      <c r="K31" s="11"/>
      <c r="L31" s="11"/>
      <c r="M31" s="11"/>
      <c r="N31" s="11"/>
      <c r="O31" s="11"/>
      <c r="P31" s="11"/>
    </row>
    <row r="32" spans="9:23" ht="15.5">
      <c r="I32" s="10" t="s">
        <v>70</v>
      </c>
      <c r="J32" s="11"/>
      <c r="K32" s="11"/>
      <c r="L32" s="11"/>
      <c r="M32" s="11"/>
      <c r="N32" s="11"/>
      <c r="O32" s="11"/>
      <c r="P32" s="11"/>
    </row>
    <row r="33" spans="9:22">
      <c r="I33" s="12"/>
      <c r="J33" s="12"/>
      <c r="K33" s="12"/>
      <c r="L33" s="12"/>
      <c r="M33" s="12"/>
      <c r="N33" s="12"/>
      <c r="O33" s="12"/>
      <c r="P33" s="12"/>
    </row>
    <row r="34" spans="9:22" ht="15.5">
      <c r="I34" s="13" t="s">
        <v>71</v>
      </c>
      <c r="J34" s="14"/>
      <c r="K34" s="14"/>
      <c r="L34" s="14"/>
      <c r="M34" s="14"/>
      <c r="N34" s="14"/>
      <c r="O34" s="14"/>
      <c r="P34" s="14"/>
      <c r="V34">
        <f>24/8</f>
        <v>3</v>
      </c>
    </row>
    <row r="35" spans="9:22" ht="15.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22" ht="15.5">
      <c r="I36" s="15" t="s">
        <v>72</v>
      </c>
      <c r="J36" s="14"/>
      <c r="K36" s="14"/>
      <c r="L36" s="14"/>
      <c r="M36" s="14"/>
      <c r="N36" s="14"/>
      <c r="O36" s="14"/>
      <c r="P36" s="14"/>
    </row>
    <row r="37" spans="9:22" ht="15.5">
      <c r="I37" s="13" t="s">
        <v>73</v>
      </c>
      <c r="J37" s="14"/>
      <c r="K37" s="14"/>
      <c r="L37" s="14"/>
      <c r="M37" s="14"/>
      <c r="N37" s="14"/>
      <c r="O37" s="14"/>
      <c r="P37" s="14"/>
    </row>
    <row r="38" spans="9:22" ht="15.5">
      <c r="I38" s="14" t="s">
        <v>74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22" ht="15.5">
      <c r="I39" s="14" t="s">
        <v>75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22" ht="15.5">
      <c r="I40" s="14" t="s">
        <v>76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22" ht="15.5">
      <c r="I41" s="13" t="s">
        <v>77</v>
      </c>
      <c r="J41" s="17"/>
      <c r="K41" s="17"/>
      <c r="L41" s="17"/>
      <c r="M41" s="17"/>
      <c r="N41" s="17"/>
      <c r="O41" s="17"/>
      <c r="P41" s="17"/>
    </row>
    <row r="42" spans="9:22" ht="15.5">
      <c r="I42" s="14" t="s">
        <v>74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22" ht="15.5">
      <c r="I43" s="14" t="s">
        <v>75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22" ht="15.5">
      <c r="I44" s="14" t="s">
        <v>76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22" ht="15.5">
      <c r="I45" s="15" t="s">
        <v>78</v>
      </c>
      <c r="J45" s="17"/>
      <c r="K45" s="17"/>
      <c r="L45" s="17"/>
      <c r="M45" s="17"/>
      <c r="N45" s="17"/>
      <c r="O45" s="17"/>
      <c r="P45" s="17"/>
    </row>
    <row r="46" spans="9:22" ht="15.5">
      <c r="I46" s="13" t="s">
        <v>73</v>
      </c>
      <c r="J46" s="17"/>
      <c r="K46" s="17"/>
      <c r="L46" s="17"/>
      <c r="M46" s="17"/>
      <c r="N46" s="17"/>
      <c r="O46" s="17"/>
      <c r="P46" s="17"/>
    </row>
    <row r="47" spans="9:22" ht="15.5">
      <c r="I47" s="14" t="s">
        <v>74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22" ht="15.5">
      <c r="I48" s="14" t="s">
        <v>75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5">
      <c r="I49" s="14" t="s">
        <v>76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5">
      <c r="I50" s="13" t="s">
        <v>77</v>
      </c>
      <c r="J50" s="17"/>
      <c r="K50" s="17"/>
      <c r="L50" s="17"/>
      <c r="M50" s="17"/>
      <c r="N50" s="17"/>
      <c r="O50" s="17"/>
      <c r="P50" s="17"/>
    </row>
    <row r="51" spans="9:16" ht="15.5">
      <c r="I51" s="14" t="s">
        <v>74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5">
      <c r="I52" s="14" t="s">
        <v>75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5">
      <c r="I53" s="14" t="s">
        <v>76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5">
      <c r="I55" s="11" t="s">
        <v>79</v>
      </c>
      <c r="J55" s="11">
        <v>0.85</v>
      </c>
      <c r="K55" s="11"/>
      <c r="L55" s="11"/>
      <c r="M55" s="11"/>
      <c r="N55" s="11"/>
      <c r="O55" s="11"/>
      <c r="P55" s="11"/>
    </row>
    <row r="56" spans="9:16" ht="15.5">
      <c r="I56" s="11" t="s">
        <v>80</v>
      </c>
      <c r="J56" s="11"/>
      <c r="K56" s="11"/>
      <c r="L56" s="11"/>
      <c r="M56" s="11"/>
      <c r="N56" s="11"/>
      <c r="O56" s="11"/>
      <c r="P56" s="11"/>
    </row>
    <row r="57" spans="9:16" ht="15.5">
      <c r="I57" s="11" t="s">
        <v>81</v>
      </c>
      <c r="J57" s="11"/>
      <c r="K57" s="11"/>
      <c r="L57" s="11"/>
      <c r="M57" s="19"/>
      <c r="N57" s="11"/>
      <c r="O57" s="11"/>
      <c r="P57" s="11"/>
    </row>
    <row r="58" spans="9:16" ht="15.5">
      <c r="I58" s="11"/>
      <c r="J58" s="11"/>
      <c r="K58" s="11"/>
      <c r="L58" s="11"/>
      <c r="M58" s="19"/>
      <c r="N58" s="11"/>
      <c r="O58" s="11"/>
      <c r="P58" s="11"/>
    </row>
    <row r="59" spans="9:16" ht="15.5">
      <c r="I59" s="11"/>
      <c r="J59" s="19"/>
      <c r="K59" s="11"/>
      <c r="L59" s="11"/>
      <c r="M59" s="19"/>
      <c r="N59" s="11"/>
      <c r="O59" s="11"/>
      <c r="P59" s="11"/>
    </row>
    <row r="60" spans="9:16" ht="15.5">
      <c r="I60" s="11"/>
      <c r="J60" s="19"/>
      <c r="K60" s="11"/>
      <c r="L60" s="11"/>
      <c r="M60" s="11"/>
      <c r="N60" s="11"/>
      <c r="O60" s="11"/>
      <c r="P60" s="11"/>
    </row>
    <row r="61" spans="9:16" ht="15.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zoomScale="71" workbookViewId="0">
      <selection activeCell="J16" sqref="J16"/>
    </sheetView>
  </sheetViews>
  <sheetFormatPr defaultRowHeight="14.5"/>
  <cols>
    <col min="2" max="2" width="11.54296875" bestFit="1" customWidth="1"/>
    <col min="3" max="3" width="8.1796875" bestFit="1" customWidth="1"/>
    <col min="4" max="4" width="14.81640625" bestFit="1" customWidth="1"/>
    <col min="5" max="5" width="11.54296875" bestFit="1" customWidth="1"/>
    <col min="6" max="6" width="14.81640625" bestFit="1" customWidth="1"/>
    <col min="7" max="7" width="9.54296875" bestFit="1" customWidth="1"/>
    <col min="8" max="8" width="9" bestFit="1" customWidth="1"/>
    <col min="9" max="9" width="5.26953125" bestFit="1" customWidth="1"/>
    <col min="10" max="10" width="2" bestFit="1" customWidth="1"/>
    <col min="11" max="11" width="7" bestFit="1" customWidth="1"/>
    <col min="12" max="12" width="15" bestFit="1" customWidth="1"/>
    <col min="13" max="13" width="4" bestFit="1" customWidth="1"/>
    <col min="14" max="14" width="6.453125" bestFit="1" customWidth="1"/>
    <col min="15" max="15" width="8.1796875" bestFit="1" customWidth="1"/>
    <col min="16" max="16" width="4.54296875" bestFit="1" customWidth="1"/>
    <col min="18" max="18" width="9.81640625" bestFit="1" customWidth="1"/>
    <col min="19" max="19" width="11.54296875" bestFit="1" customWidth="1"/>
    <col min="20" max="20" width="38" bestFit="1" customWidth="1"/>
    <col min="21" max="21" width="4" bestFit="1" customWidth="1"/>
    <col min="22" max="22" width="4.453125" bestFit="1" customWidth="1"/>
    <col min="23" max="23" width="7.54296875" bestFit="1" customWidth="1"/>
    <col min="25" max="25" width="6.7265625" bestFit="1" customWidth="1"/>
  </cols>
  <sheetData>
    <row r="3" spans="2:25">
      <c r="B3" s="23"/>
      <c r="C3" s="23"/>
      <c r="D3" s="23"/>
      <c r="E3" s="23"/>
      <c r="F3" s="23"/>
      <c r="G3" s="23"/>
      <c r="H3" s="23" t="s">
        <v>217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215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54</v>
      </c>
      <c r="F4" t="s">
        <v>52</v>
      </c>
      <c r="G4" t="s">
        <v>82</v>
      </c>
      <c r="H4" t="s">
        <v>83</v>
      </c>
      <c r="I4">
        <v>2030</v>
      </c>
      <c r="J4">
        <v>0</v>
      </c>
      <c r="K4" s="23" t="s">
        <v>84</v>
      </c>
      <c r="L4" s="23" t="s">
        <v>85</v>
      </c>
      <c r="M4" s="23" t="s">
        <v>55</v>
      </c>
      <c r="N4" s="23" t="s">
        <v>97</v>
      </c>
      <c r="O4" s="23" t="s">
        <v>86</v>
      </c>
      <c r="P4" s="23" t="s">
        <v>87</v>
      </c>
      <c r="Q4" s="23"/>
      <c r="R4" s="23" t="s">
        <v>6</v>
      </c>
      <c r="S4" s="23" t="s">
        <v>1</v>
      </c>
      <c r="T4" s="23" t="s">
        <v>7</v>
      </c>
      <c r="U4" s="23" t="s">
        <v>49</v>
      </c>
      <c r="V4" s="23" t="s">
        <v>50</v>
      </c>
      <c r="W4" s="23" t="s">
        <v>11</v>
      </c>
      <c r="X4" s="23" t="s">
        <v>88</v>
      </c>
      <c r="Y4" s="23" t="s">
        <v>89</v>
      </c>
    </row>
    <row r="5" spans="2:25">
      <c r="B5" t="s">
        <v>99</v>
      </c>
      <c r="C5" t="s">
        <v>19</v>
      </c>
      <c r="F5" t="s">
        <v>24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92</v>
      </c>
      <c r="S5" s="23" t="str">
        <f>B5</f>
        <v>ev_battery</v>
      </c>
      <c r="T5" s="23" t="s">
        <v>90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63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91</v>
      </c>
      <c r="E7" t="s">
        <v>44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8">
      <c r="B8" s="20"/>
      <c r="E8" s="26"/>
      <c r="F8" t="str">
        <f>C5</f>
        <v>ELC</v>
      </c>
      <c r="G8" t="str">
        <f>E7</f>
        <v>AuxStoIN</v>
      </c>
      <c r="H8" t="s">
        <v>60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B19" sqref="B19"/>
    </sheetView>
  </sheetViews>
  <sheetFormatPr defaultRowHeight="14.5"/>
  <cols>
    <col min="1" max="1" width="11.1796875" bestFit="1" customWidth="1"/>
    <col min="2" max="2" width="11.1796875" customWidth="1"/>
    <col min="3" max="5" width="14" bestFit="1" customWidth="1"/>
    <col min="6" max="8" width="11.81640625" bestFit="1" customWidth="1"/>
    <col min="9" max="9" width="20.26953125" bestFit="1" customWidth="1"/>
    <col min="10" max="10" width="15.54296875" bestFit="1" customWidth="1"/>
    <col min="11" max="11" width="20.26953125" bestFit="1" customWidth="1"/>
    <col min="12" max="12" width="15.54296875" bestFit="1" customWidth="1"/>
    <col min="13" max="13" width="20.26953125" bestFit="1" customWidth="1"/>
    <col min="14" max="14" width="15.54296875" bestFit="1" customWidth="1"/>
    <col min="15" max="15" width="18.81640625" customWidth="1"/>
    <col min="16" max="16" width="4.453125" bestFit="1" customWidth="1"/>
    <col min="17" max="17" width="8.1796875" bestFit="1" customWidth="1"/>
    <col min="18" max="18" width="6" bestFit="1" customWidth="1"/>
    <col min="21" max="21" width="18.1796875" bestFit="1" customWidth="1"/>
    <col min="22" max="22" width="24" customWidth="1"/>
    <col min="23" max="23" width="4.54296875" bestFit="1" customWidth="1"/>
    <col min="24" max="24" width="4.1796875" bestFit="1" customWidth="1"/>
    <col min="25" max="25" width="7.7265625" bestFit="1" customWidth="1"/>
    <col min="26" max="26" width="7.1796875" bestFit="1" customWidth="1"/>
  </cols>
  <sheetData>
    <row r="1" spans="1:18" ht="33.75" customHeight="1">
      <c r="A1" t="s">
        <v>104</v>
      </c>
      <c r="C1" s="148" t="s">
        <v>105</v>
      </c>
      <c r="D1" s="148"/>
      <c r="E1" s="148"/>
      <c r="F1" s="149" t="s">
        <v>106</v>
      </c>
      <c r="G1" s="148"/>
      <c r="H1" s="150"/>
      <c r="I1" s="148" t="s">
        <v>107</v>
      </c>
      <c r="J1" s="148"/>
      <c r="K1" s="148"/>
      <c r="L1" s="148"/>
      <c r="M1" s="148"/>
      <c r="N1" s="148"/>
      <c r="O1" s="151" t="s">
        <v>108</v>
      </c>
      <c r="P1" s="27"/>
      <c r="Q1" s="27"/>
      <c r="R1" s="27"/>
    </row>
    <row r="2" spans="1:18">
      <c r="C2" s="28" t="s">
        <v>97</v>
      </c>
      <c r="D2" s="28" t="s">
        <v>97</v>
      </c>
      <c r="E2" s="28" t="s">
        <v>97</v>
      </c>
      <c r="F2" s="28" t="s">
        <v>109</v>
      </c>
      <c r="G2" s="28" t="s">
        <v>109</v>
      </c>
      <c r="H2" s="28" t="s">
        <v>109</v>
      </c>
      <c r="I2" s="28" t="s">
        <v>110</v>
      </c>
      <c r="J2" s="28" t="s">
        <v>141</v>
      </c>
      <c r="K2" s="28" t="str">
        <f>I2</f>
        <v>input~GASNGA</v>
      </c>
      <c r="L2" s="28" t="s">
        <v>141</v>
      </c>
      <c r="M2" s="28" t="str">
        <f>K2</f>
        <v>input~GASNGA</v>
      </c>
      <c r="N2" s="28" t="s">
        <v>141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">
      <c r="C4" s="29">
        <v>2020</v>
      </c>
      <c r="D4" s="29">
        <v>2030</v>
      </c>
      <c r="E4" s="29" t="s">
        <v>111</v>
      </c>
      <c r="F4" s="30">
        <v>2015</v>
      </c>
      <c r="G4" s="29">
        <v>2030</v>
      </c>
      <c r="H4" s="31" t="s">
        <v>111</v>
      </c>
      <c r="I4" s="29" t="s">
        <v>112</v>
      </c>
      <c r="J4" s="29" t="s">
        <v>113</v>
      </c>
      <c r="K4" s="32" t="s">
        <v>114</v>
      </c>
      <c r="L4" s="33" t="s">
        <v>115</v>
      </c>
      <c r="M4" s="29" t="s">
        <v>116</v>
      </c>
      <c r="N4" s="29" t="s">
        <v>117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118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119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120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121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122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123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124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125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126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127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128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129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130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131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132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133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134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135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136</v>
      </c>
      <c r="P23" s="123"/>
      <c r="Q23" s="123"/>
      <c r="R23" s="123"/>
    </row>
    <row r="26" spans="1:26" ht="17.5" thickBot="1">
      <c r="C26" s="143" t="s">
        <v>216</v>
      </c>
      <c r="T26" s="143" t="s">
        <v>215</v>
      </c>
    </row>
    <row r="27" spans="1:26" ht="1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141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55</v>
      </c>
      <c r="Q27" s="144" t="s">
        <v>137</v>
      </c>
      <c r="T27" s="144" t="s">
        <v>6</v>
      </c>
      <c r="U27" s="144" t="s">
        <v>1</v>
      </c>
      <c r="V27" s="144" t="s">
        <v>7</v>
      </c>
      <c r="W27" s="144" t="s">
        <v>50</v>
      </c>
      <c r="X27" s="144" t="s">
        <v>49</v>
      </c>
      <c r="Y27" s="144" t="s">
        <v>11</v>
      </c>
      <c r="Z27" s="144" t="s">
        <v>89</v>
      </c>
    </row>
    <row r="28" spans="1:26">
      <c r="A28" t="s">
        <v>33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139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138</v>
      </c>
    </row>
    <row r="29" spans="1:26">
      <c r="A29" t="s">
        <v>33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140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138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1A9A-9509-4439-8806-CD6AA93B92D3}">
  <dimension ref="B9:M20"/>
  <sheetViews>
    <sheetView topLeftCell="A6" zoomScale="80" workbookViewId="0">
      <selection activeCell="M13" sqref="M13"/>
    </sheetView>
  </sheetViews>
  <sheetFormatPr defaultRowHeight="14.5"/>
  <cols>
    <col min="3" max="3" width="16.54296875" bestFit="1" customWidth="1"/>
    <col min="4" max="4" width="24.81640625" bestFit="1" customWidth="1"/>
    <col min="10" max="10" width="16.54296875" bestFit="1" customWidth="1"/>
    <col min="11" max="11" width="18.1796875" bestFit="1" customWidth="1"/>
    <col min="12" max="12" width="11.81640625" bestFit="1" customWidth="1"/>
    <col min="16" max="16" width="26" bestFit="1" customWidth="1"/>
    <col min="17" max="17" width="36.26953125" bestFit="1" customWidth="1"/>
    <col min="19" max="19" width="12" bestFit="1" customWidth="1"/>
    <col min="20" max="20" width="9.7265625" bestFit="1" customWidth="1"/>
    <col min="24" max="24" width="26" bestFit="1" customWidth="1"/>
    <col min="25" max="25" width="18.1796875" bestFit="1" customWidth="1"/>
    <col min="26" max="26" width="50" bestFit="1" customWidth="1"/>
    <col min="27" max="27" width="12" bestFit="1" customWidth="1"/>
    <col min="28" max="28" width="19.81640625" bestFit="1" customWidth="1"/>
  </cols>
  <sheetData>
    <row r="9" spans="2:13">
      <c r="B9" t="s">
        <v>158</v>
      </c>
      <c r="J9" t="s">
        <v>169</v>
      </c>
    </row>
    <row r="10" spans="2:13">
      <c r="B10" t="s">
        <v>159</v>
      </c>
      <c r="C10" t="s">
        <v>160</v>
      </c>
      <c r="D10" t="s">
        <v>161</v>
      </c>
      <c r="E10" t="s">
        <v>162</v>
      </c>
      <c r="F10" t="s">
        <v>163</v>
      </c>
      <c r="G10" t="s">
        <v>164</v>
      </c>
      <c r="H10" t="s">
        <v>165</v>
      </c>
      <c r="J10" t="s">
        <v>160</v>
      </c>
      <c r="K10" t="s">
        <v>170</v>
      </c>
      <c r="L10" t="s">
        <v>171</v>
      </c>
      <c r="M10" t="s">
        <v>172</v>
      </c>
    </row>
    <row r="11" spans="2:13">
      <c r="B11" t="s">
        <v>166</v>
      </c>
      <c r="C11" t="s">
        <v>224</v>
      </c>
      <c r="D11" t="s">
        <v>223</v>
      </c>
      <c r="E11" t="s">
        <v>10</v>
      </c>
      <c r="F11" t="s">
        <v>21</v>
      </c>
      <c r="G11" t="s">
        <v>167</v>
      </c>
      <c r="H11" t="s">
        <v>168</v>
      </c>
      <c r="J11" t="s">
        <v>224</v>
      </c>
      <c r="K11" t="s">
        <v>222</v>
      </c>
      <c r="L11">
        <v>0.05</v>
      </c>
      <c r="M11">
        <v>0.1461854238754417</v>
      </c>
    </row>
    <row r="12" spans="2:13">
      <c r="B12" t="s">
        <v>166</v>
      </c>
      <c r="C12" t="s">
        <v>229</v>
      </c>
      <c r="D12" t="s">
        <v>231</v>
      </c>
      <c r="E12" t="s">
        <v>10</v>
      </c>
      <c r="F12" t="s">
        <v>21</v>
      </c>
      <c r="G12" t="s">
        <v>167</v>
      </c>
      <c r="H12" t="s">
        <v>168</v>
      </c>
      <c r="J12" t="s">
        <v>229</v>
      </c>
      <c r="K12" t="s">
        <v>228</v>
      </c>
      <c r="L12">
        <v>0.05</v>
      </c>
      <c r="M12">
        <v>0.14867925344692129</v>
      </c>
    </row>
    <row r="13" spans="2:13">
      <c r="B13" t="s">
        <v>166</v>
      </c>
      <c r="C13" t="s">
        <v>226</v>
      </c>
      <c r="D13" t="s">
        <v>234</v>
      </c>
      <c r="E13" t="s">
        <v>10</v>
      </c>
      <c r="F13" t="s">
        <v>21</v>
      </c>
      <c r="G13" t="s">
        <v>167</v>
      </c>
      <c r="H13" t="s">
        <v>168</v>
      </c>
      <c r="J13" t="s">
        <v>226</v>
      </c>
      <c r="K13" t="s">
        <v>227</v>
      </c>
      <c r="L13">
        <v>0.05</v>
      </c>
      <c r="M13">
        <v>0.14701259708091721</v>
      </c>
    </row>
    <row r="14" spans="2:13">
      <c r="B14" t="s">
        <v>166</v>
      </c>
      <c r="C14" t="s">
        <v>239</v>
      </c>
      <c r="D14" t="s">
        <v>233</v>
      </c>
      <c r="E14" t="s">
        <v>10</v>
      </c>
      <c r="F14" t="s">
        <v>21</v>
      </c>
      <c r="G14" t="s">
        <v>167</v>
      </c>
      <c r="H14" t="s">
        <v>168</v>
      </c>
      <c r="J14" t="str">
        <f>C14</f>
        <v>e_spv_ida_viru</v>
      </c>
      <c r="K14" t="s">
        <v>244</v>
      </c>
      <c r="L14">
        <v>0.05</v>
      </c>
      <c r="M14">
        <v>0.15309859852159369</v>
      </c>
    </row>
    <row r="15" spans="2:13">
      <c r="B15" t="s">
        <v>166</v>
      </c>
      <c r="C15" t="s">
        <v>240</v>
      </c>
      <c r="D15" t="s">
        <v>235</v>
      </c>
      <c r="E15" t="s">
        <v>10</v>
      </c>
      <c r="F15" t="s">
        <v>21</v>
      </c>
      <c r="G15" t="s">
        <v>167</v>
      </c>
      <c r="H15" t="s">
        <v>168</v>
      </c>
      <c r="J15" t="str">
        <f t="shared" ref="J15:J20" si="0">C15</f>
        <v>e_spv_jarva</v>
      </c>
      <c r="K15" t="s">
        <v>245</v>
      </c>
      <c r="L15">
        <v>0.05</v>
      </c>
      <c r="M15">
        <v>0.15852072747262991</v>
      </c>
    </row>
    <row r="16" spans="2:13">
      <c r="B16" t="s">
        <v>166</v>
      </c>
      <c r="C16" t="s">
        <v>241</v>
      </c>
      <c r="D16" t="s">
        <v>236</v>
      </c>
      <c r="E16" t="s">
        <v>10</v>
      </c>
      <c r="F16" t="s">
        <v>21</v>
      </c>
      <c r="G16" t="s">
        <v>167</v>
      </c>
      <c r="H16" t="s">
        <v>168</v>
      </c>
      <c r="J16" t="str">
        <f t="shared" si="0"/>
        <v>e_spv_jogeva</v>
      </c>
      <c r="K16" t="s">
        <v>246</v>
      </c>
      <c r="L16">
        <v>0.05</v>
      </c>
      <c r="M16">
        <v>0.1561956058597683</v>
      </c>
    </row>
    <row r="17" spans="2:13">
      <c r="B17" t="s">
        <v>166</v>
      </c>
      <c r="C17" t="s">
        <v>242</v>
      </c>
      <c r="D17" t="s">
        <v>237</v>
      </c>
      <c r="E17" t="s">
        <v>10</v>
      </c>
      <c r="F17" t="s">
        <v>21</v>
      </c>
      <c r="G17" t="s">
        <v>167</v>
      </c>
      <c r="H17" t="s">
        <v>168</v>
      </c>
      <c r="J17" t="str">
        <f t="shared" si="0"/>
        <v>e_spv_polva</v>
      </c>
      <c r="K17" t="s">
        <v>247</v>
      </c>
      <c r="L17">
        <v>0.05</v>
      </c>
      <c r="M17">
        <v>0.14537310453496291</v>
      </c>
    </row>
    <row r="18" spans="2:13">
      <c r="B18" t="s">
        <v>166</v>
      </c>
      <c r="C18" t="s">
        <v>225</v>
      </c>
      <c r="D18" t="s">
        <v>220</v>
      </c>
      <c r="E18" t="s">
        <v>10</v>
      </c>
      <c r="F18" t="s">
        <v>21</v>
      </c>
      <c r="G18" t="s">
        <v>167</v>
      </c>
      <c r="H18" t="s">
        <v>168</v>
      </c>
      <c r="J18" t="str">
        <f t="shared" si="0"/>
        <v>e_spv_harju</v>
      </c>
      <c r="K18" t="s">
        <v>221</v>
      </c>
      <c r="L18">
        <v>0.05</v>
      </c>
      <c r="M18">
        <v>0.1476387365568102</v>
      </c>
    </row>
    <row r="19" spans="2:13">
      <c r="B19" t="s">
        <v>166</v>
      </c>
      <c r="C19" t="s">
        <v>243</v>
      </c>
      <c r="D19" t="s">
        <v>238</v>
      </c>
      <c r="E19" t="s">
        <v>10</v>
      </c>
      <c r="F19" t="s">
        <v>21</v>
      </c>
      <c r="G19" t="s">
        <v>167</v>
      </c>
      <c r="H19" t="s">
        <v>168</v>
      </c>
      <c r="J19" t="str">
        <f t="shared" si="0"/>
        <v>e_spv_valga</v>
      </c>
      <c r="K19" t="s">
        <v>248</v>
      </c>
      <c r="L19">
        <v>0.05</v>
      </c>
      <c r="M19">
        <v>0.1532628310027955</v>
      </c>
    </row>
    <row r="20" spans="2:13">
      <c r="B20" t="s">
        <v>166</v>
      </c>
      <c r="C20" t="s">
        <v>230</v>
      </c>
      <c r="D20" t="s">
        <v>231</v>
      </c>
      <c r="E20" t="s">
        <v>10</v>
      </c>
      <c r="F20" t="s">
        <v>21</v>
      </c>
      <c r="G20" t="s">
        <v>167</v>
      </c>
      <c r="H20" t="s">
        <v>168</v>
      </c>
      <c r="J20" t="str">
        <f t="shared" si="0"/>
        <v>e_spv_viljandi</v>
      </c>
      <c r="K20" t="s">
        <v>232</v>
      </c>
      <c r="L20">
        <v>0.05</v>
      </c>
      <c r="M20">
        <v>0.1451997589052581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906F5-DE0F-4F85-B69A-66E82B7A4DD5}">
  <dimension ref="B9:AA25"/>
  <sheetViews>
    <sheetView tabSelected="1" topLeftCell="R7" zoomScale="80" workbookViewId="0">
      <selection activeCell="Z14" sqref="Z14"/>
    </sheetView>
  </sheetViews>
  <sheetFormatPr defaultRowHeight="14.5"/>
  <cols>
    <col min="3" max="3" width="16.453125" bestFit="1" customWidth="1"/>
    <col min="4" max="4" width="24.453125" bestFit="1" customWidth="1"/>
    <col min="5" max="5" width="12.1796875" bestFit="1" customWidth="1"/>
    <col min="10" max="10" width="16.453125" bestFit="1" customWidth="1"/>
    <col min="11" max="11" width="17.90625" bestFit="1" customWidth="1"/>
    <col min="12" max="12" width="11.81640625" bestFit="1" customWidth="1"/>
    <col min="16" max="16" width="10.54296875" bestFit="1" customWidth="1"/>
    <col min="17" max="17" width="16.453125" bestFit="1" customWidth="1"/>
    <col min="18" max="18" width="33.26953125" bestFit="1" customWidth="1"/>
    <col min="20" max="20" width="11.26953125" bestFit="1" customWidth="1"/>
    <col min="24" max="24" width="16.453125" bestFit="1" customWidth="1"/>
    <col min="25" max="25" width="12" bestFit="1" customWidth="1"/>
  </cols>
  <sheetData>
    <row r="9" spans="2:27">
      <c r="B9" t="s">
        <v>158</v>
      </c>
      <c r="J9" t="s">
        <v>169</v>
      </c>
      <c r="P9" t="s">
        <v>158</v>
      </c>
      <c r="X9" t="s">
        <v>169</v>
      </c>
    </row>
    <row r="10" spans="2:27">
      <c r="B10" t="s">
        <v>159</v>
      </c>
      <c r="C10" t="s">
        <v>160</v>
      </c>
      <c r="D10" t="s">
        <v>161</v>
      </c>
      <c r="E10" t="s">
        <v>162</v>
      </c>
      <c r="F10" t="s">
        <v>163</v>
      </c>
      <c r="G10" t="s">
        <v>164</v>
      </c>
      <c r="H10" t="s">
        <v>165</v>
      </c>
      <c r="J10" t="s">
        <v>160</v>
      </c>
      <c r="K10" t="s">
        <v>170</v>
      </c>
      <c r="L10" t="s">
        <v>171</v>
      </c>
      <c r="M10" t="s">
        <v>172</v>
      </c>
      <c r="P10" t="s">
        <v>159</v>
      </c>
      <c r="Q10" t="s">
        <v>160</v>
      </c>
      <c r="R10" t="s">
        <v>161</v>
      </c>
      <c r="S10" t="s">
        <v>162</v>
      </c>
      <c r="T10" t="s">
        <v>163</v>
      </c>
      <c r="U10" t="s">
        <v>164</v>
      </c>
      <c r="V10" t="s">
        <v>165</v>
      </c>
      <c r="X10" t="s">
        <v>160</v>
      </c>
      <c r="Y10" t="s">
        <v>170</v>
      </c>
      <c r="Z10" t="s">
        <v>171</v>
      </c>
      <c r="AA10" t="s">
        <v>172</v>
      </c>
    </row>
    <row r="11" spans="2:27">
      <c r="B11" t="s">
        <v>166</v>
      </c>
      <c r="C11" t="s">
        <v>273</v>
      </c>
      <c r="D11" t="s">
        <v>267</v>
      </c>
      <c r="E11" t="s">
        <v>10</v>
      </c>
      <c r="F11" t="s">
        <v>21</v>
      </c>
      <c r="G11" t="s">
        <v>167</v>
      </c>
      <c r="H11" t="s">
        <v>168</v>
      </c>
      <c r="J11" t="s">
        <v>273</v>
      </c>
      <c r="K11" t="s">
        <v>249</v>
      </c>
      <c r="L11">
        <v>0.25</v>
      </c>
      <c r="M11">
        <v>0.47763777043344691</v>
      </c>
      <c r="P11" t="s">
        <v>166</v>
      </c>
      <c r="Q11" t="s">
        <v>279</v>
      </c>
      <c r="R11" t="s">
        <v>173</v>
      </c>
      <c r="S11" t="s">
        <v>10</v>
      </c>
      <c r="T11" t="s">
        <v>21</v>
      </c>
      <c r="U11" t="s">
        <v>167</v>
      </c>
      <c r="V11" t="s">
        <v>168</v>
      </c>
      <c r="X11" t="s">
        <v>279</v>
      </c>
      <c r="Y11" t="s">
        <v>280</v>
      </c>
      <c r="Z11">
        <v>1</v>
      </c>
      <c r="AA11">
        <v>0.45257887643123651</v>
      </c>
    </row>
    <row r="12" spans="2:27">
      <c r="B12" t="s">
        <v>166</v>
      </c>
      <c r="C12" t="s">
        <v>274</v>
      </c>
      <c r="D12" t="s">
        <v>268</v>
      </c>
      <c r="E12" t="s">
        <v>10</v>
      </c>
      <c r="F12" t="s">
        <v>21</v>
      </c>
      <c r="G12" t="s">
        <v>167</v>
      </c>
      <c r="H12" t="s">
        <v>168</v>
      </c>
      <c r="J12" t="s">
        <v>274</v>
      </c>
      <c r="K12" t="s">
        <v>250</v>
      </c>
      <c r="L12">
        <v>0.25</v>
      </c>
      <c r="M12">
        <v>0.42070052507616201</v>
      </c>
    </row>
    <row r="13" spans="2:27">
      <c r="B13" t="s">
        <v>166</v>
      </c>
      <c r="C13" t="s">
        <v>275</v>
      </c>
      <c r="D13" t="s">
        <v>269</v>
      </c>
      <c r="E13" t="s">
        <v>10</v>
      </c>
      <c r="F13" t="s">
        <v>21</v>
      </c>
      <c r="G13" t="s">
        <v>167</v>
      </c>
      <c r="H13" t="s">
        <v>168</v>
      </c>
      <c r="J13" t="s">
        <v>275</v>
      </c>
      <c r="K13" t="s">
        <v>251</v>
      </c>
      <c r="L13">
        <v>0.25</v>
      </c>
      <c r="M13">
        <v>0.42070052507616201</v>
      </c>
    </row>
    <row r="14" spans="2:27">
      <c r="B14" t="s">
        <v>166</v>
      </c>
      <c r="C14" t="s">
        <v>276</v>
      </c>
      <c r="D14" t="s">
        <v>270</v>
      </c>
      <c r="E14" t="s">
        <v>10</v>
      </c>
      <c r="F14" t="s">
        <v>21</v>
      </c>
      <c r="G14" t="s">
        <v>167</v>
      </c>
      <c r="H14" t="s">
        <v>168</v>
      </c>
      <c r="J14" t="s">
        <v>276</v>
      </c>
      <c r="K14" t="s">
        <v>252</v>
      </c>
      <c r="L14">
        <v>0.25</v>
      </c>
      <c r="M14">
        <v>0.35024016362894311</v>
      </c>
    </row>
    <row r="15" spans="2:27">
      <c r="B15" t="s">
        <v>166</v>
      </c>
      <c r="C15" t="s">
        <v>277</v>
      </c>
      <c r="D15" t="s">
        <v>271</v>
      </c>
      <c r="E15" t="s">
        <v>10</v>
      </c>
      <c r="F15" t="s">
        <v>21</v>
      </c>
      <c r="G15" t="s">
        <v>167</v>
      </c>
      <c r="H15" t="s">
        <v>168</v>
      </c>
      <c r="J15" t="s">
        <v>277</v>
      </c>
      <c r="K15" t="s">
        <v>253</v>
      </c>
      <c r="L15">
        <v>0.25</v>
      </c>
      <c r="M15">
        <v>0.40144059976798202</v>
      </c>
    </row>
    <row r="16" spans="2:27">
      <c r="B16" t="s">
        <v>166</v>
      </c>
      <c r="C16" t="s">
        <v>278</v>
      </c>
      <c r="D16" t="s">
        <v>272</v>
      </c>
      <c r="E16" t="s">
        <v>10</v>
      </c>
      <c r="F16" t="s">
        <v>21</v>
      </c>
      <c r="G16" t="s">
        <v>167</v>
      </c>
      <c r="H16" t="s">
        <v>168</v>
      </c>
      <c r="J16" t="s">
        <v>278</v>
      </c>
      <c r="K16" t="s">
        <v>254</v>
      </c>
      <c r="L16">
        <v>0.25</v>
      </c>
      <c r="M16">
        <v>0.36483357275006911</v>
      </c>
    </row>
    <row r="18" spans="3:27">
      <c r="L18" s="147"/>
      <c r="P18" t="s">
        <v>166</v>
      </c>
      <c r="Q18" t="s">
        <v>174</v>
      </c>
      <c r="R18" t="s">
        <v>175</v>
      </c>
      <c r="S18" t="s">
        <v>10</v>
      </c>
      <c r="T18" t="s">
        <v>21</v>
      </c>
      <c r="U18" t="s">
        <v>167</v>
      </c>
      <c r="V18" t="s">
        <v>168</v>
      </c>
      <c r="X18" t="s">
        <v>174</v>
      </c>
      <c r="Y18" t="s">
        <v>184</v>
      </c>
      <c r="Z18">
        <v>1</v>
      </c>
      <c r="AA18">
        <v>0.37369451123150682</v>
      </c>
    </row>
    <row r="19" spans="3:27">
      <c r="L19">
        <f>1500/6</f>
        <v>250</v>
      </c>
      <c r="P19" t="s">
        <v>166</v>
      </c>
      <c r="Q19" t="s">
        <v>176</v>
      </c>
      <c r="R19" t="s">
        <v>177</v>
      </c>
      <c r="S19" t="s">
        <v>10</v>
      </c>
      <c r="T19" t="s">
        <v>21</v>
      </c>
      <c r="U19" t="s">
        <v>167</v>
      </c>
      <c r="V19" t="s">
        <v>168</v>
      </c>
      <c r="X19" t="s">
        <v>176</v>
      </c>
      <c r="Y19" t="s">
        <v>185</v>
      </c>
      <c r="Z19">
        <v>1</v>
      </c>
      <c r="AA19">
        <v>0.28750467069383828</v>
      </c>
    </row>
    <row r="20" spans="3:27">
      <c r="C20" t="str">
        <f>"e_won_" &amp;E20</f>
        <v>e_won_parnu</v>
      </c>
      <c r="D20" t="str">
        <f>"wind resource in " &amp;F20</f>
        <v>wind resource in Parnu</v>
      </c>
      <c r="E20" t="s">
        <v>255</v>
      </c>
      <c r="F20" t="s">
        <v>261</v>
      </c>
      <c r="P20" t="s">
        <v>166</v>
      </c>
      <c r="Q20" t="s">
        <v>178</v>
      </c>
      <c r="R20" t="s">
        <v>179</v>
      </c>
      <c r="S20" t="s">
        <v>10</v>
      </c>
      <c r="T20" t="s">
        <v>21</v>
      </c>
      <c r="U20" t="s">
        <v>167</v>
      </c>
      <c r="V20" t="s">
        <v>168</v>
      </c>
      <c r="X20" t="s">
        <v>178</v>
      </c>
      <c r="Y20" t="s">
        <v>186</v>
      </c>
      <c r="Z20">
        <v>1</v>
      </c>
      <c r="AA20">
        <v>0.45257887643123651</v>
      </c>
    </row>
    <row r="21" spans="3:27">
      <c r="C21" t="str">
        <f t="shared" ref="C21:C25" si="0">"e_won_" &amp;E21</f>
        <v>e_won_laane_viru</v>
      </c>
      <c r="D21" t="str">
        <f t="shared" ref="D21:D25" si="1">"wind resource in " &amp;F21</f>
        <v>wind resource in Laane-Viru</v>
      </c>
      <c r="E21" t="s">
        <v>256</v>
      </c>
      <c r="F21" t="s">
        <v>265</v>
      </c>
      <c r="P21" t="s">
        <v>166</v>
      </c>
      <c r="Q21" t="s">
        <v>180</v>
      </c>
      <c r="R21" t="s">
        <v>181</v>
      </c>
      <c r="S21" t="s">
        <v>10</v>
      </c>
      <c r="T21" t="s">
        <v>21</v>
      </c>
      <c r="U21" t="s">
        <v>167</v>
      </c>
      <c r="V21" t="s">
        <v>168</v>
      </c>
      <c r="X21" t="s">
        <v>180</v>
      </c>
      <c r="Y21" t="s">
        <v>187</v>
      </c>
      <c r="Z21">
        <v>1</v>
      </c>
      <c r="AA21">
        <v>0.44869827675393242</v>
      </c>
    </row>
    <row r="22" spans="3:27">
      <c r="C22" t="str">
        <f t="shared" si="0"/>
        <v>e_won_ida_viru</v>
      </c>
      <c r="D22" t="str">
        <f t="shared" si="1"/>
        <v>wind resource in Ida-Viru</v>
      </c>
      <c r="E22" t="s">
        <v>257</v>
      </c>
      <c r="F22" t="s">
        <v>266</v>
      </c>
      <c r="P22" t="s">
        <v>166</v>
      </c>
      <c r="Q22" t="s">
        <v>182</v>
      </c>
      <c r="R22" t="s">
        <v>183</v>
      </c>
      <c r="S22" t="s">
        <v>10</v>
      </c>
      <c r="T22" t="s">
        <v>21</v>
      </c>
      <c r="U22" t="s">
        <v>167</v>
      </c>
      <c r="V22" t="s">
        <v>168</v>
      </c>
      <c r="X22" t="s">
        <v>182</v>
      </c>
      <c r="Y22" t="s">
        <v>188</v>
      </c>
      <c r="Z22">
        <v>1</v>
      </c>
      <c r="AA22">
        <v>0.47904088602536332</v>
      </c>
    </row>
    <row r="23" spans="3:27">
      <c r="C23" t="str">
        <f t="shared" si="0"/>
        <v>e_won_laanemaa</v>
      </c>
      <c r="D23" t="str">
        <f t="shared" si="1"/>
        <v>wind resource in Laanemaa</v>
      </c>
      <c r="E23" t="s">
        <v>258</v>
      </c>
      <c r="F23" t="s">
        <v>262</v>
      </c>
    </row>
    <row r="24" spans="3:27">
      <c r="C24" t="str">
        <f t="shared" si="0"/>
        <v>e_won_saaremaa</v>
      </c>
      <c r="D24" t="str">
        <f t="shared" si="1"/>
        <v>wind resource in Saaremaa</v>
      </c>
      <c r="E24" t="s">
        <v>259</v>
      </c>
      <c r="F24" t="s">
        <v>263</v>
      </c>
    </row>
    <row r="25" spans="3:27">
      <c r="C25" t="str">
        <f t="shared" si="0"/>
        <v>e_won_harju</v>
      </c>
      <c r="D25" t="str">
        <f t="shared" si="1"/>
        <v>wind resource in Harju</v>
      </c>
      <c r="E25" t="s">
        <v>260</v>
      </c>
      <c r="F25" t="s">
        <v>264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4B6D3-E927-481D-8E70-B0D3EEEF9328}">
  <dimension ref="B9:P74"/>
  <sheetViews>
    <sheetView topLeftCell="A59" workbookViewId="0">
      <selection activeCell="J52" sqref="J52"/>
    </sheetView>
  </sheetViews>
  <sheetFormatPr defaultRowHeight="14.5"/>
  <cols>
    <col min="2" max="2" width="31.453125" bestFit="1" customWidth="1"/>
    <col min="3" max="3" width="10" bestFit="1" customWidth="1"/>
    <col min="5" max="5" width="4.81640625" bestFit="1" customWidth="1"/>
    <col min="7" max="7" width="4.81640625" bestFit="1" customWidth="1"/>
    <col min="8" max="8" width="9.1796875" bestFit="1" customWidth="1"/>
    <col min="13" max="13" width="11.81640625" bestFit="1" customWidth="1"/>
  </cols>
  <sheetData>
    <row r="9" spans="2:16">
      <c r="B9" t="s">
        <v>169</v>
      </c>
      <c r="J9" t="s">
        <v>158</v>
      </c>
    </row>
    <row r="10" spans="2:16">
      <c r="B10" t="s">
        <v>160</v>
      </c>
      <c r="C10" t="s">
        <v>189</v>
      </c>
      <c r="D10" t="s">
        <v>170</v>
      </c>
      <c r="E10">
        <v>2023</v>
      </c>
      <c r="F10">
        <v>2030</v>
      </c>
      <c r="G10">
        <v>2050</v>
      </c>
      <c r="H10" t="s">
        <v>51</v>
      </c>
      <c r="J10" t="s">
        <v>159</v>
      </c>
      <c r="K10" t="s">
        <v>160</v>
      </c>
      <c r="L10" t="s">
        <v>161</v>
      </c>
      <c r="M10" t="s">
        <v>162</v>
      </c>
      <c r="N10" t="s">
        <v>163</v>
      </c>
      <c r="O10" t="s">
        <v>164</v>
      </c>
      <c r="P10" t="s">
        <v>165</v>
      </c>
    </row>
    <row r="11" spans="2:16">
      <c r="B11" t="s">
        <v>190</v>
      </c>
      <c r="C11" t="s">
        <v>29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141</v>
      </c>
      <c r="J11" t="s">
        <v>166</v>
      </c>
      <c r="K11" t="s">
        <v>190</v>
      </c>
      <c r="M11" t="s">
        <v>10</v>
      </c>
      <c r="N11" t="s">
        <v>21</v>
      </c>
      <c r="O11" t="s">
        <v>212</v>
      </c>
      <c r="P11" t="s">
        <v>213</v>
      </c>
    </row>
    <row r="12" spans="2:16">
      <c r="B12" t="s">
        <v>190</v>
      </c>
      <c r="C12" t="s">
        <v>29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191</v>
      </c>
      <c r="J12" t="s">
        <v>166</v>
      </c>
      <c r="K12" t="s">
        <v>195</v>
      </c>
      <c r="M12" t="s">
        <v>10</v>
      </c>
      <c r="N12" t="s">
        <v>21</v>
      </c>
      <c r="O12" t="s">
        <v>212</v>
      </c>
      <c r="P12" t="s">
        <v>213</v>
      </c>
    </row>
    <row r="13" spans="2:16">
      <c r="B13" t="s">
        <v>190</v>
      </c>
      <c r="C13" t="s">
        <v>29</v>
      </c>
      <c r="D13" t="s">
        <v>19</v>
      </c>
      <c r="E13">
        <v>5750</v>
      </c>
      <c r="F13">
        <v>5700</v>
      </c>
      <c r="G13">
        <v>5100</v>
      </c>
      <c r="H13" t="s">
        <v>192</v>
      </c>
      <c r="J13" t="s">
        <v>166</v>
      </c>
      <c r="K13" t="s">
        <v>196</v>
      </c>
      <c r="M13" t="s">
        <v>10</v>
      </c>
      <c r="N13" t="s">
        <v>21</v>
      </c>
      <c r="O13" t="s">
        <v>212</v>
      </c>
      <c r="P13" t="s">
        <v>213</v>
      </c>
    </row>
    <row r="14" spans="2:16">
      <c r="B14" t="s">
        <v>190</v>
      </c>
      <c r="C14" t="s">
        <v>29</v>
      </c>
      <c r="D14" t="s">
        <v>19</v>
      </c>
      <c r="E14">
        <v>200</v>
      </c>
      <c r="F14">
        <v>200</v>
      </c>
      <c r="G14">
        <v>175</v>
      </c>
      <c r="H14" t="s">
        <v>193</v>
      </c>
      <c r="J14" t="s">
        <v>166</v>
      </c>
      <c r="K14" t="s">
        <v>197</v>
      </c>
      <c r="M14" t="s">
        <v>10</v>
      </c>
      <c r="N14" t="s">
        <v>21</v>
      </c>
      <c r="O14" t="s">
        <v>212</v>
      </c>
      <c r="P14" t="s">
        <v>213</v>
      </c>
    </row>
    <row r="15" spans="2:16">
      <c r="B15" t="s">
        <v>190</v>
      </c>
      <c r="C15" t="s">
        <v>29</v>
      </c>
      <c r="D15" t="s">
        <v>19</v>
      </c>
      <c r="E15">
        <v>3</v>
      </c>
      <c r="F15">
        <v>3</v>
      </c>
      <c r="G15">
        <v>3</v>
      </c>
      <c r="H15" t="s">
        <v>194</v>
      </c>
      <c r="J15" t="s">
        <v>166</v>
      </c>
      <c r="K15" t="s">
        <v>198</v>
      </c>
      <c r="M15" t="s">
        <v>10</v>
      </c>
      <c r="N15" t="s">
        <v>21</v>
      </c>
      <c r="O15" t="s">
        <v>212</v>
      </c>
      <c r="P15" t="s">
        <v>213</v>
      </c>
    </row>
    <row r="16" spans="2:16">
      <c r="B16" t="s">
        <v>195</v>
      </c>
      <c r="C16" t="s">
        <v>29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141</v>
      </c>
      <c r="J16" t="s">
        <v>166</v>
      </c>
      <c r="K16" t="s">
        <v>199</v>
      </c>
      <c r="M16" t="s">
        <v>10</v>
      </c>
      <c r="N16" t="s">
        <v>21</v>
      </c>
      <c r="O16" t="s">
        <v>212</v>
      </c>
      <c r="P16" t="s">
        <v>213</v>
      </c>
    </row>
    <row r="17" spans="2:16">
      <c r="B17" t="s">
        <v>195</v>
      </c>
      <c r="C17" t="s">
        <v>29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191</v>
      </c>
      <c r="J17" t="s">
        <v>166</v>
      </c>
      <c r="K17" t="s">
        <v>200</v>
      </c>
      <c r="M17" t="s">
        <v>10</v>
      </c>
      <c r="N17" t="s">
        <v>21</v>
      </c>
      <c r="O17" t="s">
        <v>212</v>
      </c>
      <c r="P17" t="s">
        <v>213</v>
      </c>
    </row>
    <row r="18" spans="2:16">
      <c r="B18" t="s">
        <v>195</v>
      </c>
      <c r="C18" t="s">
        <v>29</v>
      </c>
      <c r="D18" t="s">
        <v>19</v>
      </c>
      <c r="E18">
        <v>2400</v>
      </c>
      <c r="F18">
        <v>2350</v>
      </c>
      <c r="G18">
        <v>2300</v>
      </c>
      <c r="H18" t="s">
        <v>192</v>
      </c>
      <c r="J18" t="s">
        <v>166</v>
      </c>
      <c r="K18" t="s">
        <v>201</v>
      </c>
      <c r="M18" t="s">
        <v>10</v>
      </c>
      <c r="N18" t="s">
        <v>21</v>
      </c>
      <c r="O18" t="s">
        <v>212</v>
      </c>
      <c r="P18" t="s">
        <v>213</v>
      </c>
    </row>
    <row r="19" spans="2:16">
      <c r="B19" t="s">
        <v>195</v>
      </c>
      <c r="C19" t="s">
        <v>29</v>
      </c>
      <c r="D19" t="s">
        <v>19</v>
      </c>
      <c r="E19">
        <v>85</v>
      </c>
      <c r="F19">
        <v>85</v>
      </c>
      <c r="G19">
        <v>80</v>
      </c>
      <c r="H19" t="s">
        <v>193</v>
      </c>
      <c r="J19" t="s">
        <v>166</v>
      </c>
      <c r="K19" t="s">
        <v>202</v>
      </c>
      <c r="M19" t="s">
        <v>10</v>
      </c>
      <c r="N19" t="s">
        <v>21</v>
      </c>
      <c r="O19" t="s">
        <v>212</v>
      </c>
      <c r="P19" t="s">
        <v>213</v>
      </c>
    </row>
    <row r="20" spans="2:16">
      <c r="B20" t="s">
        <v>195</v>
      </c>
      <c r="C20" t="s">
        <v>29</v>
      </c>
      <c r="D20" t="s">
        <v>19</v>
      </c>
      <c r="E20">
        <v>3</v>
      </c>
      <c r="F20">
        <v>3</v>
      </c>
      <c r="G20">
        <v>3</v>
      </c>
      <c r="H20" t="s">
        <v>194</v>
      </c>
      <c r="J20" t="s">
        <v>166</v>
      </c>
      <c r="K20" t="s">
        <v>203</v>
      </c>
      <c r="M20" t="s">
        <v>10</v>
      </c>
      <c r="N20" t="s">
        <v>21</v>
      </c>
      <c r="O20" t="s">
        <v>212</v>
      </c>
      <c r="P20" t="s">
        <v>213</v>
      </c>
    </row>
    <row r="21" spans="2:16">
      <c r="B21" t="s">
        <v>196</v>
      </c>
      <c r="C21" t="s">
        <v>31</v>
      </c>
      <c r="D21" t="s">
        <v>19</v>
      </c>
      <c r="E21">
        <v>0.59</v>
      </c>
      <c r="F21">
        <v>0.6</v>
      </c>
      <c r="G21">
        <v>0.61</v>
      </c>
      <c r="H21" t="s">
        <v>141</v>
      </c>
      <c r="J21" t="s">
        <v>166</v>
      </c>
      <c r="K21" t="s">
        <v>204</v>
      </c>
      <c r="M21" t="s">
        <v>10</v>
      </c>
      <c r="N21" t="s">
        <v>21</v>
      </c>
      <c r="O21" t="s">
        <v>212</v>
      </c>
      <c r="P21" t="s">
        <v>213</v>
      </c>
    </row>
    <row r="22" spans="2:16">
      <c r="B22" t="s">
        <v>196</v>
      </c>
      <c r="C22" t="s">
        <v>31</v>
      </c>
      <c r="D22" t="s">
        <v>19</v>
      </c>
      <c r="E22">
        <v>1000</v>
      </c>
      <c r="F22">
        <v>1000</v>
      </c>
      <c r="G22">
        <v>1000</v>
      </c>
      <c r="H22" t="s">
        <v>192</v>
      </c>
      <c r="J22" t="s">
        <v>166</v>
      </c>
      <c r="K22" t="s">
        <v>205</v>
      </c>
      <c r="M22" t="s">
        <v>10</v>
      </c>
      <c r="N22" t="s">
        <v>21</v>
      </c>
      <c r="O22" t="s">
        <v>212</v>
      </c>
      <c r="P22" t="s">
        <v>213</v>
      </c>
    </row>
    <row r="23" spans="2:16">
      <c r="B23" t="s">
        <v>196</v>
      </c>
      <c r="C23" t="s">
        <v>31</v>
      </c>
      <c r="D23" t="s">
        <v>19</v>
      </c>
      <c r="E23">
        <v>25</v>
      </c>
      <c r="F23">
        <v>25</v>
      </c>
      <c r="G23">
        <v>25</v>
      </c>
      <c r="H23" t="s">
        <v>193</v>
      </c>
      <c r="J23" t="s">
        <v>166</v>
      </c>
      <c r="K23" t="s">
        <v>206</v>
      </c>
      <c r="M23" t="s">
        <v>10</v>
      </c>
      <c r="N23" t="s">
        <v>21</v>
      </c>
      <c r="O23" t="s">
        <v>212</v>
      </c>
      <c r="P23" t="s">
        <v>213</v>
      </c>
    </row>
    <row r="24" spans="2:16">
      <c r="B24" t="s">
        <v>197</v>
      </c>
      <c r="C24" t="s">
        <v>31</v>
      </c>
      <c r="D24" t="s">
        <v>19</v>
      </c>
      <c r="E24">
        <v>0.51</v>
      </c>
      <c r="F24">
        <v>0.52</v>
      </c>
      <c r="G24">
        <v>0.54</v>
      </c>
      <c r="H24" t="s">
        <v>141</v>
      </c>
      <c r="J24" t="s">
        <v>166</v>
      </c>
      <c r="K24" t="s">
        <v>207</v>
      </c>
      <c r="M24" t="s">
        <v>10</v>
      </c>
      <c r="N24" t="s">
        <v>21</v>
      </c>
      <c r="O24" t="s">
        <v>212</v>
      </c>
      <c r="P24" t="s">
        <v>213</v>
      </c>
    </row>
    <row r="25" spans="2:16">
      <c r="B25" t="s">
        <v>197</v>
      </c>
      <c r="C25" t="s">
        <v>31</v>
      </c>
      <c r="D25" t="s">
        <v>19</v>
      </c>
      <c r="E25">
        <v>3100</v>
      </c>
      <c r="F25">
        <v>3100</v>
      </c>
      <c r="G25">
        <v>2400</v>
      </c>
      <c r="H25" t="s">
        <v>192</v>
      </c>
      <c r="J25" t="s">
        <v>166</v>
      </c>
      <c r="K25" t="s">
        <v>208</v>
      </c>
      <c r="M25" t="s">
        <v>10</v>
      </c>
      <c r="N25" t="s">
        <v>21</v>
      </c>
      <c r="O25" t="s">
        <v>212</v>
      </c>
      <c r="P25" t="s">
        <v>213</v>
      </c>
    </row>
    <row r="26" spans="2:16">
      <c r="B26" t="s">
        <v>197</v>
      </c>
      <c r="C26" t="s">
        <v>31</v>
      </c>
      <c r="D26" t="s">
        <v>19</v>
      </c>
      <c r="E26">
        <v>75</v>
      </c>
      <c r="F26">
        <v>75</v>
      </c>
      <c r="G26">
        <v>60</v>
      </c>
      <c r="H26" t="s">
        <v>193</v>
      </c>
      <c r="J26" t="s">
        <v>166</v>
      </c>
      <c r="K26" t="s">
        <v>209</v>
      </c>
      <c r="M26" t="s">
        <v>10</v>
      </c>
      <c r="N26" t="s">
        <v>21</v>
      </c>
      <c r="O26" t="s">
        <v>212</v>
      </c>
      <c r="P26" t="s">
        <v>213</v>
      </c>
    </row>
    <row r="27" spans="2:16">
      <c r="B27" t="s">
        <v>198</v>
      </c>
      <c r="C27" t="s">
        <v>30</v>
      </c>
      <c r="D27" t="s">
        <v>19</v>
      </c>
      <c r="E27">
        <v>0.37</v>
      </c>
      <c r="F27">
        <v>0.38</v>
      </c>
      <c r="G27">
        <v>0.39</v>
      </c>
      <c r="H27" t="s">
        <v>141</v>
      </c>
      <c r="J27" t="s">
        <v>166</v>
      </c>
      <c r="K27" t="s">
        <v>211</v>
      </c>
      <c r="M27" t="s">
        <v>10</v>
      </c>
      <c r="N27" t="s">
        <v>21</v>
      </c>
      <c r="O27" t="s">
        <v>212</v>
      </c>
      <c r="P27" t="s">
        <v>213</v>
      </c>
    </row>
    <row r="28" spans="2:16">
      <c r="B28" t="s">
        <v>198</v>
      </c>
      <c r="C28" t="s">
        <v>30</v>
      </c>
      <c r="D28" t="s">
        <v>19</v>
      </c>
      <c r="E28">
        <v>5500</v>
      </c>
      <c r="F28">
        <v>5500</v>
      </c>
      <c r="G28">
        <v>4350</v>
      </c>
      <c r="H28" t="s">
        <v>192</v>
      </c>
    </row>
    <row r="29" spans="2:16">
      <c r="B29" t="s">
        <v>198</v>
      </c>
      <c r="C29" t="s">
        <v>30</v>
      </c>
      <c r="D29" t="s">
        <v>19</v>
      </c>
      <c r="E29">
        <v>165</v>
      </c>
      <c r="F29">
        <v>165</v>
      </c>
      <c r="G29">
        <v>130</v>
      </c>
      <c r="H29" t="s">
        <v>193</v>
      </c>
    </row>
    <row r="30" spans="2:16">
      <c r="B30" t="s">
        <v>199</v>
      </c>
      <c r="C30" t="s">
        <v>31</v>
      </c>
      <c r="D30" t="s">
        <v>19</v>
      </c>
      <c r="E30">
        <v>0.4</v>
      </c>
      <c r="F30">
        <v>0.41000000000000003</v>
      </c>
      <c r="G30">
        <v>0.42</v>
      </c>
      <c r="H30" t="s">
        <v>141</v>
      </c>
    </row>
    <row r="31" spans="2:16">
      <c r="B31" t="s">
        <v>199</v>
      </c>
      <c r="C31" t="s">
        <v>31</v>
      </c>
      <c r="D31" t="s">
        <v>19</v>
      </c>
      <c r="E31">
        <v>500</v>
      </c>
      <c r="F31">
        <v>500</v>
      </c>
      <c r="G31">
        <v>500</v>
      </c>
      <c r="H31" t="s">
        <v>192</v>
      </c>
    </row>
    <row r="32" spans="2:16">
      <c r="B32" t="s">
        <v>199</v>
      </c>
      <c r="C32" t="s">
        <v>31</v>
      </c>
      <c r="D32" t="s">
        <v>19</v>
      </c>
      <c r="E32">
        <v>20</v>
      </c>
      <c r="F32">
        <v>20</v>
      </c>
      <c r="G32">
        <v>20</v>
      </c>
      <c r="H32" t="s">
        <v>193</v>
      </c>
    </row>
    <row r="33" spans="2:8">
      <c r="B33" t="s">
        <v>200</v>
      </c>
      <c r="C33" t="s">
        <v>26</v>
      </c>
      <c r="D33" t="s">
        <v>19</v>
      </c>
      <c r="E33">
        <v>1</v>
      </c>
      <c r="F33">
        <v>1</v>
      </c>
      <c r="G33">
        <v>1</v>
      </c>
      <c r="H33" t="s">
        <v>141</v>
      </c>
    </row>
    <row r="34" spans="2:8">
      <c r="B34" t="s">
        <v>200</v>
      </c>
      <c r="C34" t="s">
        <v>26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191</v>
      </c>
    </row>
    <row r="35" spans="2:8">
      <c r="B35" t="s">
        <v>200</v>
      </c>
      <c r="C35" t="s">
        <v>26</v>
      </c>
      <c r="D35" t="s">
        <v>19</v>
      </c>
      <c r="E35">
        <v>2650</v>
      </c>
      <c r="F35">
        <v>2650</v>
      </c>
      <c r="G35">
        <v>2650</v>
      </c>
      <c r="H35" t="s">
        <v>192</v>
      </c>
    </row>
    <row r="36" spans="2:8">
      <c r="B36" t="s">
        <v>200</v>
      </c>
      <c r="C36" t="s">
        <v>26</v>
      </c>
      <c r="D36" t="s">
        <v>19</v>
      </c>
      <c r="E36">
        <v>65</v>
      </c>
      <c r="F36">
        <v>65</v>
      </c>
      <c r="G36">
        <v>65</v>
      </c>
      <c r="H36" t="s">
        <v>193</v>
      </c>
    </row>
    <row r="37" spans="2:8">
      <c r="B37" t="s">
        <v>200</v>
      </c>
      <c r="C37" t="s">
        <v>26</v>
      </c>
      <c r="D37" t="s">
        <v>19</v>
      </c>
      <c r="E37">
        <v>4</v>
      </c>
      <c r="F37">
        <v>4</v>
      </c>
      <c r="G37">
        <v>4</v>
      </c>
      <c r="H37" t="s">
        <v>194</v>
      </c>
    </row>
    <row r="38" spans="2:8">
      <c r="B38" t="s">
        <v>201</v>
      </c>
      <c r="C38" t="s">
        <v>31</v>
      </c>
      <c r="D38" t="s">
        <v>19</v>
      </c>
      <c r="E38">
        <v>0.45</v>
      </c>
      <c r="F38">
        <v>0.47000000000000003</v>
      </c>
      <c r="G38">
        <v>0.5</v>
      </c>
      <c r="H38" t="s">
        <v>141</v>
      </c>
    </row>
    <row r="39" spans="2:8">
      <c r="B39" t="s">
        <v>201</v>
      </c>
      <c r="C39" t="s">
        <v>31</v>
      </c>
      <c r="D39" t="s">
        <v>19</v>
      </c>
      <c r="E39">
        <v>2500</v>
      </c>
      <c r="F39">
        <v>2350</v>
      </c>
      <c r="G39">
        <v>2300</v>
      </c>
      <c r="H39" t="s">
        <v>192</v>
      </c>
    </row>
    <row r="40" spans="2:8">
      <c r="B40" t="s">
        <v>201</v>
      </c>
      <c r="C40" t="s">
        <v>31</v>
      </c>
      <c r="D40" t="s">
        <v>19</v>
      </c>
      <c r="E40">
        <v>95</v>
      </c>
      <c r="F40">
        <v>85</v>
      </c>
      <c r="G40">
        <v>80</v>
      </c>
      <c r="H40" t="s">
        <v>193</v>
      </c>
    </row>
    <row r="41" spans="2:8">
      <c r="B41" t="s">
        <v>202</v>
      </c>
      <c r="C41" t="s">
        <v>30</v>
      </c>
      <c r="D41" t="s">
        <v>19</v>
      </c>
      <c r="E41">
        <v>0.36</v>
      </c>
      <c r="F41">
        <v>0.38</v>
      </c>
      <c r="G41">
        <v>0.43</v>
      </c>
      <c r="H41" t="s">
        <v>141</v>
      </c>
    </row>
    <row r="42" spans="2:8">
      <c r="B42" t="s">
        <v>202</v>
      </c>
      <c r="C42" t="s">
        <v>30</v>
      </c>
      <c r="D42" t="s">
        <v>19</v>
      </c>
      <c r="E42">
        <v>5850</v>
      </c>
      <c r="F42">
        <v>5700</v>
      </c>
      <c r="G42">
        <v>5100</v>
      </c>
      <c r="H42" t="s">
        <v>192</v>
      </c>
    </row>
    <row r="43" spans="2:8">
      <c r="B43" t="s">
        <v>202</v>
      </c>
      <c r="C43" t="s">
        <v>30</v>
      </c>
      <c r="D43" t="s">
        <v>19</v>
      </c>
      <c r="E43">
        <v>205</v>
      </c>
      <c r="F43">
        <v>200</v>
      </c>
      <c r="G43">
        <v>180</v>
      </c>
      <c r="H43" t="s">
        <v>193</v>
      </c>
    </row>
    <row r="44" spans="2:8">
      <c r="B44" t="s">
        <v>203</v>
      </c>
      <c r="C44" t="s">
        <v>34</v>
      </c>
      <c r="D44" t="s">
        <v>19</v>
      </c>
      <c r="E44">
        <v>0.33</v>
      </c>
      <c r="F44">
        <v>0.33</v>
      </c>
      <c r="G44">
        <v>0.33</v>
      </c>
      <c r="H44" t="s">
        <v>141</v>
      </c>
    </row>
    <row r="45" spans="2:8">
      <c r="B45" t="s">
        <v>203</v>
      </c>
      <c r="C45" t="s">
        <v>34</v>
      </c>
      <c r="D45" t="s">
        <v>19</v>
      </c>
      <c r="E45">
        <v>6600</v>
      </c>
      <c r="F45">
        <v>5100</v>
      </c>
      <c r="G45">
        <v>4500</v>
      </c>
      <c r="H45" t="s">
        <v>192</v>
      </c>
    </row>
    <row r="46" spans="2:8">
      <c r="B46" t="s">
        <v>203</v>
      </c>
      <c r="C46" t="s">
        <v>34</v>
      </c>
      <c r="D46" t="s">
        <v>19</v>
      </c>
      <c r="E46">
        <v>165</v>
      </c>
      <c r="F46">
        <v>165</v>
      </c>
      <c r="G46">
        <v>160</v>
      </c>
      <c r="H46" t="s">
        <v>193</v>
      </c>
    </row>
    <row r="47" spans="2:8">
      <c r="B47" t="s">
        <v>203</v>
      </c>
      <c r="C47" t="s">
        <v>34</v>
      </c>
      <c r="D47" t="s">
        <v>19</v>
      </c>
      <c r="E47">
        <v>10</v>
      </c>
      <c r="F47">
        <v>8</v>
      </c>
      <c r="G47">
        <v>8</v>
      </c>
      <c r="H47" t="s">
        <v>194</v>
      </c>
    </row>
    <row r="48" spans="2:8">
      <c r="B48" t="s">
        <v>204</v>
      </c>
      <c r="C48" t="s">
        <v>30</v>
      </c>
      <c r="D48" t="s">
        <v>19</v>
      </c>
      <c r="E48">
        <v>0.37</v>
      </c>
      <c r="F48">
        <v>0.38</v>
      </c>
      <c r="G48">
        <v>0.39</v>
      </c>
      <c r="H48" t="s">
        <v>141</v>
      </c>
    </row>
    <row r="49" spans="2:8">
      <c r="B49" t="s">
        <v>204</v>
      </c>
      <c r="C49" t="s">
        <v>30</v>
      </c>
      <c r="D49" t="s">
        <v>19</v>
      </c>
      <c r="E49">
        <v>5700</v>
      </c>
      <c r="F49">
        <v>5700</v>
      </c>
      <c r="G49">
        <v>5100</v>
      </c>
      <c r="H49" t="s">
        <v>192</v>
      </c>
    </row>
    <row r="50" spans="2:8">
      <c r="B50" t="s">
        <v>204</v>
      </c>
      <c r="C50" t="s">
        <v>30</v>
      </c>
      <c r="D50" t="s">
        <v>19</v>
      </c>
      <c r="E50">
        <v>170</v>
      </c>
      <c r="F50">
        <v>170</v>
      </c>
      <c r="G50">
        <v>155</v>
      </c>
      <c r="H50" t="s">
        <v>193</v>
      </c>
    </row>
    <row r="51" spans="2:8">
      <c r="B51" t="s">
        <v>205</v>
      </c>
      <c r="C51" t="s">
        <v>25</v>
      </c>
      <c r="D51" t="s">
        <v>19</v>
      </c>
      <c r="E51">
        <v>1</v>
      </c>
      <c r="F51">
        <v>1</v>
      </c>
      <c r="G51">
        <v>1</v>
      </c>
      <c r="H51" t="s">
        <v>141</v>
      </c>
    </row>
    <row r="52" spans="2:8">
      <c r="B52" t="s">
        <v>205</v>
      </c>
      <c r="C52" t="s">
        <v>25</v>
      </c>
      <c r="D52" t="s">
        <v>19</v>
      </c>
      <c r="E52">
        <v>0.14000000000000001</v>
      </c>
      <c r="F52">
        <v>0.14000000000000001</v>
      </c>
      <c r="G52">
        <v>0.14000000000000001</v>
      </c>
      <c r="H52" t="s">
        <v>191</v>
      </c>
    </row>
    <row r="53" spans="2:8">
      <c r="B53" t="s">
        <v>205</v>
      </c>
      <c r="C53" t="s">
        <v>25</v>
      </c>
      <c r="D53" t="s">
        <v>19</v>
      </c>
      <c r="E53">
        <v>750</v>
      </c>
      <c r="F53">
        <v>480</v>
      </c>
      <c r="G53">
        <v>340</v>
      </c>
      <c r="H53" t="s">
        <v>192</v>
      </c>
    </row>
    <row r="54" spans="2:8">
      <c r="B54" t="s">
        <v>205</v>
      </c>
      <c r="C54" t="s">
        <v>25</v>
      </c>
      <c r="D54" t="s">
        <v>19</v>
      </c>
      <c r="E54">
        <v>12</v>
      </c>
      <c r="F54">
        <v>10</v>
      </c>
      <c r="G54">
        <v>10</v>
      </c>
      <c r="H54" t="s">
        <v>193</v>
      </c>
    </row>
    <row r="55" spans="2:8">
      <c r="B55" t="s">
        <v>205</v>
      </c>
      <c r="C55" t="s">
        <v>25</v>
      </c>
      <c r="D55" t="s">
        <v>19</v>
      </c>
      <c r="E55">
        <v>1.5</v>
      </c>
      <c r="F55">
        <v>1.5</v>
      </c>
      <c r="G55">
        <v>1.5</v>
      </c>
      <c r="H55" t="s">
        <v>194</v>
      </c>
    </row>
    <row r="56" spans="2:8">
      <c r="B56" t="s">
        <v>206</v>
      </c>
      <c r="C56" t="s">
        <v>30</v>
      </c>
      <c r="D56" t="s">
        <v>19</v>
      </c>
      <c r="E56">
        <v>0.39</v>
      </c>
      <c r="F56">
        <v>0.39</v>
      </c>
      <c r="G56">
        <v>0.39</v>
      </c>
      <c r="H56" t="s">
        <v>141</v>
      </c>
    </row>
    <row r="57" spans="2:8">
      <c r="B57" t="s">
        <v>206</v>
      </c>
      <c r="C57" t="s">
        <v>30</v>
      </c>
      <c r="D57" t="s">
        <v>19</v>
      </c>
      <c r="E57">
        <v>1700</v>
      </c>
      <c r="F57">
        <v>1700</v>
      </c>
      <c r="G57">
        <v>1700</v>
      </c>
      <c r="H57" t="s">
        <v>192</v>
      </c>
    </row>
    <row r="58" spans="2:8">
      <c r="B58" t="s">
        <v>206</v>
      </c>
      <c r="C58" t="s">
        <v>30</v>
      </c>
      <c r="D58" t="s">
        <v>19</v>
      </c>
      <c r="E58">
        <v>45</v>
      </c>
      <c r="F58">
        <v>45</v>
      </c>
      <c r="G58">
        <v>45</v>
      </c>
      <c r="H58" t="s">
        <v>193</v>
      </c>
    </row>
    <row r="59" spans="2:8">
      <c r="B59" t="s">
        <v>207</v>
      </c>
      <c r="C59" t="s">
        <v>30</v>
      </c>
      <c r="D59" t="s">
        <v>19</v>
      </c>
      <c r="E59">
        <v>0.43</v>
      </c>
      <c r="F59">
        <v>0.43</v>
      </c>
      <c r="G59">
        <v>0.43</v>
      </c>
      <c r="H59" t="s">
        <v>141</v>
      </c>
    </row>
    <row r="60" spans="2:8">
      <c r="B60" t="s">
        <v>207</v>
      </c>
      <c r="C60" t="s">
        <v>30</v>
      </c>
      <c r="D60" t="s">
        <v>19</v>
      </c>
      <c r="E60">
        <v>2000</v>
      </c>
      <c r="F60">
        <v>2000</v>
      </c>
      <c r="G60">
        <v>2000</v>
      </c>
      <c r="H60" t="s">
        <v>192</v>
      </c>
    </row>
    <row r="61" spans="2:8">
      <c r="B61" t="s">
        <v>207</v>
      </c>
      <c r="C61" t="s">
        <v>30</v>
      </c>
      <c r="D61" t="s">
        <v>19</v>
      </c>
      <c r="E61">
        <v>60</v>
      </c>
      <c r="F61">
        <v>60</v>
      </c>
      <c r="G61">
        <v>60</v>
      </c>
      <c r="H61" t="s">
        <v>193</v>
      </c>
    </row>
    <row r="62" spans="2:8">
      <c r="B62" t="s">
        <v>208</v>
      </c>
      <c r="C62" t="s">
        <v>30</v>
      </c>
      <c r="D62" t="s">
        <v>19</v>
      </c>
      <c r="E62">
        <v>0.46</v>
      </c>
      <c r="F62">
        <v>0.46</v>
      </c>
      <c r="G62">
        <v>0.48</v>
      </c>
      <c r="H62" t="s">
        <v>141</v>
      </c>
    </row>
    <row r="63" spans="2:8">
      <c r="B63" t="s">
        <v>208</v>
      </c>
      <c r="C63" t="s">
        <v>30</v>
      </c>
      <c r="D63" t="s">
        <v>19</v>
      </c>
      <c r="E63">
        <v>2200</v>
      </c>
      <c r="F63">
        <v>2200</v>
      </c>
      <c r="G63">
        <v>2200</v>
      </c>
      <c r="H63" t="s">
        <v>192</v>
      </c>
    </row>
    <row r="64" spans="2:8">
      <c r="B64" t="s">
        <v>208</v>
      </c>
      <c r="C64" t="s">
        <v>30</v>
      </c>
      <c r="D64" t="s">
        <v>19</v>
      </c>
      <c r="E64">
        <v>65</v>
      </c>
      <c r="F64">
        <v>65</v>
      </c>
      <c r="G64">
        <v>65</v>
      </c>
      <c r="H64" t="s">
        <v>193</v>
      </c>
    </row>
    <row r="65" spans="2:8">
      <c r="B65" t="s">
        <v>209</v>
      </c>
      <c r="C65" t="s">
        <v>210</v>
      </c>
      <c r="D65" t="s">
        <v>19</v>
      </c>
      <c r="E65">
        <v>1</v>
      </c>
      <c r="F65">
        <v>1</v>
      </c>
      <c r="G65">
        <v>1</v>
      </c>
      <c r="H65" t="s">
        <v>141</v>
      </c>
    </row>
    <row r="66" spans="2:8">
      <c r="B66" t="s">
        <v>209</v>
      </c>
      <c r="C66" t="s">
        <v>210</v>
      </c>
      <c r="D66" t="s">
        <v>19</v>
      </c>
      <c r="E66">
        <v>0.5</v>
      </c>
      <c r="F66">
        <v>0.55000000000000004</v>
      </c>
      <c r="G66">
        <v>0.56000000000000005</v>
      </c>
      <c r="H66" t="s">
        <v>191</v>
      </c>
    </row>
    <row r="67" spans="2:8">
      <c r="B67" t="s">
        <v>209</v>
      </c>
      <c r="C67" t="s">
        <v>210</v>
      </c>
      <c r="D67" t="s">
        <v>19</v>
      </c>
      <c r="E67">
        <v>3120</v>
      </c>
      <c r="F67">
        <v>2280</v>
      </c>
      <c r="G67">
        <v>1660</v>
      </c>
      <c r="H67" t="s">
        <v>192</v>
      </c>
    </row>
    <row r="68" spans="2:8">
      <c r="B68" t="s">
        <v>209</v>
      </c>
      <c r="C68" t="s">
        <v>210</v>
      </c>
      <c r="D68" t="s">
        <v>19</v>
      </c>
      <c r="E68">
        <v>60</v>
      </c>
      <c r="F68">
        <v>50</v>
      </c>
      <c r="G68">
        <v>40</v>
      </c>
      <c r="H68" t="s">
        <v>193</v>
      </c>
    </row>
    <row r="69" spans="2:8">
      <c r="B69" t="s">
        <v>209</v>
      </c>
      <c r="C69" t="s">
        <v>210</v>
      </c>
      <c r="D69" t="s">
        <v>19</v>
      </c>
      <c r="E69">
        <v>10</v>
      </c>
      <c r="F69">
        <v>7</v>
      </c>
      <c r="G69">
        <v>5</v>
      </c>
      <c r="H69" t="s">
        <v>194</v>
      </c>
    </row>
    <row r="70" spans="2:8">
      <c r="B70" t="s">
        <v>211</v>
      </c>
      <c r="C70" t="s">
        <v>210</v>
      </c>
      <c r="D70" t="s">
        <v>19</v>
      </c>
      <c r="E70">
        <v>1</v>
      </c>
      <c r="F70">
        <v>1</v>
      </c>
      <c r="G70">
        <v>1</v>
      </c>
      <c r="H70" t="s">
        <v>141</v>
      </c>
    </row>
    <row r="71" spans="2:8">
      <c r="B71" t="s">
        <v>211</v>
      </c>
      <c r="C71" t="s">
        <v>210</v>
      </c>
      <c r="D71" t="s">
        <v>19</v>
      </c>
      <c r="E71">
        <v>0.28999999999999998</v>
      </c>
      <c r="F71">
        <v>0.3</v>
      </c>
      <c r="G71">
        <v>0.3</v>
      </c>
      <c r="H71" t="s">
        <v>191</v>
      </c>
    </row>
    <row r="72" spans="2:8">
      <c r="B72" t="s">
        <v>211</v>
      </c>
      <c r="C72" t="s">
        <v>210</v>
      </c>
      <c r="D72" t="s">
        <v>19</v>
      </c>
      <c r="E72">
        <v>1630</v>
      </c>
      <c r="F72">
        <v>1550</v>
      </c>
      <c r="G72">
        <v>1490</v>
      </c>
      <c r="H72" t="s">
        <v>192</v>
      </c>
    </row>
    <row r="73" spans="2:8">
      <c r="B73" t="s">
        <v>211</v>
      </c>
      <c r="C73" t="s">
        <v>210</v>
      </c>
      <c r="D73" t="s">
        <v>19</v>
      </c>
      <c r="E73">
        <v>42</v>
      </c>
      <c r="F73">
        <v>40</v>
      </c>
      <c r="G73">
        <v>38</v>
      </c>
      <c r="H73" t="s">
        <v>193</v>
      </c>
    </row>
    <row r="74" spans="2:8">
      <c r="B74" t="s">
        <v>211</v>
      </c>
      <c r="C74" t="s">
        <v>210</v>
      </c>
      <c r="D74" t="s">
        <v>19</v>
      </c>
      <c r="E74">
        <v>1.5</v>
      </c>
      <c r="F74">
        <v>1.5</v>
      </c>
      <c r="G74">
        <v>1.5</v>
      </c>
      <c r="H74" t="s">
        <v>194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Kristopher Raik</cp:lastModifiedBy>
  <cp:lastPrinted>2019-05-06T14:41:57Z</cp:lastPrinted>
  <dcterms:created xsi:type="dcterms:W3CDTF">2016-08-02T11:07:23Z</dcterms:created>
  <dcterms:modified xsi:type="dcterms:W3CDTF">2026-03-18T14:16:13Z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