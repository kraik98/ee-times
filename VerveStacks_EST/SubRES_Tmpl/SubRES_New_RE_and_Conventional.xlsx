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6F3B148A-1BD1-4C03-9F67-C6D0F0DA57F6}" xr6:coauthVersionLast="47" xr6:coauthVersionMax="47" xr10:uidLastSave="{00000000-0000-0000-0000-000000000000}"/>
  <bookViews>
    <workbookView xWindow="-38520" yWindow="-5220" windowWidth="38640" windowHeight="21120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" i="7" l="1"/>
  <c r="O16" i="7"/>
  <c r="O17" i="7"/>
  <c r="O11" i="7"/>
  <c r="O12" i="7"/>
  <c r="O14" i="7"/>
  <c r="O13" i="9"/>
  <c r="L5" i="10"/>
  <c r="J15" i="7" l="1"/>
  <c r="N26" i="12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N13" i="9"/>
  <c r="U11" i="9"/>
  <c r="N11" i="9"/>
  <c r="V10" i="9"/>
  <c r="N10" i="9"/>
  <c r="T9" i="9"/>
  <c r="S9" i="9"/>
  <c r="R9" i="9"/>
  <c r="Q9" i="9"/>
  <c r="P9" i="9"/>
  <c r="O9" i="9"/>
  <c r="N9" i="9"/>
  <c r="J8" i="7"/>
  <c r="J6" i="7"/>
  <c r="J5" i="7"/>
  <c r="J4" i="7"/>
</calcChain>
</file>

<file path=xl/sharedStrings.xml><?xml version="1.0" encoding="utf-8"?>
<sst xmlns="http://schemas.openxmlformats.org/spreadsheetml/2006/main" count="1001" uniqueCount="295">
  <si>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</si>
  <si>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</si>
  <si>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</si>
  <si>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</si>
  <si>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</si>
  <si>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</si>
  <si>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</si>
  <si>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</si>
  <si>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</si>
  <si>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</si>
  <si>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</si>
  <si>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</si>
  <si>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</si>
  <si>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</si>
  <si>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</si>
  <si>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</si>
  <si>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</si>
  <si>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</si>
  <si>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</si>
  <si>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</si>
  <si>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</si>
  <si>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</si>
  <si>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</si>
  <si>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</si>
  <si>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</si>
  <si>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</si>
  <si>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</si>
  <si>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</si>
  <si>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</si>
  <si>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</si>
  <si>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</si>
  <si>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</si>
  <si>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</si>
  <si>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</si>
  <si>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</si>
  <si>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</si>
  <si>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</si>
  <si>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</si>
  <si>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</si>
  <si>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</si>
  <si>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</si>
  <si>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</si>
  <si>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</si>
  <si>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</si>
  <si>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</si>
  <si>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</si>
  <si>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</si>
  <si>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</si>
  <si>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</si>
  <si>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</si>
  <si>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</si>
  <si>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</si>
  <si>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</si>
  <si>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</si>
  <si>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</si>
  <si>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</si>
  <si>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</si>
  <si>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</si>
  <si>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</si>
  <si>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</si>
  <si>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</si>
  <si>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</si>
  <si>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</si>
  <si>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</si>
  <si>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</si>
  <si>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</si>
  <si>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</si>
  <si>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</si>
  <si>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</si>
  <si>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</si>
  <si>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</si>
  <si>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</si>
  <si>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</si>
  <si>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</si>
  <si>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</si>
  <si>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</si>
  <si>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</si>
  <si>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</si>
  <si>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</si>
  <si>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</si>
  <si>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</si>
  <si>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</si>
  <si>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</si>
  <si>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</si>
  <si>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</si>
  <si>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</si>
  <si>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</si>
  <si>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</si>
  <si>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</si>
  <si>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</si>
  <si>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</si>
  <si>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</si>
  <si>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</si>
  <si>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</si>
  <si>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</si>
  <si>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</si>
  <si>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</si>
  <si>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</si>
  <si>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</si>
  <si>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</si>
  <si>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</si>
  <si>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</si>
  <si>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</si>
  <si>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</si>
  <si>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</si>
  <si>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</si>
  <si>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</si>
  <si>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</si>
  <si>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</si>
  <si>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</si>
  <si>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</si>
  <si>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</si>
  <si>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</si>
  <si>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</si>
  <si>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</si>
  <si>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</si>
  <si>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</si>
  <si>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</si>
  <si>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</si>
  <si>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</si>
  <si>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</si>
  <si>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</si>
  <si>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</si>
  <si>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</si>
  <si>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</si>
  <si>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</si>
  <si>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</si>
  <si>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</si>
  <si>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</si>
  <si>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</si>
  <si>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</si>
  <si>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</si>
  <si>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</si>
  <si>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</si>
  <si>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</si>
  <si>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</si>
  <si>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</si>
  <si>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</si>
  <si>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</si>
  <si>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</si>
  <si>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</si>
  <si>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</si>
  <si>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</si>
  <si>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</si>
  <si>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</si>
  <si>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</si>
  <si>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</si>
  <si>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</si>
  <si>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</si>
  <si>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</si>
  <si>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</si>
  <si>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</si>
  <si>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</si>
  <si>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</si>
  <si>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</si>
  <si>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</si>
  <si>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</si>
  <si>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</si>
  <si>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</si>
  <si>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</si>
  <si>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</si>
  <si>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</si>
  <si>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</si>
  <si>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</si>
  <si>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</si>
  <si>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</si>
  <si>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</si>
  <si>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</si>
  <si>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</si>
  <si>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</si>
  <si>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</si>
  <si>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</si>
  <si>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</si>
  <si>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</si>
  <si>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</si>
  <si>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</si>
  <si>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</si>
  <si>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</si>
  <si>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</si>
  <si>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</si>
  <si>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</si>
  <si>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</si>
  <si>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</si>
  <si>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</si>
  <si>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</si>
  <si>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</si>
  <si>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</si>
  <si>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</si>
  <si>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</si>
  <si>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</si>
  <si>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</si>
  <si>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</si>
  <si>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</si>
  <si>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</si>
  <si>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</si>
  <si>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</si>
  <si>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</si>
  <si>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</si>
  <si>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</si>
  <si>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</si>
  <si>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</si>
  <si>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</si>
  <si>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</si>
  <si>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</si>
  <si>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</si>
  <si>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</si>
  <si>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</si>
  <si>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</si>
  <si>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</si>
  <si>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</si>
  <si>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</si>
  <si>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</si>
  <si>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</si>
  <si>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</si>
  <si>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</si>
  <si>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</si>
  <si>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</si>
  <si>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</si>
  <si>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</si>
  <si>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</si>
  <si>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</si>
  <si>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</si>
  <si>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</si>
  <si>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</si>
  <si>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</si>
  <si>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</si>
  <si>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</si>
  <si>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</si>
  <si>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</si>
  <si>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</si>
  <si>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</si>
  <si>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</si>
  <si>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</si>
  <si>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</si>
  <si>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</si>
  <si>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</si>
  <si>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</si>
  <si>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</si>
  <si>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</si>
  <si>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</si>
  <si>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</si>
  <si>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</si>
  <si>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</si>
  <si>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</si>
  <si>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</si>
  <si>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</si>
  <si>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</si>
  <si>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</si>
  <si>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</si>
  <si>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</si>
  <si>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</si>
  <si>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</si>
  <si>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</si>
  <si>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</si>
  <si>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</si>
  <si>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</si>
  <si>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</si>
  <si>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</si>
  <si>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</si>
  <si>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</si>
  <si>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</si>
  <si>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</si>
  <si>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</si>
  <si>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</si>
  <si>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</si>
  <si>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</si>
  <si>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</si>
  <si>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</si>
  <si>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</si>
  <si>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</si>
  <si>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</si>
  <si>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</si>
  <si>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</si>
  <si>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</si>
  <si>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</si>
  <si>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</si>
  <si>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</si>
  <si>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</si>
  <si>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</si>
  <si>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</si>
  <si>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</si>
  <si>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</si>
  <si>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</si>
  <si>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</si>
  <si>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</si>
  <si>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</si>
  <si>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</si>
  <si>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</si>
  <si>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</si>
  <si>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Old values</t>
  </si>
  <si>
    <t>FI_Process</t>
  </si>
  <si>
    <t>FI_T: EUR15</t>
  </si>
  <si>
    <t>FI_T: FX</t>
  </si>
  <si>
    <t>FI_Comm</t>
  </si>
  <si>
    <t>FI_T: USD21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</si>
</sst>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tabSelected="1" zoomScale="80" workbookViewId="0">
      <selection activeCell="U25" sqref="U25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.85546875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288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ref="O9:O17" si="0"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f t="shared" si="0"/>
        <v>0.36000000000000004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topLeftCell="G1" workbookViewId="0">
      <selection activeCell="R39" sqref="R39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36.140625" bestFit="1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11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293</v>
      </c>
      <c r="C2" s="3"/>
      <c r="D2" s="3"/>
      <c r="E2" s="3"/>
      <c r="F2" s="3"/>
      <c r="G2" s="3"/>
      <c r="H2" s="3"/>
      <c r="I2" s="3"/>
    </row>
    <row r="3" spans="2:23">
      <c r="B3" s="3" t="s">
        <v>36</v>
      </c>
      <c r="C3" s="3" t="s">
        <v>37</v>
      </c>
      <c r="D3" s="3" t="s">
        <v>38</v>
      </c>
      <c r="E3" s="3" t="s">
        <v>23</v>
      </c>
      <c r="F3" s="3" t="s">
        <v>39</v>
      </c>
      <c r="G3" s="3" t="s">
        <v>40</v>
      </c>
      <c r="H3" s="3" t="s">
        <v>41</v>
      </c>
      <c r="I3" s="3" t="s">
        <v>42</v>
      </c>
    </row>
    <row r="4" spans="2:23">
      <c r="B4" s="3" t="s">
        <v>43</v>
      </c>
      <c r="C4" s="3" t="s">
        <v>44</v>
      </c>
      <c r="D4" s="3" t="s">
        <v>45</v>
      </c>
      <c r="E4" s="3" t="s">
        <v>46</v>
      </c>
      <c r="F4" s="3"/>
      <c r="G4" s="5" t="s">
        <v>14</v>
      </c>
      <c r="H4" s="3"/>
      <c r="I4" s="3"/>
    </row>
    <row r="5" spans="2:23">
      <c r="C5" s="3" t="s">
        <v>47</v>
      </c>
      <c r="D5" s="3" t="s">
        <v>48</v>
      </c>
      <c r="E5" s="3" t="s">
        <v>46</v>
      </c>
      <c r="F5" s="3"/>
      <c r="G5" s="5" t="s">
        <v>14</v>
      </c>
    </row>
    <row r="8" spans="2:23">
      <c r="B8" s="5" t="s">
        <v>290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294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49</v>
      </c>
      <c r="F9" s="5" t="s">
        <v>50</v>
      </c>
      <c r="G9" s="5" t="s">
        <v>11</v>
      </c>
      <c r="H9" s="6"/>
      <c r="I9" s="6" t="s">
        <v>1</v>
      </c>
      <c r="J9" s="6" t="s">
        <v>51</v>
      </c>
      <c r="K9" s="6" t="s">
        <v>52</v>
      </c>
      <c r="L9" s="6" t="s">
        <v>22</v>
      </c>
      <c r="M9" s="7" t="s">
        <v>53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54</v>
      </c>
      <c r="W9" t="s">
        <v>55</v>
      </c>
    </row>
    <row r="10" spans="2:23">
      <c r="B10" s="5" t="s">
        <v>56</v>
      </c>
      <c r="C10" s="5" t="s">
        <v>57</v>
      </c>
      <c r="D10" s="8" t="s">
        <v>58</v>
      </c>
      <c r="E10" s="5" t="s">
        <v>46</v>
      </c>
      <c r="F10" s="5" t="s">
        <v>10</v>
      </c>
      <c r="G10" s="5" t="s">
        <v>14</v>
      </c>
      <c r="H10" s="6"/>
      <c r="I10" s="6" t="s">
        <v>59</v>
      </c>
      <c r="J10" s="6" t="s">
        <v>60</v>
      </c>
      <c r="K10" s="3" t="s">
        <v>47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59</v>
      </c>
      <c r="D11" s="7" t="s">
        <v>61</v>
      </c>
      <c r="E11" s="5" t="s">
        <v>46</v>
      </c>
      <c r="F11" s="5" t="s">
        <v>10</v>
      </c>
      <c r="G11" s="5" t="s">
        <v>14</v>
      </c>
      <c r="H11" s="6"/>
      <c r="I11" s="6" t="s">
        <v>59</v>
      </c>
      <c r="J11" s="6" t="s">
        <v>62</v>
      </c>
      <c r="K11" s="6" t="s">
        <v>63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59</v>
      </c>
      <c r="J12" s="6" t="s">
        <v>62</v>
      </c>
      <c r="K12" s="6" t="s">
        <v>24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59</v>
      </c>
      <c r="J13" s="6" t="s">
        <v>64</v>
      </c>
      <c r="K13" s="6"/>
      <c r="L13" s="6"/>
      <c r="M13" s="7"/>
      <c r="N13" s="9">
        <f>J40</f>
        <v>1363</v>
      </c>
      <c r="O13" s="9">
        <f>K40</f>
        <v>956</v>
      </c>
      <c r="P13" s="9">
        <f t="shared" ref="P13:T13" si="1">L40</f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59</v>
      </c>
      <c r="J14" t="s">
        <v>65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59</v>
      </c>
      <c r="J15" t="s">
        <v>66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59</v>
      </c>
      <c r="J16" t="s">
        <v>67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59</v>
      </c>
      <c r="J17" t="s">
        <v>68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57</v>
      </c>
      <c r="J18" t="s">
        <v>60</v>
      </c>
      <c r="K18" s="3" t="s">
        <v>47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57</v>
      </c>
      <c r="J19" t="s">
        <v>62</v>
      </c>
      <c r="K19" t="s">
        <v>63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57</v>
      </c>
      <c r="J20" t="s">
        <v>62</v>
      </c>
      <c r="K20" t="s">
        <v>24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57</v>
      </c>
      <c r="J21" t="s">
        <v>64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57</v>
      </c>
      <c r="J22" t="s">
        <v>65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57</v>
      </c>
      <c r="J23" t="s">
        <v>66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57</v>
      </c>
      <c r="J24" t="s">
        <v>67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57</v>
      </c>
      <c r="J25" t="s">
        <v>68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69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70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71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72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73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74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75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76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77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74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75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76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78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73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74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75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76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77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74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75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76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79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80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81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topLeftCell="K1"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292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290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291</v>
      </c>
      <c r="T26" s="143" t="s">
        <v>290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N32"/>
  <sheetViews>
    <sheetView topLeftCell="A6" workbookViewId="0">
      <selection activeCell="Q17" sqref="Q17"/>
    </sheetView>
  </sheetViews>
  <sheetFormatPr defaultRowHeight="15"/>
  <cols>
    <col min="10" max="10" width="9.5703125" bestFit="1" customWidth="1"/>
    <col min="11" max="11" width="10.85546875" bestFit="1" customWidth="1"/>
    <col min="12" max="12" width="11.85546875" bestFit="1" customWidth="1"/>
  </cols>
  <sheetData>
    <row r="9" spans="2:13">
      <c r="B9" t="s">
        <v>158</v>
      </c>
      <c r="J9" t="s">
        <v>189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</row>
    <row r="11" spans="2:13">
      <c r="B11" t="s">
        <v>166</v>
      </c>
      <c r="C11" t="s">
        <v>167</v>
      </c>
      <c r="D11" t="s">
        <v>168</v>
      </c>
      <c r="E11" t="s">
        <v>10</v>
      </c>
      <c r="F11" t="s">
        <v>21</v>
      </c>
      <c r="G11" t="s">
        <v>169</v>
      </c>
      <c r="H11" t="s">
        <v>170</v>
      </c>
      <c r="J11" t="s">
        <v>167</v>
      </c>
      <c r="K11" t="s">
        <v>193</v>
      </c>
      <c r="L11">
        <v>0.05</v>
      </c>
      <c r="M11">
        <v>0.1461854238754417</v>
      </c>
    </row>
    <row r="12" spans="2:13">
      <c r="B12" t="s">
        <v>166</v>
      </c>
      <c r="C12" t="s">
        <v>171</v>
      </c>
      <c r="D12" t="s">
        <v>172</v>
      </c>
      <c r="E12" t="s">
        <v>10</v>
      </c>
      <c r="F12" t="s">
        <v>21</v>
      </c>
      <c r="G12" t="s">
        <v>169</v>
      </c>
      <c r="H12" t="s">
        <v>170</v>
      </c>
      <c r="J12" t="s">
        <v>171</v>
      </c>
      <c r="K12" t="s">
        <v>194</v>
      </c>
      <c r="L12">
        <v>0.05</v>
      </c>
      <c r="M12">
        <v>0.14867925344692129</v>
      </c>
    </row>
    <row r="13" spans="2:13">
      <c r="B13" t="s">
        <v>166</v>
      </c>
      <c r="C13" t="s">
        <v>173</v>
      </c>
      <c r="D13" t="s">
        <v>174</v>
      </c>
      <c r="E13" t="s">
        <v>10</v>
      </c>
      <c r="F13" t="s">
        <v>21</v>
      </c>
      <c r="G13" t="s">
        <v>169</v>
      </c>
      <c r="H13" t="s">
        <v>170</v>
      </c>
      <c r="J13" t="s">
        <v>173</v>
      </c>
      <c r="K13" t="s">
        <v>195</v>
      </c>
      <c r="L13">
        <v>0.05</v>
      </c>
      <c r="M13">
        <v>0.14701259708091721</v>
      </c>
    </row>
    <row r="14" spans="2:13">
      <c r="B14" t="s">
        <v>166</v>
      </c>
      <c r="C14" t="s">
        <v>175</v>
      </c>
      <c r="D14" t="s">
        <v>176</v>
      </c>
      <c r="E14" t="s">
        <v>10</v>
      </c>
      <c r="F14" t="s">
        <v>21</v>
      </c>
      <c r="G14" t="s">
        <v>169</v>
      </c>
      <c r="H14" t="s">
        <v>170</v>
      </c>
      <c r="J14" t="s">
        <v>175</v>
      </c>
      <c r="K14" t="s">
        <v>196</v>
      </c>
      <c r="L14">
        <v>0.05</v>
      </c>
      <c r="M14">
        <v>0.15309859852159369</v>
      </c>
    </row>
    <row r="15" spans="2:13">
      <c r="B15" t="s">
        <v>166</v>
      </c>
      <c r="C15" t="s">
        <v>177</v>
      </c>
      <c r="D15" t="s">
        <v>178</v>
      </c>
      <c r="E15" t="s">
        <v>10</v>
      </c>
      <c r="F15" t="s">
        <v>21</v>
      </c>
      <c r="G15" t="s">
        <v>169</v>
      </c>
      <c r="H15" t="s">
        <v>170</v>
      </c>
      <c r="J15" t="s">
        <v>177</v>
      </c>
      <c r="K15" t="s">
        <v>197</v>
      </c>
      <c r="L15">
        <v>0.05</v>
      </c>
      <c r="M15">
        <v>0.15852072747262991</v>
      </c>
    </row>
    <row r="16" spans="2:13">
      <c r="B16" t="s">
        <v>166</v>
      </c>
      <c r="C16" t="s">
        <v>179</v>
      </c>
      <c r="D16" t="s">
        <v>180</v>
      </c>
      <c r="E16" t="s">
        <v>10</v>
      </c>
      <c r="F16" t="s">
        <v>21</v>
      </c>
      <c r="G16" t="s">
        <v>169</v>
      </c>
      <c r="H16" t="s">
        <v>170</v>
      </c>
      <c r="J16" t="s">
        <v>179</v>
      </c>
      <c r="K16" t="s">
        <v>198</v>
      </c>
      <c r="L16">
        <v>0.05</v>
      </c>
      <c r="M16">
        <v>0.1561956058597683</v>
      </c>
    </row>
    <row r="17" spans="2:14">
      <c r="B17" t="s">
        <v>166</v>
      </c>
      <c r="C17" t="s">
        <v>181</v>
      </c>
      <c r="D17" t="s">
        <v>182</v>
      </c>
      <c r="E17" t="s">
        <v>10</v>
      </c>
      <c r="F17" t="s">
        <v>21</v>
      </c>
      <c r="G17" t="s">
        <v>169</v>
      </c>
      <c r="H17" t="s">
        <v>170</v>
      </c>
      <c r="J17" t="s">
        <v>181</v>
      </c>
      <c r="K17" t="s">
        <v>199</v>
      </c>
      <c r="L17">
        <v>0.05</v>
      </c>
      <c r="M17">
        <v>0.14537310453496291</v>
      </c>
    </row>
    <row r="18" spans="2:14">
      <c r="B18" t="s">
        <v>166</v>
      </c>
      <c r="C18" t="s">
        <v>183</v>
      </c>
      <c r="D18" t="s">
        <v>184</v>
      </c>
      <c r="E18" t="s">
        <v>10</v>
      </c>
      <c r="F18" t="s">
        <v>21</v>
      </c>
      <c r="G18" t="s">
        <v>169</v>
      </c>
      <c r="H18" t="s">
        <v>170</v>
      </c>
      <c r="J18" t="s">
        <v>183</v>
      </c>
      <c r="K18" t="s">
        <v>200</v>
      </c>
      <c r="L18">
        <v>0.05</v>
      </c>
      <c r="M18">
        <v>0.1476387365568102</v>
      </c>
    </row>
    <row r="19" spans="2:14">
      <c r="B19" t="s">
        <v>166</v>
      </c>
      <c r="C19" t="s">
        <v>185</v>
      </c>
      <c r="D19" t="s">
        <v>186</v>
      </c>
      <c r="E19" t="s">
        <v>10</v>
      </c>
      <c r="F19" t="s">
        <v>21</v>
      </c>
      <c r="G19" t="s">
        <v>169</v>
      </c>
      <c r="H19" t="s">
        <v>170</v>
      </c>
      <c r="J19" t="s">
        <v>185</v>
      </c>
      <c r="K19" t="s">
        <v>201</v>
      </c>
      <c r="L19">
        <v>0.05</v>
      </c>
      <c r="M19">
        <v>0.1532628310027955</v>
      </c>
    </row>
    <row r="20" spans="2:14">
      <c r="B20" t="s">
        <v>166</v>
      </c>
      <c r="C20" t="s">
        <v>187</v>
      </c>
      <c r="D20" t="s">
        <v>188</v>
      </c>
      <c r="E20" t="s">
        <v>10</v>
      </c>
      <c r="F20" t="s">
        <v>21</v>
      </c>
      <c r="G20" t="s">
        <v>169</v>
      </c>
      <c r="H20" t="s">
        <v>170</v>
      </c>
      <c r="J20" t="s">
        <v>187</v>
      </c>
      <c r="K20" t="s">
        <v>202</v>
      </c>
      <c r="L20">
        <v>0.05</v>
      </c>
      <c r="M20">
        <v>0.1451997589052581</v>
      </c>
    </row>
    <row r="23" spans="2:14">
      <c r="L23">
        <v>0.57106272660134949</v>
      </c>
    </row>
    <row r="24" spans="2:14">
      <c r="L24">
        <v>0.14253972827972677</v>
      </c>
    </row>
    <row r="25" spans="2:14">
      <c r="L25">
        <v>0.39746641579927361</v>
      </c>
    </row>
    <row r="26" spans="2:14">
      <c r="L26">
        <v>0.52352435071333325</v>
      </c>
      <c r="N26">
        <f>SUM(L23:L32)</f>
        <v>2.8231996883216088</v>
      </c>
    </row>
    <row r="27" spans="2:14">
      <c r="L27">
        <v>5.1876061149469521E-2</v>
      </c>
    </row>
    <row r="28" spans="2:14">
      <c r="L28">
        <v>3.7934664956297569E-2</v>
      </c>
    </row>
    <row r="29" spans="2:14">
      <c r="L29">
        <v>0.30795950582429055</v>
      </c>
    </row>
    <row r="30" spans="2:14">
      <c r="L30">
        <v>0.40313702086988223</v>
      </c>
    </row>
    <row r="31" spans="2:14">
      <c r="L31">
        <v>0.13356706284547895</v>
      </c>
    </row>
    <row r="32" spans="2:14">
      <c r="L32">
        <v>0.25413215128250727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Z32"/>
  <sheetViews>
    <sheetView topLeftCell="D9" workbookViewId="0">
      <selection activeCell="U15" sqref="U15"/>
    </sheetView>
  </sheetViews>
  <sheetFormatPr defaultRowHeight="15"/>
  <cols>
    <col min="3" max="3" width="10.42578125" bestFit="1" customWidth="1"/>
    <col min="4" max="4" width="23.42578125" bestFit="1" customWidth="1"/>
    <col min="10" max="10" width="10.42578125" bestFit="1" customWidth="1"/>
    <col min="11" max="11" width="11.7109375" bestFit="1" customWidth="1"/>
    <col min="12" max="12" width="11.85546875" bestFit="1" customWidth="1"/>
    <col min="16" max="16" width="10.5703125" bestFit="1" customWidth="1"/>
    <col min="24" max="24" width="11.28515625" bestFit="1" customWidth="1"/>
  </cols>
  <sheetData>
    <row r="9" spans="2:26">
      <c r="B9" t="s">
        <v>158</v>
      </c>
      <c r="J9" t="s">
        <v>189</v>
      </c>
      <c r="O9" t="s">
        <v>158</v>
      </c>
      <c r="W9" t="s">
        <v>189</v>
      </c>
    </row>
    <row r="10" spans="2:26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190</v>
      </c>
      <c r="L10" t="s">
        <v>191</v>
      </c>
      <c r="M10" t="s">
        <v>192</v>
      </c>
      <c r="O10" t="s">
        <v>159</v>
      </c>
      <c r="P10" t="s">
        <v>160</v>
      </c>
      <c r="Q10" t="s">
        <v>161</v>
      </c>
      <c r="R10" t="s">
        <v>162</v>
      </c>
      <c r="S10" t="s">
        <v>163</v>
      </c>
      <c r="T10" t="s">
        <v>164</v>
      </c>
      <c r="U10" t="s">
        <v>165</v>
      </c>
      <c r="W10" t="s">
        <v>160</v>
      </c>
      <c r="X10" t="s">
        <v>190</v>
      </c>
      <c r="Y10" t="s">
        <v>191</v>
      </c>
      <c r="Z10" t="s">
        <v>192</v>
      </c>
    </row>
    <row r="11" spans="2:26">
      <c r="B11" t="s">
        <v>166</v>
      </c>
      <c r="C11" t="s">
        <v>203</v>
      </c>
      <c r="D11" t="s">
        <v>204</v>
      </c>
      <c r="E11" t="s">
        <v>10</v>
      </c>
      <c r="F11" t="s">
        <v>21</v>
      </c>
      <c r="G11" t="s">
        <v>169</v>
      </c>
      <c r="H11" t="s">
        <v>170</v>
      </c>
      <c r="J11" t="s">
        <v>203</v>
      </c>
      <c r="K11" t="s">
        <v>223</v>
      </c>
      <c r="L11">
        <v>0.09</v>
      </c>
      <c r="M11">
        <v>0.47763777043344691</v>
      </c>
      <c r="O11" t="s">
        <v>166</v>
      </c>
      <c r="P11" t="s">
        <v>233</v>
      </c>
      <c r="Q11" t="s">
        <v>234</v>
      </c>
      <c r="R11" t="s">
        <v>10</v>
      </c>
      <c r="S11" t="s">
        <v>21</v>
      </c>
      <c r="T11" t="s">
        <v>169</v>
      </c>
      <c r="U11" t="s">
        <v>170</v>
      </c>
      <c r="W11" t="s">
        <v>233</v>
      </c>
      <c r="X11" t="s">
        <v>253</v>
      </c>
      <c r="Y11">
        <v>10.905749999999999</v>
      </c>
      <c r="Z11">
        <v>0.2978238628360676</v>
      </c>
    </row>
    <row r="12" spans="2:26">
      <c r="B12" t="s">
        <v>166</v>
      </c>
      <c r="C12" t="s">
        <v>205</v>
      </c>
      <c r="D12" t="s">
        <v>206</v>
      </c>
      <c r="E12" t="s">
        <v>10</v>
      </c>
      <c r="F12" t="s">
        <v>21</v>
      </c>
      <c r="G12" t="s">
        <v>169</v>
      </c>
      <c r="H12" t="s">
        <v>170</v>
      </c>
      <c r="J12" t="s">
        <v>205</v>
      </c>
      <c r="K12" t="s">
        <v>224</v>
      </c>
      <c r="L12">
        <v>0.09</v>
      </c>
      <c r="M12">
        <v>0.42070052507616201</v>
      </c>
      <c r="O12" t="s">
        <v>166</v>
      </c>
      <c r="P12" t="s">
        <v>235</v>
      </c>
      <c r="Q12" t="s">
        <v>236</v>
      </c>
      <c r="R12" t="s">
        <v>10</v>
      </c>
      <c r="S12" t="s">
        <v>21</v>
      </c>
      <c r="T12" t="s">
        <v>169</v>
      </c>
      <c r="U12" t="s">
        <v>170</v>
      </c>
      <c r="W12" t="s">
        <v>235</v>
      </c>
      <c r="X12" t="s">
        <v>254</v>
      </c>
      <c r="Y12">
        <v>7.0004999999999997</v>
      </c>
      <c r="Z12">
        <v>0.37369451123150682</v>
      </c>
    </row>
    <row r="13" spans="2:26">
      <c r="B13" t="s">
        <v>166</v>
      </c>
      <c r="C13" t="s">
        <v>207</v>
      </c>
      <c r="D13" t="s">
        <v>208</v>
      </c>
      <c r="E13" t="s">
        <v>10</v>
      </c>
      <c r="F13" t="s">
        <v>21</v>
      </c>
      <c r="G13" t="s">
        <v>169</v>
      </c>
      <c r="H13" t="s">
        <v>170</v>
      </c>
      <c r="J13" t="s">
        <v>207</v>
      </c>
      <c r="K13" t="s">
        <v>225</v>
      </c>
      <c r="L13">
        <v>0.09</v>
      </c>
      <c r="M13">
        <v>0.47814004703314078</v>
      </c>
      <c r="O13" t="s">
        <v>166</v>
      </c>
      <c r="P13" t="s">
        <v>237</v>
      </c>
      <c r="Q13" t="s">
        <v>238</v>
      </c>
      <c r="R13" t="s">
        <v>10</v>
      </c>
      <c r="S13" t="s">
        <v>21</v>
      </c>
      <c r="T13" t="s">
        <v>169</v>
      </c>
      <c r="U13" t="s">
        <v>170</v>
      </c>
      <c r="W13" t="s">
        <v>237</v>
      </c>
      <c r="X13" t="s">
        <v>255</v>
      </c>
      <c r="Y13">
        <v>3.048</v>
      </c>
      <c r="Z13">
        <v>0.28750467069383828</v>
      </c>
    </row>
    <row r="14" spans="2:26">
      <c r="B14" t="s">
        <v>166</v>
      </c>
      <c r="C14" t="s">
        <v>209</v>
      </c>
      <c r="D14" t="s">
        <v>210</v>
      </c>
      <c r="E14" t="s">
        <v>10</v>
      </c>
      <c r="F14" t="s">
        <v>21</v>
      </c>
      <c r="G14" t="s">
        <v>169</v>
      </c>
      <c r="H14" t="s">
        <v>170</v>
      </c>
      <c r="J14" t="s">
        <v>209</v>
      </c>
      <c r="K14" t="s">
        <v>226</v>
      </c>
      <c r="L14">
        <v>0.09</v>
      </c>
      <c r="M14">
        <v>0.35024016362894311</v>
      </c>
      <c r="O14" t="s">
        <v>166</v>
      </c>
      <c r="P14" t="s">
        <v>239</v>
      </c>
      <c r="Q14" t="s">
        <v>240</v>
      </c>
      <c r="R14" t="s">
        <v>10</v>
      </c>
      <c r="S14" t="s">
        <v>21</v>
      </c>
      <c r="T14" t="s">
        <v>169</v>
      </c>
      <c r="U14" t="s">
        <v>170</v>
      </c>
      <c r="W14" t="s">
        <v>239</v>
      </c>
      <c r="X14" t="s">
        <v>256</v>
      </c>
      <c r="Y14">
        <v>9.0150000000000006</v>
      </c>
      <c r="Z14">
        <v>0.45257887643123651</v>
      </c>
    </row>
    <row r="15" spans="2:26">
      <c r="B15" t="s">
        <v>166</v>
      </c>
      <c r="C15" t="s">
        <v>211</v>
      </c>
      <c r="D15" t="s">
        <v>212</v>
      </c>
      <c r="E15" t="s">
        <v>10</v>
      </c>
      <c r="F15" t="s">
        <v>21</v>
      </c>
      <c r="G15" t="s">
        <v>169</v>
      </c>
      <c r="H15" t="s">
        <v>170</v>
      </c>
      <c r="J15" t="s">
        <v>211</v>
      </c>
      <c r="K15" t="s">
        <v>227</v>
      </c>
      <c r="L15">
        <v>0.09</v>
      </c>
      <c r="M15">
        <v>0.40144059976798202</v>
      </c>
      <c r="O15" t="s">
        <v>166</v>
      </c>
      <c r="P15" t="s">
        <v>241</v>
      </c>
      <c r="Q15" t="s">
        <v>242</v>
      </c>
      <c r="R15" t="s">
        <v>10</v>
      </c>
      <c r="S15" t="s">
        <v>21</v>
      </c>
      <c r="T15" t="s">
        <v>169</v>
      </c>
      <c r="U15" t="s">
        <v>170</v>
      </c>
      <c r="W15" t="s">
        <v>241</v>
      </c>
      <c r="X15" t="s">
        <v>257</v>
      </c>
      <c r="Y15">
        <v>9.3472500000000007</v>
      </c>
      <c r="Z15">
        <v>0.44869827675393242</v>
      </c>
    </row>
    <row r="16" spans="2:26">
      <c r="B16" t="s">
        <v>166</v>
      </c>
      <c r="C16" t="s">
        <v>213</v>
      </c>
      <c r="D16" t="s">
        <v>214</v>
      </c>
      <c r="E16" t="s">
        <v>10</v>
      </c>
      <c r="F16" t="s">
        <v>21</v>
      </c>
      <c r="G16" t="s">
        <v>169</v>
      </c>
      <c r="H16" t="s">
        <v>170</v>
      </c>
      <c r="J16" t="s">
        <v>213</v>
      </c>
      <c r="K16" t="s">
        <v>228</v>
      </c>
      <c r="L16">
        <v>0.09</v>
      </c>
      <c r="M16">
        <v>0.36483357275006911</v>
      </c>
      <c r="O16" t="s">
        <v>166</v>
      </c>
      <c r="P16" t="s">
        <v>243</v>
      </c>
      <c r="Q16" t="s">
        <v>244</v>
      </c>
      <c r="R16" t="s">
        <v>10</v>
      </c>
      <c r="S16" t="s">
        <v>21</v>
      </c>
      <c r="T16" t="s">
        <v>169</v>
      </c>
      <c r="U16" t="s">
        <v>170</v>
      </c>
      <c r="W16" t="s">
        <v>243</v>
      </c>
      <c r="X16" t="s">
        <v>258</v>
      </c>
      <c r="Y16">
        <v>19.705500000000001</v>
      </c>
      <c r="Z16">
        <v>0.47904088602536332</v>
      </c>
    </row>
    <row r="17" spans="2:26">
      <c r="B17" t="s">
        <v>166</v>
      </c>
      <c r="C17" t="s">
        <v>215</v>
      </c>
      <c r="D17" t="s">
        <v>216</v>
      </c>
      <c r="E17" t="s">
        <v>10</v>
      </c>
      <c r="F17" t="s">
        <v>21</v>
      </c>
      <c r="G17" t="s">
        <v>169</v>
      </c>
      <c r="H17" t="s">
        <v>170</v>
      </c>
      <c r="J17" t="s">
        <v>215</v>
      </c>
      <c r="K17" t="s">
        <v>229</v>
      </c>
      <c r="L17">
        <v>0.09</v>
      </c>
      <c r="M17">
        <v>0.365520596150406</v>
      </c>
      <c r="O17" t="s">
        <v>166</v>
      </c>
      <c r="P17" t="s">
        <v>245</v>
      </c>
      <c r="Q17" t="s">
        <v>246</v>
      </c>
      <c r="R17" t="s">
        <v>10</v>
      </c>
      <c r="S17" t="s">
        <v>21</v>
      </c>
      <c r="T17" t="s">
        <v>169</v>
      </c>
      <c r="U17" t="s">
        <v>170</v>
      </c>
      <c r="W17" t="s">
        <v>245</v>
      </c>
      <c r="X17" t="s">
        <v>259</v>
      </c>
      <c r="Y17">
        <v>15.350250000000001</v>
      </c>
      <c r="Z17">
        <v>0.47146795634591199</v>
      </c>
    </row>
    <row r="18" spans="2:26">
      <c r="B18" t="s">
        <v>166</v>
      </c>
      <c r="C18" t="s">
        <v>217</v>
      </c>
      <c r="D18" t="s">
        <v>218</v>
      </c>
      <c r="E18" t="s">
        <v>10</v>
      </c>
      <c r="F18" t="s">
        <v>21</v>
      </c>
      <c r="G18" t="s">
        <v>169</v>
      </c>
      <c r="H18" t="s">
        <v>170</v>
      </c>
      <c r="J18" t="s">
        <v>217</v>
      </c>
      <c r="K18" t="s">
        <v>230</v>
      </c>
      <c r="L18">
        <v>0.09</v>
      </c>
      <c r="M18">
        <v>0.41047488326249421</v>
      </c>
      <c r="O18" t="s">
        <v>166</v>
      </c>
      <c r="P18" t="s">
        <v>247</v>
      </c>
      <c r="Q18" t="s">
        <v>248</v>
      </c>
      <c r="R18" t="s">
        <v>10</v>
      </c>
      <c r="S18" t="s">
        <v>21</v>
      </c>
      <c r="T18" t="s">
        <v>169</v>
      </c>
      <c r="U18" t="s">
        <v>170</v>
      </c>
      <c r="W18" t="s">
        <v>247</v>
      </c>
      <c r="X18" t="s">
        <v>260</v>
      </c>
      <c r="Y18">
        <v>17.492999999999999</v>
      </c>
      <c r="Z18">
        <v>0.4831226670907412</v>
      </c>
    </row>
    <row r="19" spans="2:26">
      <c r="B19" t="s">
        <v>166</v>
      </c>
      <c r="C19" t="s">
        <v>219</v>
      </c>
      <c r="D19" t="s">
        <v>220</v>
      </c>
      <c r="E19" t="s">
        <v>10</v>
      </c>
      <c r="F19" t="s">
        <v>21</v>
      </c>
      <c r="G19" t="s">
        <v>169</v>
      </c>
      <c r="H19" t="s">
        <v>170</v>
      </c>
      <c r="J19" t="s">
        <v>219</v>
      </c>
      <c r="K19" t="s">
        <v>231</v>
      </c>
      <c r="L19">
        <v>0.09</v>
      </c>
      <c r="M19">
        <v>0.3701937416015697</v>
      </c>
      <c r="O19" t="s">
        <v>166</v>
      </c>
      <c r="P19" t="s">
        <v>249</v>
      </c>
      <c r="Q19" t="s">
        <v>250</v>
      </c>
      <c r="R19" t="s">
        <v>10</v>
      </c>
      <c r="S19" t="s">
        <v>21</v>
      </c>
      <c r="T19" t="s">
        <v>169</v>
      </c>
      <c r="U19" t="s">
        <v>170</v>
      </c>
      <c r="W19" t="s">
        <v>249</v>
      </c>
      <c r="X19" t="s">
        <v>261</v>
      </c>
      <c r="Y19">
        <v>2.87175</v>
      </c>
      <c r="Z19">
        <v>0.45668669806804207</v>
      </c>
    </row>
    <row r="20" spans="2:26">
      <c r="B20" t="s">
        <v>166</v>
      </c>
      <c r="C20" t="s">
        <v>221</v>
      </c>
      <c r="D20" t="s">
        <v>222</v>
      </c>
      <c r="E20" t="s">
        <v>10</v>
      </c>
      <c r="F20" t="s">
        <v>21</v>
      </c>
      <c r="G20" t="s">
        <v>169</v>
      </c>
      <c r="H20" t="s">
        <v>170</v>
      </c>
      <c r="J20" t="s">
        <v>221</v>
      </c>
      <c r="K20" t="s">
        <v>232</v>
      </c>
      <c r="L20">
        <v>0.09</v>
      </c>
      <c r="M20">
        <v>0.34038079598992049</v>
      </c>
      <c r="O20" t="s">
        <v>166</v>
      </c>
      <c r="P20" t="s">
        <v>251</v>
      </c>
      <c r="Q20" t="s">
        <v>252</v>
      </c>
      <c r="R20" t="s">
        <v>10</v>
      </c>
      <c r="S20" t="s">
        <v>21</v>
      </c>
      <c r="T20" t="s">
        <v>169</v>
      </c>
      <c r="U20" t="s">
        <v>170</v>
      </c>
      <c r="W20" t="s">
        <v>251</v>
      </c>
      <c r="X20" t="s">
        <v>262</v>
      </c>
      <c r="Y20">
        <v>0.84824999999999995</v>
      </c>
      <c r="Z20">
        <v>0.45368618559080531</v>
      </c>
    </row>
    <row r="22" spans="2:26">
      <c r="L22" s="147" t="s">
        <v>289</v>
      </c>
    </row>
    <row r="23" spans="2:26">
      <c r="L23">
        <v>9.2565335043702429E-2</v>
      </c>
    </row>
    <row r="24" spans="2:26">
      <c r="L24">
        <v>0.20804356877677033</v>
      </c>
    </row>
    <row r="25" spans="2:26">
      <c r="L25">
        <v>0.26107567508088264</v>
      </c>
    </row>
    <row r="26" spans="2:26">
      <c r="L26">
        <v>1.0032093861259999</v>
      </c>
    </row>
    <row r="27" spans="2:26">
      <c r="L27">
        <v>0.52760894024420313</v>
      </c>
    </row>
    <row r="28" spans="2:26">
      <c r="L28">
        <v>1.262059734475528</v>
      </c>
    </row>
    <row r="29" spans="2:26">
      <c r="L29">
        <v>0.97765368656227203</v>
      </c>
    </row>
    <row r="30" spans="2:26">
      <c r="L30">
        <v>0.19100361948102848</v>
      </c>
    </row>
    <row r="31" spans="2:26">
      <c r="L31">
        <v>1.3377951210273744</v>
      </c>
    </row>
    <row r="32" spans="2:26">
      <c r="L32">
        <v>1.2814575742790377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4"/>
  <sheetViews>
    <sheetView topLeftCell="A5" workbookViewId="0">
      <selection activeCell="J35" sqref="J35"/>
    </sheetView>
  </sheetViews>
  <sheetFormatPr defaultRowHeight="15"/>
  <cols>
    <col min="2" max="2" width="31.42578125" bestFit="1" customWidth="1"/>
    <col min="5" max="5" width="4.85546875" bestFit="1" customWidth="1"/>
    <col min="7" max="7" width="4.85546875" bestFit="1" customWidth="1"/>
    <col min="8" max="8" width="9.140625" bestFit="1" customWidth="1"/>
    <col min="13" max="13" width="11.85546875" bestFit="1" customWidth="1"/>
  </cols>
  <sheetData>
    <row r="9" spans="2:16">
      <c r="B9" t="s">
        <v>189</v>
      </c>
      <c r="J9" t="s">
        <v>158</v>
      </c>
    </row>
    <row r="10" spans="2:16">
      <c r="B10" t="s">
        <v>160</v>
      </c>
      <c r="C10" t="s">
        <v>263</v>
      </c>
      <c r="D10" t="s">
        <v>190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264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264</v>
      </c>
      <c r="M11" t="s">
        <v>10</v>
      </c>
      <c r="N11" t="s">
        <v>21</v>
      </c>
      <c r="O11" t="s">
        <v>286</v>
      </c>
      <c r="P11" t="s">
        <v>287</v>
      </c>
    </row>
    <row r="12" spans="2:16">
      <c r="B12" t="s">
        <v>264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265</v>
      </c>
      <c r="J12" t="s">
        <v>166</v>
      </c>
      <c r="K12" t="s">
        <v>269</v>
      </c>
      <c r="M12" t="s">
        <v>10</v>
      </c>
      <c r="N12" t="s">
        <v>21</v>
      </c>
      <c r="O12" t="s">
        <v>286</v>
      </c>
      <c r="P12" t="s">
        <v>287</v>
      </c>
    </row>
    <row r="13" spans="2:16">
      <c r="B13" t="s">
        <v>264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266</v>
      </c>
      <c r="J13" t="s">
        <v>166</v>
      </c>
      <c r="K13" t="s">
        <v>270</v>
      </c>
      <c r="M13" t="s">
        <v>10</v>
      </c>
      <c r="N13" t="s">
        <v>21</v>
      </c>
      <c r="O13" t="s">
        <v>286</v>
      </c>
      <c r="P13" t="s">
        <v>287</v>
      </c>
    </row>
    <row r="14" spans="2:16">
      <c r="B14" t="s">
        <v>264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267</v>
      </c>
      <c r="J14" t="s">
        <v>166</v>
      </c>
      <c r="K14" t="s">
        <v>271</v>
      </c>
      <c r="M14" t="s">
        <v>10</v>
      </c>
      <c r="N14" t="s">
        <v>21</v>
      </c>
      <c r="O14" t="s">
        <v>286</v>
      </c>
      <c r="P14" t="s">
        <v>287</v>
      </c>
    </row>
    <row r="15" spans="2:16">
      <c r="B15" t="s">
        <v>264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268</v>
      </c>
      <c r="J15" t="s">
        <v>166</v>
      </c>
      <c r="K15" t="s">
        <v>272</v>
      </c>
      <c r="M15" t="s">
        <v>10</v>
      </c>
      <c r="N15" t="s">
        <v>21</v>
      </c>
      <c r="O15" t="s">
        <v>286</v>
      </c>
      <c r="P15" t="s">
        <v>287</v>
      </c>
    </row>
    <row r="16" spans="2:16">
      <c r="B16" t="s">
        <v>269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273</v>
      </c>
      <c r="M16" t="s">
        <v>10</v>
      </c>
      <c r="N16" t="s">
        <v>21</v>
      </c>
      <c r="O16" t="s">
        <v>286</v>
      </c>
      <c r="P16" t="s">
        <v>287</v>
      </c>
    </row>
    <row r="17" spans="2:16">
      <c r="B17" t="s">
        <v>269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265</v>
      </c>
      <c r="J17" t="s">
        <v>166</v>
      </c>
      <c r="K17" t="s">
        <v>274</v>
      </c>
      <c r="M17" t="s">
        <v>10</v>
      </c>
      <c r="N17" t="s">
        <v>21</v>
      </c>
      <c r="O17" t="s">
        <v>286</v>
      </c>
      <c r="P17" t="s">
        <v>287</v>
      </c>
    </row>
    <row r="18" spans="2:16">
      <c r="B18" t="s">
        <v>269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266</v>
      </c>
      <c r="J18" t="s">
        <v>166</v>
      </c>
      <c r="K18" t="s">
        <v>275</v>
      </c>
      <c r="M18" t="s">
        <v>10</v>
      </c>
      <c r="N18" t="s">
        <v>21</v>
      </c>
      <c r="O18" t="s">
        <v>286</v>
      </c>
      <c r="P18" t="s">
        <v>287</v>
      </c>
    </row>
    <row r="19" spans="2:16">
      <c r="B19" t="s">
        <v>269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267</v>
      </c>
      <c r="J19" t="s">
        <v>166</v>
      </c>
      <c r="K19" t="s">
        <v>276</v>
      </c>
      <c r="M19" t="s">
        <v>10</v>
      </c>
      <c r="N19" t="s">
        <v>21</v>
      </c>
      <c r="O19" t="s">
        <v>286</v>
      </c>
      <c r="P19" t="s">
        <v>287</v>
      </c>
    </row>
    <row r="20" spans="2:16">
      <c r="B20" t="s">
        <v>269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268</v>
      </c>
      <c r="J20" t="s">
        <v>166</v>
      </c>
      <c r="K20" t="s">
        <v>277</v>
      </c>
      <c r="M20" t="s">
        <v>10</v>
      </c>
      <c r="N20" t="s">
        <v>21</v>
      </c>
      <c r="O20" t="s">
        <v>286</v>
      </c>
      <c r="P20" t="s">
        <v>287</v>
      </c>
    </row>
    <row r="21" spans="2:16">
      <c r="B21" t="s">
        <v>270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278</v>
      </c>
      <c r="M21" t="s">
        <v>10</v>
      </c>
      <c r="N21" t="s">
        <v>21</v>
      </c>
      <c r="O21" t="s">
        <v>286</v>
      </c>
      <c r="P21" t="s">
        <v>287</v>
      </c>
    </row>
    <row r="22" spans="2:16">
      <c r="B22" t="s">
        <v>270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266</v>
      </c>
      <c r="J22" t="s">
        <v>166</v>
      </c>
      <c r="K22" t="s">
        <v>279</v>
      </c>
      <c r="M22" t="s">
        <v>10</v>
      </c>
      <c r="N22" t="s">
        <v>21</v>
      </c>
      <c r="O22" t="s">
        <v>286</v>
      </c>
      <c r="P22" t="s">
        <v>287</v>
      </c>
    </row>
    <row r="23" spans="2:16">
      <c r="B23" t="s">
        <v>270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267</v>
      </c>
      <c r="J23" t="s">
        <v>166</v>
      </c>
      <c r="K23" t="s">
        <v>280</v>
      </c>
      <c r="M23" t="s">
        <v>10</v>
      </c>
      <c r="N23" t="s">
        <v>21</v>
      </c>
      <c r="O23" t="s">
        <v>286</v>
      </c>
      <c r="P23" t="s">
        <v>287</v>
      </c>
    </row>
    <row r="24" spans="2:16">
      <c r="B24" t="s">
        <v>271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281</v>
      </c>
      <c r="M24" t="s">
        <v>10</v>
      </c>
      <c r="N24" t="s">
        <v>21</v>
      </c>
      <c r="O24" t="s">
        <v>286</v>
      </c>
      <c r="P24" t="s">
        <v>287</v>
      </c>
    </row>
    <row r="25" spans="2:16">
      <c r="B25" t="s">
        <v>271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266</v>
      </c>
      <c r="J25" t="s">
        <v>166</v>
      </c>
      <c r="K25" t="s">
        <v>282</v>
      </c>
      <c r="M25" t="s">
        <v>10</v>
      </c>
      <c r="N25" t="s">
        <v>21</v>
      </c>
      <c r="O25" t="s">
        <v>286</v>
      </c>
      <c r="P25" t="s">
        <v>287</v>
      </c>
    </row>
    <row r="26" spans="2:16">
      <c r="B26" t="s">
        <v>271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267</v>
      </c>
      <c r="J26" t="s">
        <v>166</v>
      </c>
      <c r="K26" t="s">
        <v>283</v>
      </c>
      <c r="M26" t="s">
        <v>10</v>
      </c>
      <c r="N26" t="s">
        <v>21</v>
      </c>
      <c r="O26" t="s">
        <v>286</v>
      </c>
      <c r="P26" t="s">
        <v>287</v>
      </c>
    </row>
    <row r="27" spans="2:16">
      <c r="B27" t="s">
        <v>272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285</v>
      </c>
      <c r="M27" t="s">
        <v>10</v>
      </c>
      <c r="N27" t="s">
        <v>21</v>
      </c>
      <c r="O27" t="s">
        <v>286</v>
      </c>
      <c r="P27" t="s">
        <v>287</v>
      </c>
    </row>
    <row r="28" spans="2:16">
      <c r="B28" t="s">
        <v>272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266</v>
      </c>
    </row>
    <row r="29" spans="2:16">
      <c r="B29" t="s">
        <v>272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267</v>
      </c>
    </row>
    <row r="30" spans="2:16">
      <c r="B30" t="s">
        <v>273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273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266</v>
      </c>
    </row>
    <row r="32" spans="2:16">
      <c r="B32" t="s">
        <v>273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267</v>
      </c>
    </row>
    <row r="33" spans="2:8">
      <c r="B33" t="s">
        <v>274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274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265</v>
      </c>
    </row>
    <row r="35" spans="2:8">
      <c r="B35" t="s">
        <v>274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266</v>
      </c>
    </row>
    <row r="36" spans="2:8">
      <c r="B36" t="s">
        <v>274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267</v>
      </c>
    </row>
    <row r="37" spans="2:8">
      <c r="B37" t="s">
        <v>274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268</v>
      </c>
    </row>
    <row r="38" spans="2:8">
      <c r="B38" t="s">
        <v>275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275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266</v>
      </c>
    </row>
    <row r="40" spans="2:8">
      <c r="B40" t="s">
        <v>275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267</v>
      </c>
    </row>
    <row r="41" spans="2:8">
      <c r="B41" t="s">
        <v>276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276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266</v>
      </c>
    </row>
    <row r="43" spans="2:8">
      <c r="B43" t="s">
        <v>276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267</v>
      </c>
    </row>
    <row r="44" spans="2:8">
      <c r="B44" t="s">
        <v>277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277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266</v>
      </c>
    </row>
    <row r="46" spans="2:8">
      <c r="B46" t="s">
        <v>277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267</v>
      </c>
    </row>
    <row r="47" spans="2:8">
      <c r="B47" t="s">
        <v>277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268</v>
      </c>
    </row>
    <row r="48" spans="2:8">
      <c r="B48" t="s">
        <v>278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278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266</v>
      </c>
    </row>
    <row r="50" spans="2:8">
      <c r="B50" t="s">
        <v>278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267</v>
      </c>
    </row>
    <row r="51" spans="2:8">
      <c r="B51" t="s">
        <v>279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279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265</v>
      </c>
    </row>
    <row r="53" spans="2:8">
      <c r="B53" t="s">
        <v>279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266</v>
      </c>
    </row>
    <row r="54" spans="2:8">
      <c r="B54" t="s">
        <v>279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267</v>
      </c>
    </row>
    <row r="55" spans="2:8">
      <c r="B55" t="s">
        <v>279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268</v>
      </c>
    </row>
    <row r="56" spans="2:8">
      <c r="B56" t="s">
        <v>280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280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266</v>
      </c>
    </row>
    <row r="58" spans="2:8">
      <c r="B58" t="s">
        <v>280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267</v>
      </c>
    </row>
    <row r="59" spans="2:8">
      <c r="B59" t="s">
        <v>281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281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266</v>
      </c>
    </row>
    <row r="61" spans="2:8">
      <c r="B61" t="s">
        <v>281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267</v>
      </c>
    </row>
    <row r="62" spans="2:8">
      <c r="B62" t="s">
        <v>282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282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266</v>
      </c>
    </row>
    <row r="64" spans="2:8">
      <c r="B64" t="s">
        <v>282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267</v>
      </c>
    </row>
    <row r="65" spans="2:8">
      <c r="B65" t="s">
        <v>283</v>
      </c>
      <c r="C65" t="s">
        <v>284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283</v>
      </c>
      <c r="C66" t="s">
        <v>284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265</v>
      </c>
    </row>
    <row r="67" spans="2:8">
      <c r="B67" t="s">
        <v>283</v>
      </c>
      <c r="C67" t="s">
        <v>284</v>
      </c>
      <c r="D67" t="s">
        <v>19</v>
      </c>
      <c r="E67">
        <v>3120</v>
      </c>
      <c r="F67">
        <v>2280</v>
      </c>
      <c r="G67">
        <v>1660</v>
      </c>
      <c r="H67" t="s">
        <v>266</v>
      </c>
    </row>
    <row r="68" spans="2:8">
      <c r="B68" t="s">
        <v>283</v>
      </c>
      <c r="C68" t="s">
        <v>284</v>
      </c>
      <c r="D68" t="s">
        <v>19</v>
      </c>
      <c r="E68">
        <v>60</v>
      </c>
      <c r="F68">
        <v>50</v>
      </c>
      <c r="G68">
        <v>40</v>
      </c>
      <c r="H68" t="s">
        <v>267</v>
      </c>
    </row>
    <row r="69" spans="2:8">
      <c r="B69" t="s">
        <v>283</v>
      </c>
      <c r="C69" t="s">
        <v>284</v>
      </c>
      <c r="D69" t="s">
        <v>19</v>
      </c>
      <c r="E69">
        <v>10</v>
      </c>
      <c r="F69">
        <v>7</v>
      </c>
      <c r="G69">
        <v>5</v>
      </c>
      <c r="H69" t="s">
        <v>268</v>
      </c>
    </row>
    <row r="70" spans="2:8">
      <c r="B70" t="s">
        <v>285</v>
      </c>
      <c r="C70" t="s">
        <v>284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285</v>
      </c>
      <c r="C71" t="s">
        <v>284</v>
      </c>
      <c r="D71" t="s">
        <v>19</v>
      </c>
      <c r="E71">
        <v>0.28999999999999998</v>
      </c>
      <c r="F71">
        <v>0.3</v>
      </c>
      <c r="G71">
        <v>0.3</v>
      </c>
      <c r="H71" t="s">
        <v>265</v>
      </c>
    </row>
    <row r="72" spans="2:8">
      <c r="B72" t="s">
        <v>285</v>
      </c>
      <c r="C72" t="s">
        <v>284</v>
      </c>
      <c r="D72" t="s">
        <v>19</v>
      </c>
      <c r="E72">
        <v>1630</v>
      </c>
      <c r="F72">
        <v>1550</v>
      </c>
      <c r="G72">
        <v>1490</v>
      </c>
      <c r="H72" t="s">
        <v>266</v>
      </c>
    </row>
    <row r="73" spans="2:8">
      <c r="B73" t="s">
        <v>285</v>
      </c>
      <c r="C73" t="s">
        <v>284</v>
      </c>
      <c r="D73" t="s">
        <v>19</v>
      </c>
      <c r="E73">
        <v>42</v>
      </c>
      <c r="F73">
        <v>40</v>
      </c>
      <c r="G73">
        <v>38</v>
      </c>
      <c r="H73" t="s">
        <v>267</v>
      </c>
    </row>
    <row r="74" spans="2:8">
      <c r="B74" t="s">
        <v>285</v>
      </c>
      <c r="C74" t="s">
        <v>284</v>
      </c>
      <c r="D74" t="s">
        <v>19</v>
      </c>
      <c r="E74">
        <v>1.5</v>
      </c>
      <c r="F74">
        <v>1.5</v>
      </c>
      <c r="G74">
        <v>1.5</v>
      </c>
      <c r="H74" t="s">
        <v>268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2026-03-09T15:53:45Z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