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B170631A-D88B-486C-AE0B-2BDFBF7E951F}" xr6:coauthVersionLast="47" xr6:coauthVersionMax="47" xr10:uidLastSave="{00000000-0000-0000-0000-000000000000}"/>
  <bookViews>
    <workbookView xWindow="-80" yWindow="-80" windowWidth="19360" windowHeight="1144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99" i="9"/>
  <c r="O78" i="9"/>
  <c r="O79" i="9"/>
  <c r="O15" i="7" l="1"/>
  <c r="O16" i="7"/>
  <c r="O17" i="7"/>
  <c r="O11" i="7"/>
  <c r="P78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87" i="9"/>
  <c r="T87" i="9"/>
  <c r="S87" i="9"/>
  <c r="R87" i="9"/>
  <c r="Q87" i="9"/>
  <c r="P87" i="9"/>
  <c r="O87" i="9"/>
  <c r="U86" i="9"/>
  <c r="T86" i="9"/>
  <c r="S86" i="9"/>
  <c r="R86" i="9"/>
  <c r="Q86" i="9"/>
  <c r="P86" i="9"/>
  <c r="O86" i="9"/>
  <c r="V84" i="9"/>
  <c r="O84" i="9"/>
  <c r="W83" i="9"/>
  <c r="O83" i="9"/>
  <c r="U79" i="9"/>
  <c r="T79" i="9"/>
  <c r="S79" i="9"/>
  <c r="R79" i="9"/>
  <c r="Q79" i="9"/>
  <c r="P79" i="9"/>
  <c r="U78" i="9"/>
  <c r="T78" i="9"/>
  <c r="S78" i="9"/>
  <c r="R78" i="9"/>
  <c r="Q78" i="9"/>
  <c r="V76" i="9"/>
  <c r="O76" i="9"/>
  <c r="W75" i="9"/>
  <c r="O75" i="9"/>
  <c r="U74" i="9"/>
  <c r="T74" i="9"/>
  <c r="S74" i="9"/>
  <c r="R74" i="9"/>
  <c r="Q74" i="9"/>
  <c r="P74" i="9"/>
  <c r="O74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27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7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8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37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37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37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37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37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<sst xmlns="http://schemas.openxmlformats.org/spreadsheetml/2006/main" count="1156" uniqueCount="356">
  <si>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</si>
  <si>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</si>
  <si>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</si>
  <si>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</si>
  <si>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</si>
  <si>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</si>
  <si>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</si>
  <si>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</si>
  <si>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</si>
  <si>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</si>
  <si>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</si>
  <si>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</si>
  <si>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</si>
  <si>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</si>
  <si>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</si>
  <si>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</si>
  <si>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</si>
  <si>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</si>
  <si>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</si>
  <si>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</si>
  <si>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</si>
  <si>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</si>
  <si>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</si>
  <si>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</si>
  <si>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</si>
  <si>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</si>
  <si>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</si>
  <si>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</si>
  <si>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</si>
  <si>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</si>
  <si>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</si>
  <si>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</si>
  <si>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</si>
  <si>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</si>
  <si>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</si>
  <si>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</si>
  <si>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</si>
  <si>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</si>
  <si>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</si>
  <si>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</si>
  <si>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</si>
  <si>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</si>
  <si>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</si>
  <si>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</si>
  <si>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</si>
  <si>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</si>
  <si>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</si>
  <si>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</si>
  <si>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</si>
  <si>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</si>
  <si>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</si>
  <si>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</si>
  <si>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</si>
  <si>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</si>
  <si>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</si>
  <si>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</si>
  <si>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</si>
  <si>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</si>
  <si>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</si>
  <si>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</si>
  <si>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</si>
  <si>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</si>
  <si>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</si>
  <si>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</si>
  <si>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</si>
  <si>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</si>
  <si>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</si>
  <si>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</si>
  <si>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</si>
  <si>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</si>
  <si>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</si>
  <si>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</si>
  <si>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</si>
  <si>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</si>
  <si>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</si>
  <si>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</si>
  <si>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</si>
  <si>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</si>
  <si>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</si>
  <si>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</si>
  <si>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</si>
  <si>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</si>
  <si>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</si>
  <si>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</si>
  <si>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</si>
  <si>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</si>
  <si>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</si>
  <si>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</si>
  <si>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</si>
  <si>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</si>
  <si>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</si>
  <si>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</si>
  <si>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</si>
  <si>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</si>
  <si>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</si>
  <si>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</si>
  <si>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</si>
  <si>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</si>
  <si>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</si>
  <si>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</si>
  <si>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</si>
  <si>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</si>
  <si>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</si>
  <si>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</si>
  <si>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</si>
  <si>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</si>
  <si>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</si>
  <si>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</si>
  <si>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</si>
  <si>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</si>
  <si>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</si>
  <si>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</si>
  <si>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</si>
  <si>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</si>
  <si>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</si>
  <si>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</si>
  <si>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</si>
  <si>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</si>
  <si>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</si>
  <si>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</si>
  <si>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</si>
  <si>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</si>
  <si>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</si>
  <si>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</si>
  <si>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</si>
  <si>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</si>
  <si>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</si>
  <si>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</si>
  <si>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</si>
  <si>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</si>
  <si>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</si>
  <si>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</si>
  <si>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</si>
  <si>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</si>
  <si>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</si>
  <si>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</si>
  <si>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</si>
  <si>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</si>
  <si>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</si>
  <si>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</si>
  <si>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</si>
  <si>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</si>
  <si>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</si>
  <si>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</si>
  <si>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</si>
  <si>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</si>
  <si>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</si>
  <si>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</si>
  <si>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</si>
  <si>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</si>
  <si>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</si>
  <si>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</si>
  <si>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</si>
  <si>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</si>
  <si>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</si>
  <si>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</si>
  <si>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</si>
  <si>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</si>
  <si>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</si>
  <si>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</si>
  <si>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</si>
  <si>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</si>
  <si>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</si>
  <si>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</si>
  <si>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</si>
  <si>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</si>
  <si>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</si>
  <si>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</si>
  <si>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</si>
  <si>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</si>
  <si>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</si>
  <si>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</si>
  <si>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</si>
  <si>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</si>
  <si>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</si>
  <si>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</si>
  <si>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</si>
  <si>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</si>
  <si>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</si>
  <si>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</si>
  <si>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</si>
  <si>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</si>
  <si>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</si>
  <si>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</si>
  <si>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</si>
  <si>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</si>
  <si>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</si>
  <si>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</si>
  <si>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</si>
  <si>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</si>
  <si>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</si>
  <si>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</si>
  <si>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</si>
  <si>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</si>
  <si>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</si>
  <si>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</si>
  <si>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</si>
  <si>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</si>
  <si>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</si>
  <si>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</si>
  <si>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</si>
  <si>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</si>
  <si>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</si>
  <si>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</si>
  <si>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</si>
  <si>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</si>
  <si>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</si>
  <si>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</si>
  <si>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</si>
  <si>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</si>
  <si>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</si>
  <si>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</si>
  <si>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</si>
  <si>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</si>
  <si>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</si>
  <si>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</si>
  <si>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</si>
  <si>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</si>
  <si>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</si>
  <si>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</si>
  <si>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</si>
  <si>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</si>
  <si>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</si>
  <si>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</si>
  <si>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</si>
  <si>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</si>
  <si>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</si>
  <si>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</si>
  <si>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</si>
  <si>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</si>
  <si>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</si>
  <si>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</si>
  <si>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</si>
  <si>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</si>
  <si>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</si>
  <si>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</si>
  <si>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</si>
  <si>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</si>
  <si>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</si>
  <si>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</si>
  <si>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</si>
  <si>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</si>
  <si>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</si>
  <si>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</si>
  <si>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</si>
  <si>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</si>
  <si>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</si>
  <si>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</si>
  <si>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</si>
  <si>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</si>
  <si>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</si>
  <si>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</si>
  <si>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</si>
  <si>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</si>
  <si>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</si>
  <si>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</si>
  <si>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</si>
  <si>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</si>
  <si>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</si>
  <si>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</si>
  <si>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</si>
  <si>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</si>
  <si>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</si>
  <si>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</si>
  <si>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</si>
  <si>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</si>
  <si>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</si>
  <si>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</si>
  <si>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</si>
  <si>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</si>
  <si>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</si>
  <si>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</si>
  <si>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</si>
  <si>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</si>
  <si>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</si>
  <si>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</si>
  <si>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</si>
  <si>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</si>
  <si>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</si>
  <si>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</si>
  <si>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</si>
  <si>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</si>
  <si>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</si>
  <si>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</si>
  <si>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</si>
  <si>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</si>
  <si>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</si>
  <si>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</si>
  <si>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</si>
  <si>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</si>
  <si>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</si>
  <si>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</si>
  <si>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</si>
  <si>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</si>
  <si>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</si>
  <si>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</si>
  <si>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</si>
  <si>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</si>
  <si>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</si>
  <si>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</si>
  <si>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</si>
  <si>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</si>
  <si>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BAI</t>
  </si>
  <si>
    <t>Battery input</t>
  </si>
  <si>
    <t>BAO</t>
  </si>
  <si>
    <t>Battery output</t>
  </si>
  <si>
    <t>*Process Set Membership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</si>
  <si>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</si>
  <si>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</si>
  <si>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</si>
  <si>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</si>
  <si>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</si>
  <si>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</si>
  <si>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</si>
  <si>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EBATPI</t>
  </si>
  <si>
    <t>Battery storage power input</t>
  </si>
  <si>
    <t>EBATE</t>
  </si>
  <si>
    <t>Battery storage energy</t>
  </si>
  <si>
    <t>TWh-a</t>
  </si>
  <si>
    <t>EBATPO</t>
  </si>
  <si>
    <t>Battery storage power output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</si>
  <si>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</si>
  <si>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</si>
  <si>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</si>
  <si>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</si>
  <si>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</si>
  <si>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</si>
  <si>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</si>
  <si>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</si>
  <si>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</si>
  <si>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</si>
  <si>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</si>
  <si>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</si>
  <si>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DUMSTOR</t>
  </si>
  <si>
    <t>Dummy commodity in input to the accompaning tech to represent power</t>
  </si>
  <si>
    <t>TimeSlice Level of oprn</t>
  </si>
  <si>
    <t>Primary CommGrp</t>
  </si>
  <si>
    <t>ELE, STG</t>
  </si>
  <si>
    <t>EN_STGlion</t>
  </si>
  <si>
    <t>Battert (Li-ion)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</si>
  <si>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</si>
  <si>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</si>
  <si>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</si>
  <si>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</si>
  <si>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</si>
  <si>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</si>
  <si>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</si>
  <si>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</si>
  <si>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</si>
  <si>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</si>
  <si>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INVCOST~2025</t>
  </si>
  <si>
    <t>INVCOST~2030</t>
  </si>
  <si>
    <t>INVCOST~2035</t>
  </si>
  <si>
    <t>INVCOST~2040</t>
  </si>
  <si>
    <t>INVCOST~2045</t>
  </si>
  <si>
    <t>Auxiliary Output Commodity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</si>
</sst>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0" fontId="0" fillId="0" borderId="0" xfId="0" applyFill="1" applyBorder="1"/>
    <xf numFmtId="164" fontId="4" fillId="0" borderId="0" xfId="0" applyNumberFormat="1" applyFont="1" applyFill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Border="1" applyAlignment="1">
      <alignment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D1" zoomScale="80" workbookViewId="0">
      <selection activeCell="U34" sqref="U3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A3:X122"/>
  <sheetViews>
    <sheetView tabSelected="1" topLeftCell="C1" zoomScale="74" workbookViewId="0">
      <selection activeCell="K19" sqref="K19"/>
    </sheetView>
  </sheetViews>
  <sheetFormatPr defaultColWidth="8.85546875" defaultRowHeight="15"/>
  <cols>
    <col min="2" max="2" width="12" customWidth="1"/>
    <col min="3" max="3" width="27.710937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14" bestFit="1" customWidth="1"/>
  </cols>
  <sheetData>
    <row r="3" spans="2:9">
      <c r="B3" t="s">
        <v>328</v>
      </c>
    </row>
    <row r="4" spans="2:9">
      <c r="B4" t="s">
        <v>36</v>
      </c>
      <c r="C4" t="s">
        <v>37</v>
      </c>
      <c r="D4" t="s">
        <v>38</v>
      </c>
      <c r="E4" t="s">
        <v>23</v>
      </c>
      <c r="F4" t="s">
        <v>39</v>
      </c>
      <c r="G4" t="s">
        <v>40</v>
      </c>
      <c r="H4" t="s">
        <v>41</v>
      </c>
      <c r="I4" t="s">
        <v>42</v>
      </c>
    </row>
    <row r="5" spans="2:9">
      <c r="B5" t="s">
        <v>295</v>
      </c>
      <c r="C5" t="s">
        <v>296</v>
      </c>
      <c r="D5" t="s">
        <v>297</v>
      </c>
      <c r="E5" t="s">
        <v>23</v>
      </c>
      <c r="F5" t="s">
        <v>298</v>
      </c>
      <c r="G5" t="s">
        <v>299</v>
      </c>
      <c r="H5" t="s">
        <v>300</v>
      </c>
      <c r="I5" t="s">
        <v>301</v>
      </c>
    </row>
    <row r="6" spans="2:9">
      <c r="B6" t="s">
        <v>24</v>
      </c>
      <c r="C6" t="s">
        <v>302</v>
      </c>
      <c r="D6" t="s">
        <v>303</v>
      </c>
      <c r="E6" t="s">
        <v>21</v>
      </c>
      <c r="G6" t="s">
        <v>14</v>
      </c>
      <c r="I6" t="s">
        <v>19</v>
      </c>
    </row>
    <row r="7" spans="2:9">
      <c r="C7" t="s">
        <v>304</v>
      </c>
      <c r="D7" t="s">
        <v>305</v>
      </c>
      <c r="E7" t="s">
        <v>21</v>
      </c>
      <c r="G7" t="s">
        <v>14</v>
      </c>
      <c r="I7" t="s">
        <v>19</v>
      </c>
    </row>
    <row r="10" spans="2:9">
      <c r="B10" t="s">
        <v>215</v>
      </c>
    </row>
    <row r="11" spans="2:9">
      <c r="B11" t="s">
        <v>6</v>
      </c>
      <c r="C11" t="s">
        <v>1</v>
      </c>
      <c r="D11" t="s">
        <v>7</v>
      </c>
      <c r="E11" t="s">
        <v>49</v>
      </c>
      <c r="F11" t="s">
        <v>50</v>
      </c>
      <c r="G11" t="s">
        <v>11</v>
      </c>
      <c r="H11" t="s">
        <v>88</v>
      </c>
      <c r="I11" t="s">
        <v>89</v>
      </c>
    </row>
    <row r="12" spans="2:9">
      <c r="B12" t="s">
        <v>306</v>
      </c>
      <c r="C12" t="s">
        <v>307</v>
      </c>
      <c r="D12" t="s">
        <v>308</v>
      </c>
      <c r="E12" t="s">
        <v>309</v>
      </c>
      <c r="F12" t="s">
        <v>310</v>
      </c>
      <c r="G12" t="s">
        <v>311</v>
      </c>
      <c r="H12" t="s">
        <v>312</v>
      </c>
      <c r="I12" t="s">
        <v>313</v>
      </c>
    </row>
    <row r="13" spans="2:9">
      <c r="B13" t="s">
        <v>17</v>
      </c>
      <c r="C13" t="s">
        <v>314</v>
      </c>
      <c r="D13" t="s">
        <v>315</v>
      </c>
      <c r="E13" t="s">
        <v>21</v>
      </c>
      <c r="F13" t="s">
        <v>10</v>
      </c>
      <c r="G13" t="s">
        <v>14</v>
      </c>
    </row>
    <row r="14" spans="2:9">
      <c r="B14" t="s">
        <v>92</v>
      </c>
      <c r="C14" t="s">
        <v>316</v>
      </c>
      <c r="D14" t="s">
        <v>317</v>
      </c>
      <c r="E14" t="s">
        <v>21</v>
      </c>
      <c r="F14" t="s">
        <v>318</v>
      </c>
      <c r="G14" t="s">
        <v>14</v>
      </c>
    </row>
    <row r="15" spans="2:9">
      <c r="B15" t="s">
        <v>17</v>
      </c>
      <c r="C15" t="s">
        <v>319</v>
      </c>
      <c r="D15" t="s">
        <v>320</v>
      </c>
      <c r="E15" t="s">
        <v>21</v>
      </c>
      <c r="F15" t="s">
        <v>10</v>
      </c>
      <c r="G15" t="s">
        <v>14</v>
      </c>
    </row>
    <row r="17" spans="2:21">
      <c r="F17" t="s">
        <v>326</v>
      </c>
    </row>
    <row r="18" spans="2:21" ht="38.25">
      <c r="B18" s="154" t="s">
        <v>1</v>
      </c>
      <c r="C18" s="154" t="s">
        <v>321</v>
      </c>
      <c r="D18" s="154" t="s">
        <v>2</v>
      </c>
      <c r="E18" s="154" t="s">
        <v>3</v>
      </c>
      <c r="F18" s="169" t="s">
        <v>54</v>
      </c>
      <c r="G18" s="154" t="s">
        <v>52</v>
      </c>
      <c r="H18" s="155" t="s">
        <v>340</v>
      </c>
      <c r="I18" s="155" t="s">
        <v>55</v>
      </c>
      <c r="J18" s="155" t="s">
        <v>84</v>
      </c>
      <c r="K18" s="155" t="s">
        <v>350</v>
      </c>
      <c r="L18" s="155" t="s">
        <v>351</v>
      </c>
      <c r="M18" s="155" t="s">
        <v>352</v>
      </c>
      <c r="N18" s="155" t="s">
        <v>353</v>
      </c>
      <c r="O18" s="155" t="s">
        <v>354</v>
      </c>
      <c r="P18" s="155" t="s">
        <v>341</v>
      </c>
      <c r="Q18" s="155" t="s">
        <v>65</v>
      </c>
      <c r="R18" s="155" t="s">
        <v>342</v>
      </c>
      <c r="S18" s="155" t="s">
        <v>137</v>
      </c>
      <c r="T18" s="155" t="s">
        <v>343</v>
      </c>
      <c r="U18" s="155" t="s">
        <v>344</v>
      </c>
    </row>
    <row r="19" spans="2:21" ht="39" thickBot="1">
      <c r="B19" s="156" t="s">
        <v>322</v>
      </c>
      <c r="C19" s="156" t="s">
        <v>308</v>
      </c>
      <c r="D19" s="156" t="s">
        <v>323</v>
      </c>
      <c r="E19" s="156" t="s">
        <v>324</v>
      </c>
      <c r="F19" s="156" t="s">
        <v>355</v>
      </c>
      <c r="G19" s="156" t="s">
        <v>325</v>
      </c>
      <c r="H19" s="157"/>
      <c r="I19" s="157" t="s">
        <v>345</v>
      </c>
      <c r="J19" s="157" t="s">
        <v>346</v>
      </c>
      <c r="K19" s="157" t="s">
        <v>347</v>
      </c>
      <c r="L19" s="157"/>
      <c r="M19" s="157"/>
      <c r="N19" s="157"/>
      <c r="O19" s="157"/>
      <c r="P19" s="157" t="s">
        <v>347</v>
      </c>
      <c r="Q19" s="157" t="s">
        <v>347</v>
      </c>
      <c r="R19" s="157"/>
      <c r="S19" s="157"/>
      <c r="T19" s="157" t="s">
        <v>348</v>
      </c>
      <c r="U19" s="157" t="s">
        <v>349</v>
      </c>
    </row>
    <row r="20" spans="2:21">
      <c r="B20" t="s">
        <v>338</v>
      </c>
      <c r="D20" t="s">
        <v>333</v>
      </c>
      <c r="E20" t="s">
        <v>19</v>
      </c>
      <c r="F20" t="s">
        <v>47</v>
      </c>
      <c r="H20">
        <v>2025</v>
      </c>
      <c r="I20">
        <v>16</v>
      </c>
      <c r="J20">
        <v>0.91930000000000001</v>
      </c>
      <c r="K20">
        <v>1114</v>
      </c>
      <c r="L20">
        <v>1025</v>
      </c>
      <c r="M20">
        <v>1025</v>
      </c>
      <c r="N20">
        <v>1025</v>
      </c>
      <c r="O20">
        <v>1025</v>
      </c>
      <c r="P20">
        <v>1025</v>
      </c>
      <c r="Q20">
        <f>P20*(2.095/100)</f>
        <v>21.473750000000003</v>
      </c>
      <c r="S20">
        <v>8.76</v>
      </c>
    </row>
    <row r="21" spans="2:21">
      <c r="J21" s="165"/>
    </row>
    <row r="22" spans="2:21">
      <c r="J22" s="165"/>
    </row>
    <row r="23" spans="2:21">
      <c r="J23" s="165"/>
    </row>
    <row r="24" spans="2:21">
      <c r="J24" s="165"/>
    </row>
    <row r="25" spans="2:21">
      <c r="J25" s="165"/>
    </row>
    <row r="26" spans="2:21">
      <c r="B26" s="158" t="s">
        <v>0</v>
      </c>
      <c r="C26" s="158"/>
      <c r="D26" s="163"/>
      <c r="E26" s="163"/>
      <c r="F26" s="163"/>
      <c r="G26" s="163"/>
      <c r="H26" s="163"/>
      <c r="I26" s="163"/>
      <c r="J26" s="165"/>
    </row>
    <row r="27" spans="2:21">
      <c r="B27" s="167" t="s">
        <v>6</v>
      </c>
      <c r="C27" s="167" t="s">
        <v>1</v>
      </c>
      <c r="D27" s="167" t="s">
        <v>7</v>
      </c>
      <c r="E27" s="167" t="s">
        <v>49</v>
      </c>
      <c r="F27" s="167" t="s">
        <v>50</v>
      </c>
      <c r="G27" s="167" t="s">
        <v>11</v>
      </c>
      <c r="H27" s="167" t="s">
        <v>88</v>
      </c>
      <c r="I27" s="167" t="s">
        <v>89</v>
      </c>
      <c r="J27" s="165"/>
    </row>
    <row r="28" spans="2:21" ht="39" thickBot="1">
      <c r="B28" s="168" t="s">
        <v>306</v>
      </c>
      <c r="C28" s="168" t="s">
        <v>307</v>
      </c>
      <c r="D28" s="168" t="s">
        <v>308</v>
      </c>
      <c r="E28" s="168" t="s">
        <v>309</v>
      </c>
      <c r="F28" s="168" t="s">
        <v>310</v>
      </c>
      <c r="G28" s="168" t="s">
        <v>335</v>
      </c>
      <c r="H28" s="168" t="s">
        <v>336</v>
      </c>
      <c r="I28" s="168" t="s">
        <v>313</v>
      </c>
      <c r="J28" s="165"/>
    </row>
    <row r="29" spans="2:21">
      <c r="B29" t="s">
        <v>337</v>
      </c>
      <c r="C29" t="s">
        <v>338</v>
      </c>
      <c r="D29" t="s">
        <v>339</v>
      </c>
      <c r="E29" t="s">
        <v>21</v>
      </c>
      <c r="F29" t="s">
        <v>10</v>
      </c>
      <c r="G29" t="s">
        <v>14</v>
      </c>
      <c r="J29" s="165"/>
    </row>
    <row r="30" spans="2:21">
      <c r="B30" s="166"/>
      <c r="C30" s="166"/>
      <c r="D30" s="166"/>
      <c r="E30" s="166"/>
      <c r="F30" s="166"/>
      <c r="G30" s="166"/>
      <c r="H30" s="166"/>
      <c r="I30" s="166"/>
      <c r="J30" s="165"/>
    </row>
    <row r="31" spans="2:21">
      <c r="B31" s="166"/>
      <c r="C31" s="166"/>
      <c r="D31" s="166"/>
      <c r="E31" s="166"/>
      <c r="F31" s="166"/>
      <c r="G31" s="166"/>
      <c r="H31" s="166"/>
      <c r="I31" s="166"/>
      <c r="J31" s="165"/>
    </row>
    <row r="32" spans="2:21">
      <c r="B32" s="166"/>
      <c r="C32" s="166"/>
      <c r="D32" s="166"/>
      <c r="E32" s="166"/>
      <c r="F32" s="166"/>
      <c r="G32" s="166"/>
      <c r="H32" s="166"/>
      <c r="I32" s="166"/>
      <c r="J32" s="165"/>
    </row>
    <row r="33" spans="1:10">
      <c r="A33" s="165"/>
      <c r="B33" s="166"/>
      <c r="C33" s="166"/>
      <c r="D33" s="166"/>
      <c r="E33" s="166"/>
      <c r="F33" s="166"/>
      <c r="G33" s="166"/>
      <c r="H33" s="166"/>
      <c r="I33" s="166"/>
      <c r="J33" s="165"/>
    </row>
    <row r="34" spans="1:10">
      <c r="A34" s="165"/>
      <c r="B34" s="166"/>
      <c r="C34" s="166"/>
      <c r="D34" s="166"/>
      <c r="E34" s="166"/>
      <c r="F34" s="166"/>
      <c r="G34" s="166"/>
      <c r="H34" s="166"/>
      <c r="I34" s="166"/>
      <c r="J34" s="165"/>
    </row>
    <row r="35" spans="1:10">
      <c r="A35" s="165"/>
      <c r="B35" s="165"/>
      <c r="C35" s="165"/>
      <c r="D35" s="165"/>
      <c r="E35" s="165"/>
      <c r="F35" s="165"/>
      <c r="G35" s="165"/>
      <c r="H35" s="165"/>
      <c r="I35" s="165"/>
      <c r="J35" s="165"/>
    </row>
    <row r="36" spans="1:10">
      <c r="A36" s="165"/>
      <c r="B36" s="158" t="s">
        <v>218</v>
      </c>
      <c r="C36" s="159"/>
      <c r="D36" s="159"/>
      <c r="E36" s="159"/>
      <c r="F36" s="159"/>
      <c r="G36" s="159"/>
      <c r="H36" s="159"/>
      <c r="I36" s="159"/>
      <c r="J36" s="165"/>
    </row>
    <row r="37" spans="1:10">
      <c r="A37" s="165"/>
      <c r="B37" s="160" t="s">
        <v>36</v>
      </c>
      <c r="C37" s="160" t="s">
        <v>37</v>
      </c>
      <c r="D37" s="160" t="s">
        <v>38</v>
      </c>
      <c r="E37" s="161" t="s">
        <v>23</v>
      </c>
      <c r="F37" s="161" t="s">
        <v>39</v>
      </c>
      <c r="G37" s="161" t="s">
        <v>40</v>
      </c>
      <c r="H37" s="161" t="s">
        <v>41</v>
      </c>
      <c r="I37" s="161" t="s">
        <v>42</v>
      </c>
      <c r="J37" s="165"/>
    </row>
    <row r="38" spans="1:10" ht="39" thickBot="1">
      <c r="A38" s="165"/>
      <c r="B38" s="162" t="s">
        <v>295</v>
      </c>
      <c r="C38" s="162" t="s">
        <v>296</v>
      </c>
      <c r="D38" s="162" t="s">
        <v>297</v>
      </c>
      <c r="E38" s="162" t="s">
        <v>23</v>
      </c>
      <c r="F38" s="162" t="s">
        <v>330</v>
      </c>
      <c r="G38" s="162" t="s">
        <v>331</v>
      </c>
      <c r="H38" s="162" t="s">
        <v>300</v>
      </c>
      <c r="I38" s="162" t="s">
        <v>301</v>
      </c>
      <c r="J38" s="165"/>
    </row>
    <row r="39" spans="1:10">
      <c r="A39" s="165"/>
      <c r="B39" s="166" t="s">
        <v>24</v>
      </c>
      <c r="C39" s="3" t="s">
        <v>47</v>
      </c>
      <c r="D39" s="3" t="s">
        <v>48</v>
      </c>
      <c r="E39" s="166" t="s">
        <v>21</v>
      </c>
      <c r="F39" s="166" t="s">
        <v>332</v>
      </c>
      <c r="G39" s="166" t="s">
        <v>14</v>
      </c>
      <c r="H39" s="166"/>
      <c r="I39" s="166"/>
      <c r="J39" s="165"/>
    </row>
    <row r="40" spans="1:10">
      <c r="A40" s="165"/>
      <c r="B40" s="164" t="s">
        <v>24</v>
      </c>
      <c r="C40" s="164" t="s">
        <v>333</v>
      </c>
      <c r="D40" s="164" t="s">
        <v>334</v>
      </c>
      <c r="E40" s="164" t="s">
        <v>21</v>
      </c>
      <c r="F40" s="164"/>
      <c r="G40" s="164" t="s">
        <v>14</v>
      </c>
      <c r="H40" s="164"/>
      <c r="I40" s="164"/>
      <c r="J40" s="165"/>
    </row>
    <row r="41" spans="1:10">
      <c r="A41" s="165"/>
      <c r="B41" s="166"/>
      <c r="C41" s="166"/>
      <c r="D41" s="166"/>
      <c r="E41" s="166"/>
      <c r="F41" s="166"/>
      <c r="G41" s="166"/>
      <c r="H41" s="166"/>
      <c r="I41" s="166"/>
    </row>
    <row r="42" spans="1:10">
      <c r="A42" s="165"/>
      <c r="B42" s="165"/>
      <c r="C42" s="165"/>
      <c r="D42" s="165"/>
      <c r="E42" s="165"/>
      <c r="F42" s="165"/>
      <c r="G42" s="165"/>
      <c r="H42" s="165"/>
      <c r="I42" s="165"/>
    </row>
    <row r="43" spans="1:10">
      <c r="A43" s="165"/>
    </row>
    <row r="44" spans="1:10">
      <c r="A44" s="165"/>
    </row>
    <row r="45" spans="1:10">
      <c r="A45" s="165"/>
    </row>
    <row r="62" spans="3:10">
      <c r="J62" s="3"/>
    </row>
    <row r="64" spans="3:10">
      <c r="C64" s="3" t="s">
        <v>328</v>
      </c>
      <c r="D64" s="3"/>
      <c r="E64" s="3"/>
      <c r="F64" s="3"/>
      <c r="G64" s="3"/>
      <c r="H64" s="3"/>
      <c r="I64" s="3"/>
    </row>
    <row r="65" spans="3:24">
      <c r="C65" s="3" t="s">
        <v>36</v>
      </c>
      <c r="D65" s="3" t="s">
        <v>37</v>
      </c>
      <c r="E65" s="3" t="s">
        <v>38</v>
      </c>
      <c r="F65" s="3" t="s">
        <v>23</v>
      </c>
      <c r="G65" s="3" t="s">
        <v>39</v>
      </c>
      <c r="H65" s="3" t="s">
        <v>40</v>
      </c>
      <c r="I65" s="3" t="s">
        <v>41</v>
      </c>
      <c r="J65" s="3" t="s">
        <v>42</v>
      </c>
    </row>
    <row r="66" spans="3:24">
      <c r="C66" s="3" t="s">
        <v>43</v>
      </c>
      <c r="D66" s="3" t="s">
        <v>44</v>
      </c>
      <c r="E66" s="3" t="s">
        <v>45</v>
      </c>
      <c r="F66" s="3" t="s">
        <v>46</v>
      </c>
      <c r="G66" s="3"/>
      <c r="H66" s="5" t="s">
        <v>14</v>
      </c>
      <c r="I66" s="3"/>
    </row>
    <row r="67" spans="3:24">
      <c r="D67" s="3" t="s">
        <v>47</v>
      </c>
      <c r="E67" s="3" t="s">
        <v>48</v>
      </c>
      <c r="F67" s="3" t="s">
        <v>46</v>
      </c>
      <c r="G67" s="3"/>
      <c r="H67" s="5" t="s">
        <v>14</v>
      </c>
    </row>
    <row r="69" spans="3:24">
      <c r="J69" s="3"/>
    </row>
    <row r="70" spans="3:24">
      <c r="C70" s="5" t="s">
        <v>215</v>
      </c>
      <c r="D70" s="5"/>
      <c r="E70" s="5"/>
      <c r="F70" s="5"/>
      <c r="G70" s="5"/>
      <c r="H70" s="5"/>
      <c r="I70" s="6"/>
    </row>
    <row r="71" spans="3:24">
      <c r="C71" s="5" t="s">
        <v>6</v>
      </c>
      <c r="D71" s="5" t="s">
        <v>1</v>
      </c>
      <c r="E71" s="5" t="s">
        <v>7</v>
      </c>
      <c r="F71" s="5" t="s">
        <v>49</v>
      </c>
      <c r="G71" s="5" t="s">
        <v>50</v>
      </c>
      <c r="H71" s="5" t="s">
        <v>11</v>
      </c>
      <c r="I71" s="6"/>
    </row>
    <row r="72" spans="3:24">
      <c r="C72" s="5" t="s">
        <v>56</v>
      </c>
      <c r="D72" s="5" t="s">
        <v>57</v>
      </c>
      <c r="E72" s="8" t="s">
        <v>58</v>
      </c>
      <c r="F72" s="5" t="s">
        <v>46</v>
      </c>
      <c r="G72" s="5" t="s">
        <v>10</v>
      </c>
      <c r="H72" s="5" t="s">
        <v>14</v>
      </c>
      <c r="I72" s="6"/>
    </row>
    <row r="73" spans="3:24">
      <c r="C73" s="5"/>
      <c r="D73" s="7" t="s">
        <v>59</v>
      </c>
      <c r="E73" s="7" t="s">
        <v>61</v>
      </c>
      <c r="F73" s="5" t="s">
        <v>46</v>
      </c>
      <c r="G73" s="5" t="s">
        <v>10</v>
      </c>
      <c r="H73" s="5" t="s">
        <v>14</v>
      </c>
      <c r="I73" s="6"/>
      <c r="J73" s="6"/>
      <c r="K73" s="6"/>
      <c r="L73" s="6"/>
      <c r="M73" s="6"/>
      <c r="N73" s="7" t="s">
        <v>327</v>
      </c>
      <c r="P73" s="6"/>
      <c r="Q73" s="6"/>
      <c r="R73" s="6"/>
      <c r="S73" s="6"/>
      <c r="T73" s="6"/>
      <c r="U73" s="6"/>
      <c r="V73" s="6"/>
      <c r="W73" s="6"/>
      <c r="X73" s="6"/>
    </row>
    <row r="74" spans="3:24">
      <c r="C74" s="5"/>
      <c r="D74" s="5"/>
      <c r="E74" s="5"/>
      <c r="F74" s="5"/>
      <c r="G74" s="5"/>
      <c r="H74" s="5"/>
      <c r="I74" s="6"/>
      <c r="J74" s="6" t="s">
        <v>1</v>
      </c>
      <c r="K74" s="6" t="s">
        <v>51</v>
      </c>
      <c r="L74" s="6" t="s">
        <v>52</v>
      </c>
      <c r="M74" s="6" t="s">
        <v>22</v>
      </c>
      <c r="N74" s="7" t="s">
        <v>53</v>
      </c>
      <c r="O74" s="6">
        <f>K100</f>
        <v>2020</v>
      </c>
      <c r="P74" s="6">
        <f>L100</f>
        <v>2025</v>
      </c>
      <c r="Q74" s="6">
        <f>M100</f>
        <v>2030</v>
      </c>
      <c r="R74" s="6">
        <f t="shared" ref="R74:U74" si="0">N100</f>
        <v>2035</v>
      </c>
      <c r="S74" s="6">
        <f t="shared" si="0"/>
        <v>2040</v>
      </c>
      <c r="T74" s="6">
        <f t="shared" si="0"/>
        <v>2045</v>
      </c>
      <c r="U74" s="6">
        <f t="shared" si="0"/>
        <v>2050</v>
      </c>
      <c r="V74" s="6" t="s">
        <v>3</v>
      </c>
      <c r="W74" s="6" t="s">
        <v>54</v>
      </c>
      <c r="X74" t="s">
        <v>55</v>
      </c>
    </row>
    <row r="75" spans="3:24">
      <c r="C75" s="5"/>
      <c r="D75" s="5"/>
      <c r="E75" s="5"/>
      <c r="F75" s="5"/>
      <c r="G75" s="5"/>
      <c r="H75" s="5"/>
      <c r="I75" s="6"/>
      <c r="J75" s="6" t="s">
        <v>59</v>
      </c>
      <c r="K75" s="6" t="s">
        <v>60</v>
      </c>
      <c r="L75" s="3" t="s">
        <v>47</v>
      </c>
      <c r="M75" s="3" t="s">
        <v>19</v>
      </c>
      <c r="N75" s="6" t="s">
        <v>18</v>
      </c>
      <c r="O75" s="9">
        <f>1/O82</f>
        <v>1.1764705882352942</v>
      </c>
      <c r="P75" s="9"/>
      <c r="Q75" s="9"/>
      <c r="R75" s="9"/>
      <c r="S75" s="9"/>
      <c r="T75" s="9"/>
      <c r="U75" s="9"/>
      <c r="V75" s="6"/>
      <c r="W75" s="5" t="str">
        <f>L75</f>
        <v>AuxStoOUT</v>
      </c>
      <c r="X75">
        <v>20</v>
      </c>
    </row>
    <row r="76" spans="3:24">
      <c r="J76" s="6" t="s">
        <v>59</v>
      </c>
      <c r="K76" s="6" t="s">
        <v>62</v>
      </c>
      <c r="L76" s="6" t="s">
        <v>63</v>
      </c>
      <c r="M76" s="6" t="s">
        <v>19</v>
      </c>
      <c r="N76" s="6" t="s">
        <v>14</v>
      </c>
      <c r="O76" s="9">
        <f>4/24</f>
        <v>0.16666666666666666</v>
      </c>
      <c r="P76" s="4"/>
      <c r="Q76" s="4"/>
      <c r="R76" s="4"/>
      <c r="S76" s="4"/>
      <c r="T76" s="4"/>
      <c r="U76" s="4"/>
      <c r="V76" s="5" t="str">
        <f>M76</f>
        <v>ELC</v>
      </c>
    </row>
    <row r="77" spans="3:24">
      <c r="J77" s="6" t="s">
        <v>59</v>
      </c>
      <c r="K77" s="6" t="s">
        <v>62</v>
      </c>
      <c r="L77" s="6" t="s">
        <v>24</v>
      </c>
      <c r="M77" s="6"/>
      <c r="N77" s="7" t="s">
        <v>14</v>
      </c>
      <c r="O77" s="9">
        <v>1</v>
      </c>
      <c r="P77" s="9"/>
      <c r="Q77" s="9"/>
      <c r="R77" s="9"/>
      <c r="S77" s="9"/>
      <c r="T77" s="9"/>
      <c r="U77" s="9"/>
      <c r="V77" s="6"/>
      <c r="W77" s="6"/>
    </row>
    <row r="78" spans="3:24">
      <c r="J78" s="6" t="s">
        <v>59</v>
      </c>
      <c r="K78" s="6" t="s">
        <v>64</v>
      </c>
      <c r="L78" s="6"/>
      <c r="M78" s="6"/>
      <c r="N78" s="7"/>
      <c r="O78" s="9">
        <f>K105</f>
        <v>1363</v>
      </c>
      <c r="P78" s="9">
        <f>L105</f>
        <v>956</v>
      </c>
      <c r="Q78" s="9">
        <f>M105</f>
        <v>784</v>
      </c>
      <c r="R78" s="9">
        <f t="shared" ref="R78:U78" si="1">N105</f>
        <v>735</v>
      </c>
      <c r="S78" s="9">
        <f t="shared" si="1"/>
        <v>686</v>
      </c>
      <c r="T78" s="9">
        <f t="shared" si="1"/>
        <v>637</v>
      </c>
      <c r="U78" s="9">
        <f t="shared" si="1"/>
        <v>588</v>
      </c>
      <c r="V78" s="6"/>
      <c r="W78" s="6"/>
    </row>
    <row r="79" spans="3:24">
      <c r="J79" t="s">
        <v>59</v>
      </c>
      <c r="K79" t="s">
        <v>65</v>
      </c>
      <c r="O79" s="4">
        <f>K109</f>
        <v>34</v>
      </c>
      <c r="P79" s="4">
        <f>L109</f>
        <v>24</v>
      </c>
      <c r="Q79" s="4">
        <f>M109</f>
        <v>20</v>
      </c>
      <c r="R79" s="4">
        <f t="shared" ref="R79:U79" si="2">N109</f>
        <v>18</v>
      </c>
      <c r="S79" s="4">
        <f t="shared" si="2"/>
        <v>17</v>
      </c>
      <c r="T79" s="4">
        <f t="shared" si="2"/>
        <v>16</v>
      </c>
      <c r="U79" s="4">
        <f t="shared" si="2"/>
        <v>15</v>
      </c>
    </row>
    <row r="80" spans="3:24">
      <c r="J80" t="s">
        <v>59</v>
      </c>
      <c r="K80" t="s">
        <v>66</v>
      </c>
      <c r="N80" t="s">
        <v>18</v>
      </c>
      <c r="O80" s="4">
        <v>1</v>
      </c>
      <c r="P80" s="4"/>
      <c r="Q80" s="4"/>
      <c r="R80" s="4"/>
      <c r="S80" s="4"/>
      <c r="T80" s="4"/>
      <c r="U80" s="4"/>
    </row>
    <row r="81" spans="10:24">
      <c r="J81" t="s">
        <v>59</v>
      </c>
      <c r="K81" t="s">
        <v>67</v>
      </c>
      <c r="O81" s="9">
        <v>31.536000000000001</v>
      </c>
      <c r="P81" s="4"/>
      <c r="Q81" s="4"/>
      <c r="R81" s="4"/>
      <c r="S81" s="4"/>
      <c r="T81" s="4"/>
      <c r="U81" s="4"/>
    </row>
    <row r="82" spans="10:24">
      <c r="J82" t="s">
        <v>59</v>
      </c>
      <c r="K82" t="s">
        <v>68</v>
      </c>
      <c r="O82" s="4">
        <v>0.85</v>
      </c>
      <c r="P82" s="4"/>
      <c r="Q82" s="4"/>
      <c r="R82" s="4"/>
      <c r="S82" s="4"/>
      <c r="T82" s="4"/>
      <c r="U82" s="4"/>
    </row>
    <row r="83" spans="10:24">
      <c r="J83" t="s">
        <v>57</v>
      </c>
      <c r="K83" t="s">
        <v>60</v>
      </c>
      <c r="L83" s="3" t="s">
        <v>47</v>
      </c>
      <c r="M83" s="3" t="s">
        <v>19</v>
      </c>
      <c r="N83" t="s">
        <v>18</v>
      </c>
      <c r="O83" s="9">
        <f>1/O90</f>
        <v>1.1764705882352942</v>
      </c>
      <c r="P83" s="4"/>
      <c r="Q83" s="4"/>
      <c r="R83" s="4"/>
      <c r="S83" s="4"/>
      <c r="T83" s="4"/>
      <c r="U83" s="4"/>
      <c r="V83" s="6"/>
      <c r="W83" s="5" t="str">
        <f>L83</f>
        <v>AuxStoOUT</v>
      </c>
      <c r="X83">
        <v>20</v>
      </c>
    </row>
    <row r="84" spans="10:24">
      <c r="J84" t="s">
        <v>57</v>
      </c>
      <c r="K84" t="s">
        <v>62</v>
      </c>
      <c r="L84" t="s">
        <v>63</v>
      </c>
      <c r="M84" t="s">
        <v>19</v>
      </c>
      <c r="N84" t="s">
        <v>14</v>
      </c>
      <c r="O84" s="4">
        <f>8/24</f>
        <v>0.33333333333333331</v>
      </c>
      <c r="P84" s="4"/>
      <c r="Q84" s="4"/>
      <c r="R84" s="4"/>
      <c r="S84" s="4"/>
      <c r="T84" s="4"/>
      <c r="U84" s="4"/>
      <c r="V84" s="5" t="str">
        <f>M84</f>
        <v>ELC</v>
      </c>
    </row>
    <row r="85" spans="10:24">
      <c r="J85" t="s">
        <v>57</v>
      </c>
      <c r="K85" t="s">
        <v>62</v>
      </c>
      <c r="L85" t="s">
        <v>24</v>
      </c>
      <c r="N85" t="s">
        <v>14</v>
      </c>
      <c r="O85" s="4">
        <v>1</v>
      </c>
      <c r="P85" s="4"/>
      <c r="Q85" s="4"/>
      <c r="R85" s="4"/>
      <c r="S85" s="4"/>
      <c r="T85" s="4"/>
      <c r="U85" s="4"/>
    </row>
    <row r="86" spans="10:24">
      <c r="J86" t="s">
        <v>57</v>
      </c>
      <c r="K86" t="s">
        <v>64</v>
      </c>
      <c r="O86" s="4">
        <f>K114</f>
        <v>2470</v>
      </c>
      <c r="P86" s="4">
        <f>L114</f>
        <v>1714</v>
      </c>
      <c r="Q86" s="4">
        <f>M114</f>
        <v>1371</v>
      </c>
      <c r="R86" s="4">
        <f t="shared" ref="R86:U86" si="3">N114</f>
        <v>1277</v>
      </c>
      <c r="S86" s="4">
        <f t="shared" si="3"/>
        <v>1183</v>
      </c>
      <c r="T86" s="4">
        <f t="shared" si="3"/>
        <v>1089</v>
      </c>
      <c r="U86" s="4">
        <f t="shared" si="3"/>
        <v>995</v>
      </c>
    </row>
    <row r="87" spans="10:24">
      <c r="J87" t="s">
        <v>57</v>
      </c>
      <c r="K87" t="s">
        <v>65</v>
      </c>
      <c r="O87" s="4">
        <f>K118</f>
        <v>62</v>
      </c>
      <c r="P87" s="4">
        <f>L118</f>
        <v>43</v>
      </c>
      <c r="Q87" s="4">
        <f>M118</f>
        <v>34</v>
      </c>
      <c r="R87" s="4">
        <f t="shared" ref="R87:U87" si="4">N118</f>
        <v>32</v>
      </c>
      <c r="S87" s="4">
        <f t="shared" si="4"/>
        <v>30</v>
      </c>
      <c r="T87" s="4">
        <f t="shared" si="4"/>
        <v>27</v>
      </c>
      <c r="U87" s="4">
        <f t="shared" si="4"/>
        <v>25</v>
      </c>
    </row>
    <row r="88" spans="10:24">
      <c r="J88" t="s">
        <v>57</v>
      </c>
      <c r="K88" t="s">
        <v>66</v>
      </c>
      <c r="N88" t="s">
        <v>18</v>
      </c>
      <c r="O88" s="4">
        <v>1</v>
      </c>
      <c r="P88" s="4"/>
      <c r="Q88" s="4"/>
      <c r="R88" s="4"/>
      <c r="S88" s="4"/>
      <c r="T88" s="4"/>
      <c r="U88" s="4"/>
    </row>
    <row r="89" spans="10:24">
      <c r="J89" t="s">
        <v>57</v>
      </c>
      <c r="K89" t="s">
        <v>67</v>
      </c>
      <c r="O89" s="9">
        <v>31.536000000000001</v>
      </c>
      <c r="P89" s="4"/>
      <c r="Q89" s="4"/>
      <c r="R89" s="4"/>
      <c r="S89" s="4"/>
      <c r="T89" s="4"/>
      <c r="U89" s="4"/>
    </row>
    <row r="90" spans="10:24">
      <c r="J90" t="s">
        <v>57</v>
      </c>
      <c r="K90" t="s">
        <v>68</v>
      </c>
      <c r="O90" s="4">
        <v>0.85</v>
      </c>
      <c r="P90" s="4"/>
      <c r="Q90" s="4"/>
      <c r="R90" s="4"/>
      <c r="S90" s="4"/>
      <c r="T90" s="4"/>
      <c r="U90" s="4"/>
    </row>
    <row r="96" spans="10:24" ht="15.75">
      <c r="J96" s="10" t="s">
        <v>69</v>
      </c>
      <c r="K96" s="11"/>
      <c r="L96" s="11"/>
      <c r="M96" s="11"/>
      <c r="N96" s="11"/>
      <c r="O96" s="11"/>
      <c r="P96" s="11"/>
      <c r="Q96" s="11"/>
    </row>
    <row r="97" spans="10:23" ht="15.75">
      <c r="J97" s="10" t="s">
        <v>70</v>
      </c>
      <c r="K97" s="11"/>
      <c r="L97" s="11"/>
      <c r="M97" s="11"/>
      <c r="N97" s="11"/>
      <c r="O97" s="11"/>
      <c r="P97" s="11"/>
      <c r="Q97" s="11"/>
    </row>
    <row r="98" spans="10:23">
      <c r="J98" s="12"/>
      <c r="K98" s="12"/>
      <c r="L98" s="12"/>
      <c r="M98" s="12"/>
      <c r="N98" s="12"/>
      <c r="O98" s="12"/>
      <c r="P98" s="12"/>
      <c r="Q98" s="12"/>
    </row>
    <row r="99" spans="10:23" ht="15.75">
      <c r="J99" s="13" t="s">
        <v>71</v>
      </c>
      <c r="K99" s="14"/>
      <c r="L99" s="14"/>
      <c r="M99" s="14"/>
      <c r="N99" s="14"/>
      <c r="O99" s="14"/>
      <c r="P99" s="14"/>
      <c r="Q99" s="14"/>
      <c r="W99">
        <f>24/8</f>
        <v>3</v>
      </c>
    </row>
    <row r="100" spans="10:23" ht="15.75">
      <c r="J100" s="14"/>
      <c r="K100" s="14">
        <v>2020</v>
      </c>
      <c r="L100" s="14">
        <v>2025</v>
      </c>
      <c r="M100" s="14">
        <v>2030</v>
      </c>
      <c r="N100" s="14">
        <v>2035</v>
      </c>
      <c r="O100" s="14">
        <v>2040</v>
      </c>
      <c r="P100" s="14">
        <v>2045</v>
      </c>
      <c r="Q100" s="14">
        <v>2050</v>
      </c>
    </row>
    <row r="101" spans="10:23" ht="15.75">
      <c r="J101" s="15" t="s">
        <v>72</v>
      </c>
      <c r="K101" s="14"/>
      <c r="L101" s="14"/>
      <c r="M101" s="14"/>
      <c r="N101" s="14"/>
      <c r="O101" s="14"/>
      <c r="P101" s="14"/>
      <c r="Q101" s="14"/>
    </row>
    <row r="102" spans="10:23" ht="15.75">
      <c r="J102" s="13" t="s">
        <v>73</v>
      </c>
      <c r="K102" s="14"/>
      <c r="L102" s="14"/>
      <c r="M102" s="14"/>
      <c r="N102" s="14"/>
      <c r="O102" s="14"/>
      <c r="P102" s="14"/>
      <c r="Q102" s="14"/>
    </row>
    <row r="103" spans="10:23" ht="15.75">
      <c r="J103" s="14" t="s">
        <v>74</v>
      </c>
      <c r="K103" s="16">
        <v>1363</v>
      </c>
      <c r="L103" s="16">
        <v>839</v>
      </c>
      <c r="M103" s="16">
        <v>566</v>
      </c>
      <c r="N103" s="16">
        <v>512</v>
      </c>
      <c r="O103" s="16">
        <v>454</v>
      </c>
      <c r="P103" s="16">
        <v>400</v>
      </c>
      <c r="Q103" s="16">
        <v>346</v>
      </c>
    </row>
    <row r="104" spans="10:23" ht="15.75">
      <c r="J104" s="14" t="s">
        <v>75</v>
      </c>
      <c r="K104" s="16">
        <v>1363</v>
      </c>
      <c r="L104" s="16">
        <v>1167</v>
      </c>
      <c r="M104" s="16">
        <v>981</v>
      </c>
      <c r="N104" s="16">
        <v>981</v>
      </c>
      <c r="O104" s="16">
        <v>981</v>
      </c>
      <c r="P104" s="16">
        <v>981</v>
      </c>
      <c r="Q104" s="16">
        <v>981</v>
      </c>
    </row>
    <row r="105" spans="10:23" ht="15.75">
      <c r="J105" s="14" t="s">
        <v>76</v>
      </c>
      <c r="K105" s="16">
        <v>1363</v>
      </c>
      <c r="L105" s="16">
        <v>956</v>
      </c>
      <c r="M105" s="16">
        <v>784</v>
      </c>
      <c r="N105" s="16">
        <v>735</v>
      </c>
      <c r="O105" s="16">
        <v>686</v>
      </c>
      <c r="P105" s="16">
        <v>637</v>
      </c>
      <c r="Q105" s="16">
        <v>588</v>
      </c>
    </row>
    <row r="106" spans="10:23" ht="15.75">
      <c r="J106" s="13" t="s">
        <v>77</v>
      </c>
      <c r="K106" s="17"/>
      <c r="L106" s="17"/>
      <c r="M106" s="17"/>
      <c r="N106" s="17"/>
      <c r="O106" s="17"/>
      <c r="P106" s="17"/>
      <c r="Q106" s="17"/>
    </row>
    <row r="107" spans="10:23" ht="15.75">
      <c r="J107" s="14" t="s">
        <v>74</v>
      </c>
      <c r="K107" s="18">
        <v>34</v>
      </c>
      <c r="L107" s="18">
        <v>21</v>
      </c>
      <c r="M107" s="18">
        <v>14</v>
      </c>
      <c r="N107" s="18">
        <v>13</v>
      </c>
      <c r="O107" s="18">
        <v>11</v>
      </c>
      <c r="P107" s="18">
        <v>10</v>
      </c>
      <c r="Q107" s="18">
        <v>9</v>
      </c>
    </row>
    <row r="108" spans="10:23" ht="15.75">
      <c r="J108" s="14" t="s">
        <v>75</v>
      </c>
      <c r="K108" s="18">
        <v>34</v>
      </c>
      <c r="L108" s="18">
        <v>29</v>
      </c>
      <c r="M108" s="18">
        <v>25</v>
      </c>
      <c r="N108" s="18">
        <v>25</v>
      </c>
      <c r="O108" s="18">
        <v>25</v>
      </c>
      <c r="P108" s="18">
        <v>25</v>
      </c>
      <c r="Q108" s="18">
        <v>25</v>
      </c>
    </row>
    <row r="109" spans="10:23" ht="15.75">
      <c r="J109" s="14" t="s">
        <v>76</v>
      </c>
      <c r="K109" s="18">
        <v>34</v>
      </c>
      <c r="L109" s="18">
        <v>24</v>
      </c>
      <c r="M109" s="18">
        <v>20</v>
      </c>
      <c r="N109" s="18">
        <v>18</v>
      </c>
      <c r="O109" s="18">
        <v>17</v>
      </c>
      <c r="P109" s="18">
        <v>16</v>
      </c>
      <c r="Q109" s="18">
        <v>15</v>
      </c>
    </row>
    <row r="110" spans="10:23" ht="15.75">
      <c r="J110" s="15" t="s">
        <v>78</v>
      </c>
      <c r="K110" s="17"/>
      <c r="L110" s="17"/>
      <c r="M110" s="17"/>
      <c r="N110" s="17"/>
      <c r="O110" s="17"/>
      <c r="P110" s="17"/>
      <c r="Q110" s="17"/>
    </row>
    <row r="111" spans="10:23" ht="15.75">
      <c r="J111" s="13" t="s">
        <v>73</v>
      </c>
      <c r="K111" s="17"/>
      <c r="L111" s="17"/>
      <c r="M111" s="17"/>
      <c r="N111" s="17"/>
      <c r="O111" s="17"/>
      <c r="P111" s="17"/>
      <c r="Q111" s="17"/>
    </row>
    <row r="112" spans="10:23" ht="15.75">
      <c r="J112" s="14" t="s">
        <v>74</v>
      </c>
      <c r="K112" s="16">
        <v>2470</v>
      </c>
      <c r="L112" s="16">
        <v>1518</v>
      </c>
      <c r="M112" s="16">
        <v>1024</v>
      </c>
      <c r="N112" s="16">
        <v>927</v>
      </c>
      <c r="O112" s="16">
        <v>822</v>
      </c>
      <c r="P112" s="16">
        <v>724</v>
      </c>
      <c r="Q112" s="16">
        <v>626</v>
      </c>
    </row>
    <row r="113" spans="10:17" ht="15.75">
      <c r="J113" s="14" t="s">
        <v>75</v>
      </c>
      <c r="K113" s="16">
        <v>2470</v>
      </c>
      <c r="L113" s="16">
        <v>2111</v>
      </c>
      <c r="M113" s="16">
        <v>1754</v>
      </c>
      <c r="N113" s="16">
        <v>1754</v>
      </c>
      <c r="O113" s="16">
        <v>1754</v>
      </c>
      <c r="P113" s="16">
        <v>1754</v>
      </c>
      <c r="Q113" s="16">
        <v>1754</v>
      </c>
    </row>
    <row r="114" spans="10:17" ht="15.75">
      <c r="J114" s="14" t="s">
        <v>76</v>
      </c>
      <c r="K114" s="16">
        <v>2470</v>
      </c>
      <c r="L114" s="16">
        <v>1714</v>
      </c>
      <c r="M114" s="16">
        <v>1371</v>
      </c>
      <c r="N114" s="16">
        <v>1277</v>
      </c>
      <c r="O114" s="16">
        <v>1183</v>
      </c>
      <c r="P114" s="16">
        <v>1089</v>
      </c>
      <c r="Q114" s="16">
        <v>995</v>
      </c>
    </row>
    <row r="115" spans="10:17" ht="15.75">
      <c r="J115" s="13" t="s">
        <v>77</v>
      </c>
      <c r="K115" s="17"/>
      <c r="L115" s="17"/>
      <c r="M115" s="17"/>
      <c r="N115" s="17"/>
      <c r="O115" s="17"/>
      <c r="P115" s="17"/>
      <c r="Q115" s="17"/>
    </row>
    <row r="116" spans="10:17" ht="15.75">
      <c r="J116" s="14" t="s">
        <v>74</v>
      </c>
      <c r="K116" s="18">
        <v>62</v>
      </c>
      <c r="L116" s="18">
        <v>38</v>
      </c>
      <c r="M116" s="18">
        <v>26</v>
      </c>
      <c r="N116" s="18">
        <v>23</v>
      </c>
      <c r="O116" s="18">
        <v>21</v>
      </c>
      <c r="P116" s="18">
        <v>18</v>
      </c>
      <c r="Q116" s="18">
        <v>16</v>
      </c>
    </row>
    <row r="117" spans="10:17" ht="15.75">
      <c r="J117" s="14" t="s">
        <v>75</v>
      </c>
      <c r="K117" s="18">
        <v>62</v>
      </c>
      <c r="L117" s="18">
        <v>53</v>
      </c>
      <c r="M117" s="18">
        <v>44</v>
      </c>
      <c r="N117" s="18">
        <v>44</v>
      </c>
      <c r="O117" s="18">
        <v>44</v>
      </c>
      <c r="P117" s="18">
        <v>44</v>
      </c>
      <c r="Q117" s="18">
        <v>44</v>
      </c>
    </row>
    <row r="118" spans="10:17" ht="15.75">
      <c r="J118" s="14" t="s">
        <v>76</v>
      </c>
      <c r="K118" s="18">
        <v>62</v>
      </c>
      <c r="L118" s="18">
        <v>43</v>
      </c>
      <c r="M118" s="18">
        <v>34</v>
      </c>
      <c r="N118" s="18">
        <v>32</v>
      </c>
      <c r="O118" s="18">
        <v>30</v>
      </c>
      <c r="P118" s="18">
        <v>27</v>
      </c>
      <c r="Q118" s="18">
        <v>25</v>
      </c>
    </row>
    <row r="119" spans="10:17">
      <c r="J119" s="12"/>
      <c r="K119" s="12"/>
      <c r="L119" s="12"/>
      <c r="M119" s="12"/>
      <c r="N119" s="12"/>
      <c r="O119" s="12"/>
      <c r="P119" s="12"/>
      <c r="Q119" s="12"/>
    </row>
    <row r="120" spans="10:17" ht="15.75">
      <c r="J120" s="11" t="s">
        <v>79</v>
      </c>
      <c r="K120" s="11">
        <v>0.85</v>
      </c>
      <c r="L120" s="11"/>
      <c r="M120" s="11"/>
      <c r="N120" s="11"/>
      <c r="O120" s="11"/>
      <c r="P120" s="11"/>
      <c r="Q120" s="11"/>
    </row>
    <row r="121" spans="10:17" ht="15.75">
      <c r="J121" s="11" t="s">
        <v>80</v>
      </c>
      <c r="K121" s="11"/>
      <c r="L121" s="11"/>
      <c r="M121" s="11"/>
      <c r="N121" s="11"/>
      <c r="O121" s="11"/>
      <c r="P121" s="11"/>
      <c r="Q121" s="11"/>
    </row>
    <row r="122" spans="10:17" ht="15.75">
      <c r="J122" s="11" t="s">
        <v>81</v>
      </c>
      <c r="K122" s="11"/>
      <c r="L122" s="11"/>
      <c r="M122" s="11"/>
      <c r="N122" s="19"/>
      <c r="O122" s="11"/>
      <c r="P122" s="11"/>
      <c r="Q122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opLeftCell="A32" workbookViewId="0">
      <selection activeCell="AF56" sqref="AF56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329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329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329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329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329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329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2026-04-30T08:24:00Z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