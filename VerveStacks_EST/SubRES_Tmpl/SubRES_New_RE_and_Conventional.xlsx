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927BE62-8E13-4E19-AAE4-846D24CC70E2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2" l="1"/>
  <c r="J16" i="12"/>
  <c r="J17" i="12"/>
  <c r="J18" i="12"/>
  <c r="J19" i="12"/>
  <c r="J20" i="12"/>
  <c r="J14" i="12"/>
  <c r="V34" i="9"/>
  <c r="N13" i="9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<sst xmlns="http://schemas.openxmlformats.org/spreadsheetml/2006/main" count="1118" uniqueCount="327">
  <si>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</si>
  <si>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</si>
  <si>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</si>
  <si>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</si>
  <si>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</si>
  <si>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</si>
  <si>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</si>
  <si>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</si>
  <si>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</si>
  <si>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</si>
  <si>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</si>
  <si>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</si>
  <si>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</si>
  <si>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</si>
  <si>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</si>
  <si>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</si>
  <si>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</si>
  <si>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</si>
  <si>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</si>
  <si>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</si>
  <si>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</si>
  <si>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</si>
  <si>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</si>
  <si>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</si>
  <si>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</si>
  <si>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</si>
  <si>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</si>
  <si>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</si>
  <si>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</si>
  <si>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</si>
  <si>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</si>
  <si>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</si>
  <si>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</si>
  <si>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</si>
  <si>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</si>
  <si>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</si>
  <si>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</si>
  <si>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</si>
  <si>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</si>
  <si>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</si>
  <si>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</si>
  <si>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</si>
  <si>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</si>
  <si>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</si>
  <si>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</si>
  <si>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</si>
  <si>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</si>
  <si>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</si>
  <si>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</si>
  <si>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</si>
  <si>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</si>
  <si>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</si>
  <si>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</si>
  <si>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</si>
  <si>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</si>
  <si>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</si>
  <si>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</si>
  <si>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</si>
  <si>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</si>
  <si>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</si>
  <si>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</si>
  <si>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</si>
  <si>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</si>
  <si>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</si>
  <si>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</si>
  <si>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</si>
  <si>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</si>
  <si>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</si>
  <si>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</si>
  <si>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</si>
  <si>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</si>
  <si>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</si>
  <si>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</si>
  <si>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</si>
  <si>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</si>
  <si>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</si>
  <si>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</si>
  <si>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</si>
  <si>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</si>
  <si>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</si>
  <si>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</si>
  <si>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</si>
  <si>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</si>
  <si>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</si>
  <si>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</si>
  <si>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</si>
  <si>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</si>
  <si>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</si>
  <si>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</si>
  <si>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</si>
  <si>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</si>
  <si>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</si>
  <si>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</si>
  <si>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</si>
  <si>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</si>
  <si>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</si>
  <si>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</si>
  <si>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</si>
  <si>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</si>
  <si>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</si>
  <si>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</si>
  <si>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</si>
  <si>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</si>
  <si>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</si>
  <si>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</si>
  <si>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</si>
  <si>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</si>
  <si>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</si>
  <si>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</si>
  <si>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</si>
  <si>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</si>
  <si>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</si>
  <si>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</si>
  <si>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</si>
  <si>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</si>
  <si>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</si>
  <si>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</si>
  <si>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</si>
  <si>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</si>
  <si>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</si>
  <si>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</si>
  <si>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</si>
  <si>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</si>
  <si>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</si>
  <si>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</si>
  <si>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</si>
  <si>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</si>
  <si>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</si>
  <si>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</si>
  <si>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</si>
  <si>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</si>
  <si>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</si>
  <si>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</si>
  <si>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</si>
  <si>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</si>
  <si>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</si>
  <si>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</si>
  <si>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</si>
  <si>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</si>
  <si>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</si>
  <si>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</si>
  <si>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</si>
  <si>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</si>
  <si>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</si>
  <si>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</si>
  <si>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</si>
  <si>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</si>
  <si>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</si>
  <si>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</si>
  <si>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</si>
  <si>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</si>
  <si>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</si>
  <si>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</si>
  <si>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</si>
  <si>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</si>
  <si>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</si>
  <si>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</si>
  <si>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</si>
  <si>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</si>
  <si>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</si>
  <si>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</si>
  <si>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</si>
  <si>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</si>
  <si>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</si>
  <si>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</si>
  <si>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</si>
  <si>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</si>
  <si>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</si>
  <si>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</si>
  <si>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</si>
  <si>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</si>
  <si>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</si>
  <si>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</si>
  <si>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</si>
  <si>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</si>
  <si>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</si>
  <si>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</si>
  <si>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</si>
  <si>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</si>
  <si>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</si>
  <si>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</si>
  <si>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</si>
  <si>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</si>
  <si>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</si>
  <si>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</si>
  <si>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</si>
  <si>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</si>
  <si>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</si>
  <si>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</si>
  <si>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</si>
  <si>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</si>
  <si>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</si>
  <si>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</si>
  <si>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</si>
  <si>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</si>
  <si>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</si>
  <si>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</si>
  <si>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</si>
  <si>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</si>
  <si>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</si>
  <si>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</si>
  <si>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</si>
  <si>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</si>
  <si>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</si>
  <si>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</si>
  <si>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</si>
  <si>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</si>
  <si>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</si>
  <si>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</si>
  <si>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</si>
  <si>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</si>
  <si>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</si>
  <si>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</si>
  <si>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</si>
  <si>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</si>
  <si>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</si>
  <si>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</si>
  <si>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</si>
  <si>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</si>
  <si>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</si>
  <si>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</si>
  <si>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</si>
  <si>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</si>
  <si>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</si>
  <si>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</si>
  <si>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</si>
  <si>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</si>
  <si>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</si>
  <si>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</si>
  <si>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</si>
  <si>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</si>
  <si>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</si>
  <si>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</si>
  <si>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</si>
  <si>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</si>
  <si>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</si>
  <si>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</si>
  <si>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</si>
  <si>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</si>
  <si>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</si>
  <si>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</si>
  <si>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</si>
  <si>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</si>
  <si>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</si>
  <si>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</si>
  <si>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</si>
  <si>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</si>
  <si>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</si>
  <si>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</si>
  <si>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</si>
  <si>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</si>
  <si>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</si>
  <si>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</si>
  <si>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</si>
  <si>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</si>
  <si>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</si>
  <si>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</si>
  <si>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</si>
  <si>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</si>
  <si>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</si>
  <si>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</si>
  <si>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</si>
  <si>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</si>
  <si>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</si>
  <si>
    <t>primarycg</t>
  </si>
  <si>
    <t>pre</t>
  </si>
  <si>
    <t>NRGI</t>
  </si>
  <si>
    <t>ncap_cost~USD21_alt</t>
  </si>
  <si>
    <t>distr_solelc_spv_harju</t>
  </si>
  <si>
    <t>connecting solar to buses in Harju</t>
  </si>
  <si>
    <t>e_harku_330,e_arukula_330,e_kiisa_330</t>
  </si>
  <si>
    <t>distr_solelc_spv_parnu</t>
  </si>
  <si>
    <t>connecting solar to buses in Parnu</t>
  </si>
  <si>
    <t>e_sopi_330</t>
  </si>
  <si>
    <t>connecting solar to buses in Laane-Viru</t>
  </si>
  <si>
    <t>distr_solelc_spv_laane_viru</t>
  </si>
  <si>
    <t>connecting solar to buses in Tartu</t>
  </si>
  <si>
    <t>e_tartu_330</t>
  </si>
  <si>
    <t>distr_solelc_spv_tartu</t>
  </si>
  <si>
    <t>distr_solelc_spv_viljandi</t>
  </si>
  <si>
    <t>connecting solar to buses in Viljandi</t>
  </si>
  <si>
    <t>e_kilingi_nomme_330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</si>
  <si>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</si>
  <si>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</si>
  <si>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</si>
  <si>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</si>
  <si>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</si>
  <si>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</si>
  <si>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</si>
  <si>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</si>
  <si>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</si>
  <si>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</si>
  <si>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</si>
  <si>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</si>
  <si>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</si>
  <si>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</si>
  <si>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</si>
  <si>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</si>
  <si>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</si>
  <si>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</si>
  <si>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</si>
  <si>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</si>
  <si>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</si>
  <si>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</si>
  <si>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</si>
  <si>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</si>
  <si>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</si>
  <si>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</si>
  <si>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</si>
  <si>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</si>
  <si>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</si>
  <si>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distr_solelc_spv_jarva</t>
  </si>
  <si>
    <t>connecting solar to buses in Jarva</t>
  </si>
  <si>
    <t>connecting solar to buses in Polva</t>
  </si>
  <si>
    <t>connecting solar to buses in Jogeva</t>
  </si>
  <si>
    <t>distr_solelc_spv_jogeva</t>
  </si>
  <si>
    <t>connecting solar to buses in Ida-Viru</t>
  </si>
  <si>
    <t>connecting solar to buses in Valga</t>
  </si>
  <si>
    <t>distr_solelc_spv_polva</t>
  </si>
  <si>
    <t>distr_solelc_spv_ida_viru</t>
  </si>
  <si>
    <t>distr_solelc_spv_valga</t>
  </si>
  <si>
    <t>e_paide_330,e_mustvee_330</t>
  </si>
  <si>
    <t>e_tartu_330,e_tsirguliina_330</t>
  </si>
  <si>
    <t>e_paide_330</t>
  </si>
  <si>
    <t>e_pussi_330</t>
  </si>
  <si>
    <t>e_baltiej_330,e_viru_330</t>
  </si>
  <si>
    <t>e_tsirguliina_330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</si>
</sst>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A3" zoomScale="80" workbookViewId="0">
      <selection activeCell="L25" sqref="L2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258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3" workbookViewId="0">
      <selection activeCell="I9" sqref="I9:W25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262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263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22">
      <c r="I33" s="12"/>
      <c r="J33" s="12"/>
      <c r="K33" s="12"/>
      <c r="L33" s="12"/>
      <c r="M33" s="12"/>
      <c r="N33" s="12"/>
      <c r="O33" s="12"/>
      <c r="P33" s="12"/>
    </row>
    <row r="34" spans="9:22" ht="15.75">
      <c r="I34" s="13" t="s">
        <v>71</v>
      </c>
      <c r="J34" s="14"/>
      <c r="K34" s="14"/>
      <c r="L34" s="14"/>
      <c r="M34" s="14"/>
      <c r="N34" s="14"/>
      <c r="O34" s="14"/>
      <c r="P34" s="14"/>
      <c r="V34">
        <f>24/8</f>
        <v>3</v>
      </c>
    </row>
    <row r="35" spans="9:22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22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22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22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22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22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22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22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22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22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22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22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22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22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261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259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260</v>
      </c>
      <c r="T26" s="143" t="s">
        <v>259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AB20"/>
  <sheetViews>
    <sheetView tabSelected="1" workbookViewId="0">
      <selection activeCell="H34" sqref="H34"/>
    </sheetView>
  </sheetViews>
  <sheetFormatPr defaultRowHeight="15"/>
  <cols>
    <col min="3" max="3" width="16.5703125" bestFit="1" customWidth="1"/>
    <col min="4" max="4" width="24.85546875" bestFit="1" customWidth="1"/>
    <col min="10" max="10" width="16.5703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28">
      <c r="B9" t="s">
        <v>158</v>
      </c>
      <c r="J9" t="s">
        <v>169</v>
      </c>
      <c r="O9" t="s">
        <v>158</v>
      </c>
      <c r="X9" t="s">
        <v>169</v>
      </c>
    </row>
    <row r="10" spans="2:28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264</v>
      </c>
      <c r="U10" t="s">
        <v>164</v>
      </c>
      <c r="V10" t="s">
        <v>165</v>
      </c>
      <c r="X10" t="s">
        <v>160</v>
      </c>
      <c r="Y10" t="s">
        <v>233</v>
      </c>
      <c r="Z10" t="s">
        <v>170</v>
      </c>
      <c r="AA10" t="s">
        <v>141</v>
      </c>
      <c r="AB10" t="s">
        <v>267</v>
      </c>
    </row>
    <row r="11" spans="2:28">
      <c r="B11" t="s">
        <v>166</v>
      </c>
      <c r="C11" t="s">
        <v>286</v>
      </c>
      <c r="D11" t="s">
        <v>285</v>
      </c>
      <c r="E11" t="s">
        <v>10</v>
      </c>
      <c r="F11" t="s">
        <v>21</v>
      </c>
      <c r="G11" t="s">
        <v>167</v>
      </c>
      <c r="H11" t="s">
        <v>168</v>
      </c>
      <c r="J11" t="s">
        <v>286</v>
      </c>
      <c r="K11" t="s">
        <v>284</v>
      </c>
      <c r="L11">
        <v>0.05</v>
      </c>
      <c r="M11">
        <v>0.1461854238754417</v>
      </c>
      <c r="O11" t="s">
        <v>265</v>
      </c>
      <c r="P11" t="s">
        <v>268</v>
      </c>
      <c r="Q11" t="s">
        <v>269</v>
      </c>
      <c r="R11" t="s">
        <v>10</v>
      </c>
      <c r="S11" t="s">
        <v>21</v>
      </c>
      <c r="T11" t="s">
        <v>266</v>
      </c>
      <c r="U11" t="s">
        <v>256</v>
      </c>
      <c r="V11" t="s">
        <v>168</v>
      </c>
      <c r="X11" t="s">
        <v>268</v>
      </c>
      <c r="Y11" t="s">
        <v>283</v>
      </c>
      <c r="Z11" t="s">
        <v>270</v>
      </c>
      <c r="AA11">
        <v>0.99803019751392275</v>
      </c>
      <c r="AB11">
        <v>36.113045578083607</v>
      </c>
    </row>
    <row r="12" spans="2:28">
      <c r="B12" t="s">
        <v>166</v>
      </c>
      <c r="C12" t="s">
        <v>291</v>
      </c>
      <c r="D12" t="s">
        <v>293</v>
      </c>
      <c r="E12" t="s">
        <v>10</v>
      </c>
      <c r="F12" t="s">
        <v>21</v>
      </c>
      <c r="G12" t="s">
        <v>167</v>
      </c>
      <c r="H12" t="s">
        <v>168</v>
      </c>
      <c r="J12" t="s">
        <v>291</v>
      </c>
      <c r="K12" t="s">
        <v>290</v>
      </c>
      <c r="L12">
        <v>0.05</v>
      </c>
      <c r="M12">
        <v>0.14867925344692129</v>
      </c>
      <c r="O12" t="s">
        <v>265</v>
      </c>
      <c r="P12" t="s">
        <v>271</v>
      </c>
      <c r="Q12" t="s">
        <v>272</v>
      </c>
      <c r="R12" t="s">
        <v>10</v>
      </c>
      <c r="S12" t="s">
        <v>21</v>
      </c>
      <c r="T12" t="s">
        <v>266</v>
      </c>
      <c r="U12" t="s">
        <v>256</v>
      </c>
      <c r="V12" t="s">
        <v>168</v>
      </c>
      <c r="X12" t="s">
        <v>271</v>
      </c>
      <c r="Y12" t="s">
        <v>284</v>
      </c>
      <c r="Z12" t="s">
        <v>273</v>
      </c>
      <c r="AA12">
        <v>0.99704181121734914</v>
      </c>
      <c r="AB12">
        <v>54.233461015266627</v>
      </c>
    </row>
    <row r="13" spans="2:28">
      <c r="B13" t="s">
        <v>166</v>
      </c>
      <c r="C13" t="s">
        <v>288</v>
      </c>
      <c r="D13" t="s">
        <v>296</v>
      </c>
      <c r="E13" t="s">
        <v>10</v>
      </c>
      <c r="F13" t="s">
        <v>21</v>
      </c>
      <c r="G13" t="s">
        <v>167</v>
      </c>
      <c r="H13" t="s">
        <v>168</v>
      </c>
      <c r="J13" t="s">
        <v>288</v>
      </c>
      <c r="K13" t="s">
        <v>289</v>
      </c>
      <c r="L13">
        <v>0.05</v>
      </c>
      <c r="M13">
        <v>0.14701259708091721</v>
      </c>
      <c r="O13" t="s">
        <v>265</v>
      </c>
      <c r="P13" t="s">
        <v>275</v>
      </c>
      <c r="Q13" t="s">
        <v>274</v>
      </c>
      <c r="R13" t="s">
        <v>10</v>
      </c>
      <c r="S13" t="s">
        <v>21</v>
      </c>
      <c r="T13" t="s">
        <v>266</v>
      </c>
      <c r="U13" t="s">
        <v>256</v>
      </c>
      <c r="V13" t="s">
        <v>168</v>
      </c>
      <c r="X13" t="s">
        <v>275</v>
      </c>
      <c r="Y13" t="s">
        <v>289</v>
      </c>
      <c r="Z13" t="s">
        <v>324</v>
      </c>
      <c r="AA13">
        <v>0.99561490160143429</v>
      </c>
      <c r="AB13">
        <v>80.393470640370694</v>
      </c>
    </row>
    <row r="14" spans="2:28">
      <c r="B14" t="s">
        <v>166</v>
      </c>
      <c r="C14" t="s">
        <v>301</v>
      </c>
      <c r="D14" t="s">
        <v>295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306</v>
      </c>
      <c r="L14">
        <v>0.05</v>
      </c>
      <c r="M14">
        <v>0.15309859852159369</v>
      </c>
      <c r="O14" t="s">
        <v>265</v>
      </c>
      <c r="P14" t="s">
        <v>278</v>
      </c>
      <c r="Q14" t="s">
        <v>276</v>
      </c>
      <c r="R14" t="s">
        <v>10</v>
      </c>
      <c r="S14" t="s">
        <v>21</v>
      </c>
      <c r="T14" t="s">
        <v>266</v>
      </c>
      <c r="U14" t="s">
        <v>256</v>
      </c>
      <c r="V14" t="s">
        <v>168</v>
      </c>
      <c r="X14" t="s">
        <v>278</v>
      </c>
      <c r="Y14" t="s">
        <v>290</v>
      </c>
      <c r="Z14" t="s">
        <v>277</v>
      </c>
      <c r="AA14">
        <v>0.99727566521879552</v>
      </c>
      <c r="AB14">
        <v>49.946137655414965</v>
      </c>
    </row>
    <row r="15" spans="2:28">
      <c r="B15" t="s">
        <v>166</v>
      </c>
      <c r="C15" t="s">
        <v>302</v>
      </c>
      <c r="D15" t="s">
        <v>297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307</v>
      </c>
      <c r="L15">
        <v>0.05</v>
      </c>
      <c r="M15">
        <v>0.15852072747262991</v>
      </c>
      <c r="O15" t="s">
        <v>265</v>
      </c>
      <c r="P15" t="s">
        <v>279</v>
      </c>
      <c r="Q15" t="s">
        <v>280</v>
      </c>
      <c r="R15" t="s">
        <v>10</v>
      </c>
      <c r="S15" t="s">
        <v>21</v>
      </c>
      <c r="T15" t="s">
        <v>266</v>
      </c>
      <c r="U15" t="s">
        <v>256</v>
      </c>
      <c r="V15" t="s">
        <v>168</v>
      </c>
      <c r="X15" t="s">
        <v>279</v>
      </c>
      <c r="Y15" t="s">
        <v>294</v>
      </c>
      <c r="Z15" t="s">
        <v>281</v>
      </c>
      <c r="AA15">
        <v>0.99856809136935964</v>
      </c>
      <c r="AB15">
        <v>26.25165822840582</v>
      </c>
    </row>
    <row r="16" spans="2:28">
      <c r="B16" t="s">
        <v>166</v>
      </c>
      <c r="C16" t="s">
        <v>303</v>
      </c>
      <c r="D16" t="s">
        <v>298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308</v>
      </c>
      <c r="L16">
        <v>0.05</v>
      </c>
      <c r="M16">
        <v>0.1561956058597683</v>
      </c>
      <c r="O16" t="s">
        <v>265</v>
      </c>
      <c r="P16" t="s">
        <v>315</v>
      </c>
      <c r="Q16" t="s">
        <v>314</v>
      </c>
      <c r="R16" t="s">
        <v>10</v>
      </c>
      <c r="S16" t="s">
        <v>21</v>
      </c>
      <c r="T16" t="s">
        <v>266</v>
      </c>
      <c r="U16" t="s">
        <v>256</v>
      </c>
      <c r="V16" t="s">
        <v>168</v>
      </c>
      <c r="X16" t="s">
        <v>315</v>
      </c>
      <c r="Y16" t="s">
        <v>308</v>
      </c>
      <c r="Z16" t="s">
        <v>321</v>
      </c>
      <c r="AA16">
        <v>0.98814576936274712</v>
      </c>
      <c r="AB16">
        <v>217.32756168296959</v>
      </c>
    </row>
    <row r="17" spans="2:28">
      <c r="B17" t="s">
        <v>166</v>
      </c>
      <c r="C17" t="s">
        <v>304</v>
      </c>
      <c r="D17" t="s">
        <v>299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309</v>
      </c>
      <c r="L17">
        <v>0.05</v>
      </c>
      <c r="M17">
        <v>0.14537310453496291</v>
      </c>
      <c r="O17" t="s">
        <v>265</v>
      </c>
      <c r="P17" t="s">
        <v>318</v>
      </c>
      <c r="Q17" t="s">
        <v>313</v>
      </c>
      <c r="R17" t="s">
        <v>10</v>
      </c>
      <c r="S17" t="s">
        <v>21</v>
      </c>
      <c r="T17" t="s">
        <v>266</v>
      </c>
      <c r="U17" t="s">
        <v>256</v>
      </c>
      <c r="V17" t="s">
        <v>168</v>
      </c>
      <c r="X17" t="s">
        <v>318</v>
      </c>
      <c r="Y17" t="s">
        <v>309</v>
      </c>
      <c r="Z17" t="s">
        <v>322</v>
      </c>
      <c r="AA17">
        <v>0.99806786739213516</v>
      </c>
      <c r="AB17">
        <v>35.422431144189375</v>
      </c>
    </row>
    <row r="18" spans="2:28">
      <c r="B18" t="s">
        <v>166</v>
      </c>
      <c r="C18" t="s">
        <v>287</v>
      </c>
      <c r="D18" t="s">
        <v>282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283</v>
      </c>
      <c r="L18">
        <v>0.05</v>
      </c>
      <c r="M18">
        <v>0.1476387365568102</v>
      </c>
      <c r="O18" t="s">
        <v>265</v>
      </c>
      <c r="P18" t="s">
        <v>311</v>
      </c>
      <c r="Q18" t="s">
        <v>312</v>
      </c>
      <c r="R18" t="s">
        <v>10</v>
      </c>
      <c r="S18" t="s">
        <v>21</v>
      </c>
      <c r="T18" t="s">
        <v>266</v>
      </c>
      <c r="U18" t="s">
        <v>256</v>
      </c>
      <c r="V18" t="s">
        <v>168</v>
      </c>
      <c r="X18" t="s">
        <v>311</v>
      </c>
      <c r="Y18" t="s">
        <v>307</v>
      </c>
      <c r="Z18" t="s">
        <v>323</v>
      </c>
      <c r="AA18">
        <v>0.985125640392576</v>
      </c>
      <c r="AB18">
        <v>272.69659280277335</v>
      </c>
    </row>
    <row r="19" spans="2:28">
      <c r="B19" t="s">
        <v>166</v>
      </c>
      <c r="C19" t="s">
        <v>305</v>
      </c>
      <c r="D19" t="s">
        <v>300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310</v>
      </c>
      <c r="L19">
        <v>0.05</v>
      </c>
      <c r="M19">
        <v>0.1532628310027955</v>
      </c>
      <c r="O19" t="s">
        <v>265</v>
      </c>
      <c r="P19" t="s">
        <v>319</v>
      </c>
      <c r="Q19" t="s">
        <v>316</v>
      </c>
      <c r="R19" t="s">
        <v>10</v>
      </c>
      <c r="S19" t="s">
        <v>21</v>
      </c>
      <c r="T19" t="s">
        <v>266</v>
      </c>
      <c r="U19" t="s">
        <v>256</v>
      </c>
      <c r="V19" t="s">
        <v>168</v>
      </c>
      <c r="X19" t="s">
        <v>319</v>
      </c>
      <c r="Y19" t="s">
        <v>306</v>
      </c>
      <c r="Z19" t="s">
        <v>325</v>
      </c>
      <c r="AA19">
        <v>0.99565141294139858</v>
      </c>
      <c r="AB19">
        <v>79.724096074358584</v>
      </c>
    </row>
    <row r="20" spans="2:28">
      <c r="B20" t="s">
        <v>166</v>
      </c>
      <c r="C20" t="s">
        <v>292</v>
      </c>
      <c r="D20" t="s">
        <v>293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294</v>
      </c>
      <c r="L20">
        <v>0.05</v>
      </c>
      <c r="M20">
        <v>0.1451997589052581</v>
      </c>
      <c r="O20" t="s">
        <v>265</v>
      </c>
      <c r="P20" t="s">
        <v>320</v>
      </c>
      <c r="Q20" t="s">
        <v>317</v>
      </c>
      <c r="R20" t="s">
        <v>10</v>
      </c>
      <c r="S20" t="s">
        <v>21</v>
      </c>
      <c r="T20" t="s">
        <v>266</v>
      </c>
      <c r="U20" t="s">
        <v>256</v>
      </c>
      <c r="V20" t="s">
        <v>168</v>
      </c>
      <c r="X20" t="s">
        <v>320</v>
      </c>
      <c r="Y20" t="s">
        <v>310</v>
      </c>
      <c r="Z20" t="s">
        <v>326</v>
      </c>
      <c r="AA20">
        <v>0.99674672924495999</v>
      </c>
      <c r="AB20">
        <v>59.643297175733885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22"/>
  <sheetViews>
    <sheetView topLeftCell="N4" workbookViewId="0">
      <selection activeCell="R22" sqref="R22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7" width="10.5703125" bestFit="1" customWidth="1"/>
    <col min="18" max="18" width="33.28515625" bestFit="1" customWidth="1"/>
    <col min="24" max="24" width="11.285156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173</v>
      </c>
      <c r="D11" t="s">
        <v>174</v>
      </c>
      <c r="E11" t="s">
        <v>10</v>
      </c>
      <c r="F11" t="s">
        <v>21</v>
      </c>
      <c r="G11" t="s">
        <v>167</v>
      </c>
      <c r="H11" t="s">
        <v>168</v>
      </c>
      <c r="J11" t="s">
        <v>173</v>
      </c>
      <c r="K11" t="s">
        <v>193</v>
      </c>
      <c r="L11">
        <v>0.09</v>
      </c>
      <c r="M11">
        <v>0.47763777043344691</v>
      </c>
      <c r="P11" t="s">
        <v>166</v>
      </c>
      <c r="Q11" t="s">
        <v>203</v>
      </c>
      <c r="R11" t="s">
        <v>204</v>
      </c>
      <c r="S11" t="s">
        <v>10</v>
      </c>
      <c r="T11" t="s">
        <v>21</v>
      </c>
      <c r="U11" t="s">
        <v>167</v>
      </c>
      <c r="V11" t="s">
        <v>168</v>
      </c>
      <c r="X11" t="s">
        <v>203</v>
      </c>
      <c r="Y11" t="s">
        <v>223</v>
      </c>
      <c r="Z11">
        <v>1</v>
      </c>
      <c r="AA11">
        <v>0.2978238628360676</v>
      </c>
    </row>
    <row r="12" spans="2:27">
      <c r="B12" t="s">
        <v>166</v>
      </c>
      <c r="C12" t="s">
        <v>175</v>
      </c>
      <c r="D12" t="s">
        <v>176</v>
      </c>
      <c r="E12" t="s">
        <v>10</v>
      </c>
      <c r="F12" t="s">
        <v>21</v>
      </c>
      <c r="G12" t="s">
        <v>167</v>
      </c>
      <c r="H12" t="s">
        <v>168</v>
      </c>
      <c r="J12" t="s">
        <v>175</v>
      </c>
      <c r="K12" t="s">
        <v>194</v>
      </c>
      <c r="L12">
        <v>0.09</v>
      </c>
      <c r="M12">
        <v>0.42070052507616201</v>
      </c>
      <c r="P12" t="s">
        <v>166</v>
      </c>
      <c r="Q12" t="s">
        <v>205</v>
      </c>
      <c r="R12" t="s">
        <v>206</v>
      </c>
      <c r="S12" t="s">
        <v>10</v>
      </c>
      <c r="T12" t="s">
        <v>21</v>
      </c>
      <c r="U12" t="s">
        <v>167</v>
      </c>
      <c r="V12" t="s">
        <v>168</v>
      </c>
      <c r="X12" t="s">
        <v>205</v>
      </c>
      <c r="Y12" t="s">
        <v>224</v>
      </c>
      <c r="Z12">
        <v>1</v>
      </c>
      <c r="AA12">
        <v>0.37369451123150682</v>
      </c>
    </row>
    <row r="13" spans="2:27">
      <c r="B13" t="s">
        <v>166</v>
      </c>
      <c r="C13" t="s">
        <v>177</v>
      </c>
      <c r="D13" t="s">
        <v>178</v>
      </c>
      <c r="E13" t="s">
        <v>10</v>
      </c>
      <c r="F13" t="s">
        <v>21</v>
      </c>
      <c r="G13" t="s">
        <v>167</v>
      </c>
      <c r="H13" t="s">
        <v>168</v>
      </c>
      <c r="J13" t="s">
        <v>177</v>
      </c>
      <c r="K13" t="s">
        <v>195</v>
      </c>
      <c r="L13">
        <v>0.09</v>
      </c>
      <c r="M13">
        <v>0.47814004703314078</v>
      </c>
      <c r="P13" t="s">
        <v>166</v>
      </c>
      <c r="Q13" t="s">
        <v>207</v>
      </c>
      <c r="R13" t="s">
        <v>208</v>
      </c>
      <c r="S13" t="s">
        <v>10</v>
      </c>
      <c r="T13" t="s">
        <v>21</v>
      </c>
      <c r="U13" t="s">
        <v>167</v>
      </c>
      <c r="V13" t="s">
        <v>168</v>
      </c>
      <c r="X13" t="s">
        <v>207</v>
      </c>
      <c r="Y13" t="s">
        <v>225</v>
      </c>
      <c r="Z13">
        <v>1</v>
      </c>
      <c r="AA13">
        <v>0.28750467069383828</v>
      </c>
    </row>
    <row r="14" spans="2:27">
      <c r="B14" t="s">
        <v>166</v>
      </c>
      <c r="C14" t="s">
        <v>179</v>
      </c>
      <c r="D14" t="s">
        <v>180</v>
      </c>
      <c r="E14" t="s">
        <v>10</v>
      </c>
      <c r="F14" t="s">
        <v>21</v>
      </c>
      <c r="G14" t="s">
        <v>167</v>
      </c>
      <c r="H14" t="s">
        <v>168</v>
      </c>
      <c r="J14" t="s">
        <v>179</v>
      </c>
      <c r="K14" t="s">
        <v>196</v>
      </c>
      <c r="L14">
        <v>0.09</v>
      </c>
      <c r="M14">
        <v>0.35024016362894311</v>
      </c>
      <c r="P14" t="s">
        <v>166</v>
      </c>
      <c r="Q14" t="s">
        <v>209</v>
      </c>
      <c r="R14" t="s">
        <v>210</v>
      </c>
      <c r="S14" t="s">
        <v>10</v>
      </c>
      <c r="T14" t="s">
        <v>21</v>
      </c>
      <c r="U14" t="s">
        <v>167</v>
      </c>
      <c r="V14" t="s">
        <v>168</v>
      </c>
      <c r="X14" t="s">
        <v>209</v>
      </c>
      <c r="Y14" t="s">
        <v>226</v>
      </c>
      <c r="Z14">
        <v>1</v>
      </c>
      <c r="AA14">
        <v>0.45257887643123651</v>
      </c>
    </row>
    <row r="15" spans="2:27">
      <c r="B15" t="s">
        <v>166</v>
      </c>
      <c r="C15" t="s">
        <v>181</v>
      </c>
      <c r="D15" t="s">
        <v>182</v>
      </c>
      <c r="E15" t="s">
        <v>10</v>
      </c>
      <c r="F15" t="s">
        <v>21</v>
      </c>
      <c r="G15" t="s">
        <v>167</v>
      </c>
      <c r="H15" t="s">
        <v>168</v>
      </c>
      <c r="J15" t="s">
        <v>181</v>
      </c>
      <c r="K15" t="s">
        <v>197</v>
      </c>
      <c r="L15">
        <v>0.09</v>
      </c>
      <c r="M15">
        <v>0.40144059976798202</v>
      </c>
      <c r="P15" t="s">
        <v>166</v>
      </c>
      <c r="Q15" t="s">
        <v>211</v>
      </c>
      <c r="R15" t="s">
        <v>212</v>
      </c>
      <c r="S15" t="s">
        <v>10</v>
      </c>
      <c r="T15" t="s">
        <v>21</v>
      </c>
      <c r="U15" t="s">
        <v>167</v>
      </c>
      <c r="V15" t="s">
        <v>168</v>
      </c>
      <c r="X15" t="s">
        <v>211</v>
      </c>
      <c r="Y15" t="s">
        <v>227</v>
      </c>
      <c r="Z15">
        <v>1</v>
      </c>
      <c r="AA15">
        <v>0.44869827675393242</v>
      </c>
    </row>
    <row r="16" spans="2:27">
      <c r="B16" t="s">
        <v>166</v>
      </c>
      <c r="C16" t="s">
        <v>183</v>
      </c>
      <c r="D16" t="s">
        <v>184</v>
      </c>
      <c r="E16" t="s">
        <v>10</v>
      </c>
      <c r="F16" t="s">
        <v>21</v>
      </c>
      <c r="G16" t="s">
        <v>167</v>
      </c>
      <c r="H16" t="s">
        <v>168</v>
      </c>
      <c r="J16" t="s">
        <v>183</v>
      </c>
      <c r="K16" t="s">
        <v>198</v>
      </c>
      <c r="L16">
        <v>0.09</v>
      </c>
      <c r="M16">
        <v>0.36483357275006911</v>
      </c>
      <c r="P16" t="s">
        <v>166</v>
      </c>
      <c r="Q16" t="s">
        <v>213</v>
      </c>
      <c r="R16" t="s">
        <v>214</v>
      </c>
      <c r="S16" t="s">
        <v>10</v>
      </c>
      <c r="T16" t="s">
        <v>21</v>
      </c>
      <c r="U16" t="s">
        <v>167</v>
      </c>
      <c r="V16" t="s">
        <v>168</v>
      </c>
      <c r="X16" t="s">
        <v>213</v>
      </c>
      <c r="Y16" t="s">
        <v>228</v>
      </c>
      <c r="Z16">
        <v>1</v>
      </c>
      <c r="AA16">
        <v>0.47904088602536332</v>
      </c>
    </row>
    <row r="17" spans="2:27">
      <c r="B17" t="s">
        <v>166</v>
      </c>
      <c r="C17" t="s">
        <v>185</v>
      </c>
      <c r="D17" t="s">
        <v>186</v>
      </c>
      <c r="E17" t="s">
        <v>10</v>
      </c>
      <c r="F17" t="s">
        <v>21</v>
      </c>
      <c r="G17" t="s">
        <v>167</v>
      </c>
      <c r="H17" t="s">
        <v>168</v>
      </c>
      <c r="J17" t="s">
        <v>185</v>
      </c>
      <c r="K17" t="s">
        <v>199</v>
      </c>
      <c r="L17">
        <v>0.09</v>
      </c>
      <c r="M17">
        <v>0.365520596150406</v>
      </c>
      <c r="P17" t="s">
        <v>166</v>
      </c>
      <c r="Q17" t="s">
        <v>215</v>
      </c>
      <c r="R17" t="s">
        <v>216</v>
      </c>
      <c r="S17" t="s">
        <v>10</v>
      </c>
      <c r="T17" t="s">
        <v>21</v>
      </c>
      <c r="U17" t="s">
        <v>167</v>
      </c>
      <c r="V17" t="s">
        <v>168</v>
      </c>
      <c r="X17" t="s">
        <v>215</v>
      </c>
      <c r="Y17" t="s">
        <v>229</v>
      </c>
      <c r="Z17">
        <v>1</v>
      </c>
      <c r="AA17">
        <v>0.47146795634591199</v>
      </c>
    </row>
    <row r="18" spans="2:27">
      <c r="B18" t="s">
        <v>166</v>
      </c>
      <c r="C18" t="s">
        <v>187</v>
      </c>
      <c r="D18" t="s">
        <v>188</v>
      </c>
      <c r="E18" t="s">
        <v>10</v>
      </c>
      <c r="F18" t="s">
        <v>21</v>
      </c>
      <c r="G18" t="s">
        <v>167</v>
      </c>
      <c r="H18" t="s">
        <v>168</v>
      </c>
      <c r="J18" t="s">
        <v>187</v>
      </c>
      <c r="K18" t="s">
        <v>200</v>
      </c>
      <c r="L18">
        <v>0.09</v>
      </c>
      <c r="M18">
        <v>0.41047488326249421</v>
      </c>
      <c r="P18" t="s">
        <v>166</v>
      </c>
      <c r="Q18" t="s">
        <v>217</v>
      </c>
      <c r="R18" t="s">
        <v>218</v>
      </c>
      <c r="S18" t="s">
        <v>10</v>
      </c>
      <c r="T18" t="s">
        <v>21</v>
      </c>
      <c r="U18" t="s">
        <v>167</v>
      </c>
      <c r="V18" t="s">
        <v>168</v>
      </c>
      <c r="X18" t="s">
        <v>217</v>
      </c>
      <c r="Y18" t="s">
        <v>230</v>
      </c>
      <c r="Z18">
        <v>1</v>
      </c>
      <c r="AA18">
        <v>0.4831226670907412</v>
      </c>
    </row>
    <row r="19" spans="2:27">
      <c r="B19" t="s">
        <v>166</v>
      </c>
      <c r="C19" t="s">
        <v>189</v>
      </c>
      <c r="D19" t="s">
        <v>190</v>
      </c>
      <c r="E19" t="s">
        <v>10</v>
      </c>
      <c r="F19" t="s">
        <v>21</v>
      </c>
      <c r="G19" t="s">
        <v>167</v>
      </c>
      <c r="H19" t="s">
        <v>168</v>
      </c>
      <c r="J19" t="s">
        <v>189</v>
      </c>
      <c r="K19" t="s">
        <v>201</v>
      </c>
      <c r="L19">
        <v>0.09</v>
      </c>
      <c r="M19">
        <v>0.3701937416015697</v>
      </c>
      <c r="P19" t="s">
        <v>166</v>
      </c>
      <c r="Q19" t="s">
        <v>219</v>
      </c>
      <c r="R19" t="s">
        <v>220</v>
      </c>
      <c r="S19" t="s">
        <v>10</v>
      </c>
      <c r="T19" t="s">
        <v>21</v>
      </c>
      <c r="U19" t="s">
        <v>167</v>
      </c>
      <c r="V19" t="s">
        <v>168</v>
      </c>
      <c r="X19" t="s">
        <v>219</v>
      </c>
      <c r="Y19" t="s">
        <v>231</v>
      </c>
      <c r="Z19">
        <v>1</v>
      </c>
      <c r="AA19">
        <v>0.45668669806804207</v>
      </c>
    </row>
    <row r="20" spans="2:27">
      <c r="B20" t="s">
        <v>166</v>
      </c>
      <c r="C20" t="s">
        <v>191</v>
      </c>
      <c r="D20" t="s">
        <v>192</v>
      </c>
      <c r="E20" t="s">
        <v>10</v>
      </c>
      <c r="F20" t="s">
        <v>21</v>
      </c>
      <c r="G20" t="s">
        <v>167</v>
      </c>
      <c r="H20" t="s">
        <v>168</v>
      </c>
      <c r="J20" t="s">
        <v>191</v>
      </c>
      <c r="K20" t="s">
        <v>202</v>
      </c>
      <c r="L20">
        <v>0.09</v>
      </c>
      <c r="M20">
        <v>0.34038079598992049</v>
      </c>
      <c r="P20" t="s">
        <v>166</v>
      </c>
      <c r="Q20" t="s">
        <v>221</v>
      </c>
      <c r="R20" t="s">
        <v>222</v>
      </c>
      <c r="S20" t="s">
        <v>10</v>
      </c>
      <c r="T20" t="s">
        <v>21</v>
      </c>
      <c r="U20" t="s">
        <v>167</v>
      </c>
      <c r="V20" t="s">
        <v>168</v>
      </c>
      <c r="X20" t="s">
        <v>221</v>
      </c>
      <c r="Y20" t="s">
        <v>232</v>
      </c>
      <c r="Z20">
        <v>1</v>
      </c>
      <c r="AA20">
        <v>0.45368618559080531</v>
      </c>
    </row>
    <row r="22" spans="2:27">
      <c r="L22" s="14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37" workbookViewId="0">
      <selection activeCell="J52" sqref="J52"/>
    </sheetView>
  </sheetViews>
  <sheetFormatPr defaultRowHeight="15"/>
  <cols>
    <col min="2" max="2" width="31.42578125" bestFit="1" customWidth="1"/>
    <col min="3" max="3" width="10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233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234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234</v>
      </c>
      <c r="M11" t="s">
        <v>10</v>
      </c>
      <c r="N11" t="s">
        <v>21</v>
      </c>
      <c r="O11" t="s">
        <v>256</v>
      </c>
      <c r="P11" t="s">
        <v>257</v>
      </c>
    </row>
    <row r="12" spans="2:16">
      <c r="B12" t="s">
        <v>234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235</v>
      </c>
      <c r="J12" t="s">
        <v>166</v>
      </c>
      <c r="K12" t="s">
        <v>239</v>
      </c>
      <c r="M12" t="s">
        <v>10</v>
      </c>
      <c r="N12" t="s">
        <v>21</v>
      </c>
      <c r="O12" t="s">
        <v>256</v>
      </c>
      <c r="P12" t="s">
        <v>257</v>
      </c>
    </row>
    <row r="13" spans="2:16">
      <c r="B13" t="s">
        <v>234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236</v>
      </c>
      <c r="J13" t="s">
        <v>166</v>
      </c>
      <c r="K13" t="s">
        <v>240</v>
      </c>
      <c r="M13" t="s">
        <v>10</v>
      </c>
      <c r="N13" t="s">
        <v>21</v>
      </c>
      <c r="O13" t="s">
        <v>256</v>
      </c>
      <c r="P13" t="s">
        <v>257</v>
      </c>
    </row>
    <row r="14" spans="2:16">
      <c r="B14" t="s">
        <v>234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237</v>
      </c>
      <c r="J14" t="s">
        <v>166</v>
      </c>
      <c r="K14" t="s">
        <v>241</v>
      </c>
      <c r="M14" t="s">
        <v>10</v>
      </c>
      <c r="N14" t="s">
        <v>21</v>
      </c>
      <c r="O14" t="s">
        <v>256</v>
      </c>
      <c r="P14" t="s">
        <v>257</v>
      </c>
    </row>
    <row r="15" spans="2:16">
      <c r="B15" t="s">
        <v>234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238</v>
      </c>
      <c r="J15" t="s">
        <v>166</v>
      </c>
      <c r="K15" t="s">
        <v>242</v>
      </c>
      <c r="M15" t="s">
        <v>10</v>
      </c>
      <c r="N15" t="s">
        <v>21</v>
      </c>
      <c r="O15" t="s">
        <v>256</v>
      </c>
      <c r="P15" t="s">
        <v>257</v>
      </c>
    </row>
    <row r="16" spans="2:16">
      <c r="B16" t="s">
        <v>239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243</v>
      </c>
      <c r="M16" t="s">
        <v>10</v>
      </c>
      <c r="N16" t="s">
        <v>21</v>
      </c>
      <c r="O16" t="s">
        <v>256</v>
      </c>
      <c r="P16" t="s">
        <v>257</v>
      </c>
    </row>
    <row r="17" spans="2:16">
      <c r="B17" t="s">
        <v>239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235</v>
      </c>
      <c r="J17" t="s">
        <v>166</v>
      </c>
      <c r="K17" t="s">
        <v>244</v>
      </c>
      <c r="M17" t="s">
        <v>10</v>
      </c>
      <c r="N17" t="s">
        <v>21</v>
      </c>
      <c r="O17" t="s">
        <v>256</v>
      </c>
      <c r="P17" t="s">
        <v>257</v>
      </c>
    </row>
    <row r="18" spans="2:16">
      <c r="B18" t="s">
        <v>239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236</v>
      </c>
      <c r="J18" t="s">
        <v>166</v>
      </c>
      <c r="K18" t="s">
        <v>245</v>
      </c>
      <c r="M18" t="s">
        <v>10</v>
      </c>
      <c r="N18" t="s">
        <v>21</v>
      </c>
      <c r="O18" t="s">
        <v>256</v>
      </c>
      <c r="P18" t="s">
        <v>257</v>
      </c>
    </row>
    <row r="19" spans="2:16">
      <c r="B19" t="s">
        <v>239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237</v>
      </c>
      <c r="J19" t="s">
        <v>166</v>
      </c>
      <c r="K19" t="s">
        <v>246</v>
      </c>
      <c r="M19" t="s">
        <v>10</v>
      </c>
      <c r="N19" t="s">
        <v>21</v>
      </c>
      <c r="O19" t="s">
        <v>256</v>
      </c>
      <c r="P19" t="s">
        <v>257</v>
      </c>
    </row>
    <row r="20" spans="2:16">
      <c r="B20" t="s">
        <v>239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238</v>
      </c>
      <c r="J20" t="s">
        <v>166</v>
      </c>
      <c r="K20" t="s">
        <v>247</v>
      </c>
      <c r="M20" t="s">
        <v>10</v>
      </c>
      <c r="N20" t="s">
        <v>21</v>
      </c>
      <c r="O20" t="s">
        <v>256</v>
      </c>
      <c r="P20" t="s">
        <v>257</v>
      </c>
    </row>
    <row r="21" spans="2:16">
      <c r="B21" t="s">
        <v>240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248</v>
      </c>
      <c r="M21" t="s">
        <v>10</v>
      </c>
      <c r="N21" t="s">
        <v>21</v>
      </c>
      <c r="O21" t="s">
        <v>256</v>
      </c>
      <c r="P21" t="s">
        <v>257</v>
      </c>
    </row>
    <row r="22" spans="2:16">
      <c r="B22" t="s">
        <v>240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236</v>
      </c>
      <c r="J22" t="s">
        <v>166</v>
      </c>
      <c r="K22" t="s">
        <v>249</v>
      </c>
      <c r="M22" t="s">
        <v>10</v>
      </c>
      <c r="N22" t="s">
        <v>21</v>
      </c>
      <c r="O22" t="s">
        <v>256</v>
      </c>
      <c r="P22" t="s">
        <v>257</v>
      </c>
    </row>
    <row r="23" spans="2:16">
      <c r="B23" t="s">
        <v>240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237</v>
      </c>
      <c r="J23" t="s">
        <v>166</v>
      </c>
      <c r="K23" t="s">
        <v>250</v>
      </c>
      <c r="M23" t="s">
        <v>10</v>
      </c>
      <c r="N23" t="s">
        <v>21</v>
      </c>
      <c r="O23" t="s">
        <v>256</v>
      </c>
      <c r="P23" t="s">
        <v>257</v>
      </c>
    </row>
    <row r="24" spans="2:16">
      <c r="B24" t="s">
        <v>241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251</v>
      </c>
      <c r="M24" t="s">
        <v>10</v>
      </c>
      <c r="N24" t="s">
        <v>21</v>
      </c>
      <c r="O24" t="s">
        <v>256</v>
      </c>
      <c r="P24" t="s">
        <v>257</v>
      </c>
    </row>
    <row r="25" spans="2:16">
      <c r="B25" t="s">
        <v>241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236</v>
      </c>
      <c r="J25" t="s">
        <v>166</v>
      </c>
      <c r="K25" t="s">
        <v>252</v>
      </c>
      <c r="M25" t="s">
        <v>10</v>
      </c>
      <c r="N25" t="s">
        <v>21</v>
      </c>
      <c r="O25" t="s">
        <v>256</v>
      </c>
      <c r="P25" t="s">
        <v>257</v>
      </c>
    </row>
    <row r="26" spans="2:16">
      <c r="B26" t="s">
        <v>241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237</v>
      </c>
      <c r="J26" t="s">
        <v>166</v>
      </c>
      <c r="K26" t="s">
        <v>253</v>
      </c>
      <c r="M26" t="s">
        <v>10</v>
      </c>
      <c r="N26" t="s">
        <v>21</v>
      </c>
      <c r="O26" t="s">
        <v>256</v>
      </c>
      <c r="P26" t="s">
        <v>257</v>
      </c>
    </row>
    <row r="27" spans="2:16">
      <c r="B27" t="s">
        <v>242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255</v>
      </c>
      <c r="M27" t="s">
        <v>10</v>
      </c>
      <c r="N27" t="s">
        <v>21</v>
      </c>
      <c r="O27" t="s">
        <v>256</v>
      </c>
      <c r="P27" t="s">
        <v>257</v>
      </c>
    </row>
    <row r="28" spans="2:16">
      <c r="B28" t="s">
        <v>242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236</v>
      </c>
    </row>
    <row r="29" spans="2:16">
      <c r="B29" t="s">
        <v>242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237</v>
      </c>
    </row>
    <row r="30" spans="2:16">
      <c r="B30" t="s">
        <v>243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243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236</v>
      </c>
    </row>
    <row r="32" spans="2:16">
      <c r="B32" t="s">
        <v>243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237</v>
      </c>
    </row>
    <row r="33" spans="2:8">
      <c r="B33" t="s">
        <v>244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244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235</v>
      </c>
    </row>
    <row r="35" spans="2:8">
      <c r="B35" t="s">
        <v>244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236</v>
      </c>
    </row>
    <row r="36" spans="2:8">
      <c r="B36" t="s">
        <v>244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237</v>
      </c>
    </row>
    <row r="37" spans="2:8">
      <c r="B37" t="s">
        <v>244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238</v>
      </c>
    </row>
    <row r="38" spans="2:8">
      <c r="B38" t="s">
        <v>245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245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236</v>
      </c>
    </row>
    <row r="40" spans="2:8">
      <c r="B40" t="s">
        <v>245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237</v>
      </c>
    </row>
    <row r="41" spans="2:8">
      <c r="B41" t="s">
        <v>246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246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236</v>
      </c>
    </row>
    <row r="43" spans="2:8">
      <c r="B43" t="s">
        <v>246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237</v>
      </c>
    </row>
    <row r="44" spans="2:8">
      <c r="B44" t="s">
        <v>247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247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236</v>
      </c>
    </row>
    <row r="46" spans="2:8">
      <c r="B46" t="s">
        <v>247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237</v>
      </c>
    </row>
    <row r="47" spans="2:8">
      <c r="B47" t="s">
        <v>247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238</v>
      </c>
    </row>
    <row r="48" spans="2:8">
      <c r="B48" t="s">
        <v>248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248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236</v>
      </c>
    </row>
    <row r="50" spans="2:8">
      <c r="B50" t="s">
        <v>248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237</v>
      </c>
    </row>
    <row r="51" spans="2:8">
      <c r="B51" t="s">
        <v>249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249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235</v>
      </c>
    </row>
    <row r="53" spans="2:8">
      <c r="B53" t="s">
        <v>249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236</v>
      </c>
    </row>
    <row r="54" spans="2:8">
      <c r="B54" t="s">
        <v>249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237</v>
      </c>
    </row>
    <row r="55" spans="2:8">
      <c r="B55" t="s">
        <v>249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238</v>
      </c>
    </row>
    <row r="56" spans="2:8">
      <c r="B56" t="s">
        <v>250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250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236</v>
      </c>
    </row>
    <row r="58" spans="2:8">
      <c r="B58" t="s">
        <v>250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237</v>
      </c>
    </row>
    <row r="59" spans="2:8">
      <c r="B59" t="s">
        <v>251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251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236</v>
      </c>
    </row>
    <row r="61" spans="2:8">
      <c r="B61" t="s">
        <v>251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237</v>
      </c>
    </row>
    <row r="62" spans="2:8">
      <c r="B62" t="s">
        <v>252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252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236</v>
      </c>
    </row>
    <row r="64" spans="2:8">
      <c r="B64" t="s">
        <v>252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237</v>
      </c>
    </row>
    <row r="65" spans="2:8">
      <c r="B65" t="s">
        <v>253</v>
      </c>
      <c r="C65" t="s">
        <v>254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253</v>
      </c>
      <c r="C66" t="s">
        <v>254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235</v>
      </c>
    </row>
    <row r="67" spans="2:8">
      <c r="B67" t="s">
        <v>253</v>
      </c>
      <c r="C67" t="s">
        <v>254</v>
      </c>
      <c r="D67" t="s">
        <v>19</v>
      </c>
      <c r="E67">
        <v>3120</v>
      </c>
      <c r="F67">
        <v>2280</v>
      </c>
      <c r="G67">
        <v>1660</v>
      </c>
      <c r="H67" t="s">
        <v>236</v>
      </c>
    </row>
    <row r="68" spans="2:8">
      <c r="B68" t="s">
        <v>253</v>
      </c>
      <c r="C68" t="s">
        <v>254</v>
      </c>
      <c r="D68" t="s">
        <v>19</v>
      </c>
      <c r="E68">
        <v>60</v>
      </c>
      <c r="F68">
        <v>50</v>
      </c>
      <c r="G68">
        <v>40</v>
      </c>
      <c r="H68" t="s">
        <v>237</v>
      </c>
    </row>
    <row r="69" spans="2:8">
      <c r="B69" t="s">
        <v>253</v>
      </c>
      <c r="C69" t="s">
        <v>254</v>
      </c>
      <c r="D69" t="s">
        <v>19</v>
      </c>
      <c r="E69">
        <v>10</v>
      </c>
      <c r="F69">
        <v>7</v>
      </c>
      <c r="G69">
        <v>5</v>
      </c>
      <c r="H69" t="s">
        <v>238</v>
      </c>
    </row>
    <row r="70" spans="2:8">
      <c r="B70" t="s">
        <v>255</v>
      </c>
      <c r="C70" t="s">
        <v>254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255</v>
      </c>
      <c r="C71" t="s">
        <v>254</v>
      </c>
      <c r="D71" t="s">
        <v>19</v>
      </c>
      <c r="E71">
        <v>0.28999999999999998</v>
      </c>
      <c r="F71">
        <v>0.3</v>
      </c>
      <c r="G71">
        <v>0.3</v>
      </c>
      <c r="H71" t="s">
        <v>235</v>
      </c>
    </row>
    <row r="72" spans="2:8">
      <c r="B72" t="s">
        <v>255</v>
      </c>
      <c r="C72" t="s">
        <v>254</v>
      </c>
      <c r="D72" t="s">
        <v>19</v>
      </c>
      <c r="E72">
        <v>1630</v>
      </c>
      <c r="F72">
        <v>1550</v>
      </c>
      <c r="G72">
        <v>1490</v>
      </c>
      <c r="H72" t="s">
        <v>236</v>
      </c>
    </row>
    <row r="73" spans="2:8">
      <c r="B73" t="s">
        <v>255</v>
      </c>
      <c r="C73" t="s">
        <v>254</v>
      </c>
      <c r="D73" t="s">
        <v>19</v>
      </c>
      <c r="E73">
        <v>42</v>
      </c>
      <c r="F73">
        <v>40</v>
      </c>
      <c r="G73">
        <v>38</v>
      </c>
      <c r="H73" t="s">
        <v>237</v>
      </c>
    </row>
    <row r="74" spans="2:8">
      <c r="B74" t="s">
        <v>255</v>
      </c>
      <c r="C74" t="s">
        <v>254</v>
      </c>
      <c r="D74" t="s">
        <v>19</v>
      </c>
      <c r="E74">
        <v>1.5</v>
      </c>
      <c r="F74">
        <v>1.5</v>
      </c>
      <c r="G74">
        <v>1.5</v>
      </c>
      <c r="H74" t="s">
        <v>238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2026-03-17T10:13:42Z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