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CA4CF76D-C3AD-490F-9298-20D11A07A739}" xr6:coauthVersionLast="47" xr6:coauthVersionMax="47" xr10:uidLastSave="{00000000-0000-0000-0000-000000000000}"/>
  <bookViews>
    <workbookView xWindow="-38520" yWindow="-5220" windowWidth="38640" windowHeight="21120" activeTab="1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9" l="1"/>
  <c r="N14" i="9"/>
  <c r="O15" i="7" l="1"/>
  <c r="O16" i="7"/>
  <c r="O17" i="7"/>
  <c r="O11" i="7"/>
  <c r="O12" i="7"/>
  <c r="O14" i="7"/>
  <c r="O13" i="9"/>
  <c r="L5" i="10"/>
  <c r="J15" i="7" l="1"/>
  <c r="N26" i="12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T13" i="9"/>
  <c r="S13" i="9"/>
  <c r="R13" i="9"/>
  <c r="Q13" i="9"/>
  <c r="P13" i="9"/>
  <c r="U11" i="9"/>
  <c r="N11" i="9"/>
  <c r="V10" i="9"/>
  <c r="N10" i="9"/>
  <c r="T9" i="9"/>
  <c r="S9" i="9"/>
  <c r="R9" i="9"/>
  <c r="Q9" i="9"/>
  <c r="P9" i="9"/>
  <c r="O9" i="9"/>
  <c r="N9" i="9"/>
  <c r="J8" i="7"/>
  <c r="J6" i="7"/>
  <c r="J5" i="7"/>
  <c r="J4" i="7"/>
</calcChain>
</file>

<file path=xl/sharedStrings.xml><?xml version="1.0" encoding="utf-8"?>
<sst xmlns="http://schemas.openxmlformats.org/spreadsheetml/2006/main" count="1001" uniqueCount="295">
  <si>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</si>
  <si>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</si>
  <si>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</si>
  <si>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</si>
  <si>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</si>
  <si>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</si>
  <si>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</si>
  <si>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</si>
  <si>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</si>
  <si>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</si>
  <si>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</si>
  <si>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</si>
  <si>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</si>
  <si>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</si>
  <si>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</si>
  <si>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</si>
  <si>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</si>
  <si>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</si>
  <si>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</si>
  <si>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</si>
  <si>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</si>
  <si>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</si>
  <si>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</si>
  <si>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</si>
  <si>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</si>
  <si>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</si>
  <si>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</si>
  <si>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</si>
  <si>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</si>
  <si>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</si>
  <si>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</si>
  <si>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</si>
  <si>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</si>
  <si>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</si>
  <si>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</si>
  <si>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</si>
  <si>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</si>
  <si>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</si>
  <si>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</si>
  <si>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</si>
  <si>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</si>
  <si>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</si>
  <si>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</si>
  <si>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</si>
  <si>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</si>
  <si>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</si>
  <si>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</si>
  <si>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</si>
  <si>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</si>
  <si>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</si>
  <si>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</si>
  <si>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</si>
  <si>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</si>
  <si>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</si>
  <si>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</si>
  <si>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</si>
  <si>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</si>
  <si>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</si>
  <si>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</si>
  <si>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</si>
  <si>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</si>
  <si>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</si>
  <si>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</si>
  <si>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</si>
  <si>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</si>
  <si>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</si>
  <si>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</si>
  <si>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</si>
  <si>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</si>
  <si>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</si>
  <si>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</si>
  <si>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</si>
  <si>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</si>
  <si>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</si>
  <si>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</si>
  <si>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</si>
  <si>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</si>
  <si>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</si>
  <si>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</si>
  <si>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</si>
  <si>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</si>
  <si>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</si>
  <si>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</si>
  <si>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</si>
  <si>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</si>
  <si>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</si>
  <si>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</si>
  <si>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</si>
  <si>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</si>
  <si>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</si>
  <si>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</si>
  <si>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</si>
  <si>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</si>
  <si>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</si>
  <si>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</si>
  <si>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</si>
  <si>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</si>
  <si>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</si>
  <si>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</si>
  <si>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</si>
  <si>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</si>
  <si>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</si>
  <si>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</si>
  <si>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</si>
  <si>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</si>
  <si>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</si>
  <si>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</si>
  <si>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</si>
  <si>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</si>
  <si>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</si>
  <si>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</si>
  <si>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</si>
  <si>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</si>
  <si>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</si>
  <si>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</si>
  <si>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</si>
  <si>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</si>
  <si>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</si>
  <si>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</si>
  <si>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</si>
  <si>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</si>
  <si>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</si>
  <si>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</si>
  <si>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</si>
  <si>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</si>
  <si>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</si>
  <si>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</si>
  <si>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</si>
  <si>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</si>
  <si>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</si>
  <si>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</si>
  <si>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</si>
  <si>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</si>
  <si>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</si>
  <si>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</si>
  <si>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</si>
  <si>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</si>
  <si>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</si>
  <si>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</si>
  <si>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</si>
  <si>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</si>
  <si>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</si>
  <si>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</si>
  <si>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</si>
  <si>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</si>
  <si>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</si>
  <si>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</si>
  <si>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</si>
  <si>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</si>
  <si>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</si>
  <si>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</si>
  <si>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</si>
  <si>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</si>
  <si>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</si>
  <si>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</si>
  <si>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</si>
  <si>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</si>
  <si>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</si>
  <si>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</si>
  <si>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</si>
  <si>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</si>
  <si>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</si>
  <si>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</si>
  <si>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</si>
  <si>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</si>
  <si>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</si>
  <si>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</si>
  <si>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</si>
  <si>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</si>
  <si>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</si>
  <si>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</si>
  <si>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</si>
  <si>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</si>
  <si>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</si>
  <si>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</si>
  <si>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</si>
  <si>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</si>
  <si>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</si>
  <si>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</si>
  <si>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</si>
  <si>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</si>
  <si>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</si>
  <si>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</si>
  <si>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</si>
  <si>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</si>
  <si>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</si>
  <si>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</si>
  <si>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</si>
  <si>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</si>
  <si>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</si>
  <si>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</si>
  <si>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</si>
  <si>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</si>
  <si>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</si>
  <si>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</si>
  <si>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</si>
  <si>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</si>
  <si>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</si>
  <si>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</si>
  <si>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</si>
  <si>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</si>
  <si>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</si>
  <si>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</si>
  <si>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</si>
  <si>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</si>
  <si>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</si>
  <si>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</si>
  <si>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</si>
  <si>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</si>
  <si>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</si>
  <si>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</si>
  <si>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</si>
  <si>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</si>
  <si>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</si>
  <si>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</si>
  <si>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</si>
  <si>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</si>
  <si>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</si>
  <si>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</si>
  <si>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</si>
  <si>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</si>
  <si>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</si>
  <si>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</si>
  <si>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</si>
  <si>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</si>
  <si>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</si>
  <si>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</si>
  <si>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</si>
  <si>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</si>
  <si>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</si>
  <si>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</si>
  <si>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</si>
  <si>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</si>
  <si>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</si>
  <si>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</si>
  <si>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</si>
  <si>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</si>
  <si>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</si>
  <si>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</si>
  <si>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</si>
  <si>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</si>
  <si>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</si>
  <si>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</si>
  <si>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</si>
  <si>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</si>
  <si>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</si>
  <si>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</si>
  <si>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</si>
  <si>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</si>
  <si>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</si>
  <si>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</si>
  <si>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</si>
  <si>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</si>
  <si>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</si>
  <si>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</si>
  <si>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</si>
  <si>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</si>
  <si>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</si>
  <si>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</si>
  <si>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</si>
  <si>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</si>
  <si>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</si>
  <si>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</si>
  <si>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</si>
  <si>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</si>
  <si>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</si>
  <si>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</si>
  <si>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</si>
  <si>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</si>
  <si>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</si>
  <si>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</si>
  <si>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</si>
  <si>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</si>
  <si>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</si>
  <si>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</si>
  <si>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</si>
  <si>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</si>
  <si>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</si>
  <si>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</si>
  <si>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</si>
  <si>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</si>
  <si>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</si>
  <si>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</si>
  <si>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</si>
  <si>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</si>
  <si>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</si>
  <si>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</si>
  <si>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</si>
  <si>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</si>
  <si>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</si>
  <si>
    <t>FI_Process</t>
  </si>
  <si>
    <t>FI_T: EUR15</t>
  </si>
  <si>
    <t>FI_T: FX</t>
  </si>
  <si>
    <t>~FI_Comm</t>
  </si>
  <si>
    <t>~FI_T: USD21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</si>
</sst>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zoomScale="80" workbookViewId="0">
      <selection activeCell="AE35" sqref="AE35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9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abSelected="1" workbookViewId="0">
      <selection activeCell="I24" sqref="I24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293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294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>K40</f>
        <v>956</v>
      </c>
      <c r="P13" s="9">
        <f t="shared" ref="P13:T13" si="1">L40</f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71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topLeftCell="K1"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292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290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291</v>
      </c>
      <c r="T26" s="143" t="s">
        <v>290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N32"/>
  <sheetViews>
    <sheetView topLeftCell="A6" workbookViewId="0">
      <selection activeCell="Q17" sqref="Q17"/>
    </sheetView>
  </sheetViews>
  <sheetFormatPr defaultRowHeight="15"/>
  <cols>
    <col min="10" max="10" width="9.5703125" bestFit="1" customWidth="1"/>
    <col min="11" max="11" width="10.85546875" bestFit="1" customWidth="1"/>
    <col min="12" max="12" width="11.8554687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4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4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4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4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  <row r="23" spans="2:14">
      <c r="L23">
        <v>0.57106272660134949</v>
      </c>
    </row>
    <row r="24" spans="2:14">
      <c r="L24">
        <v>0.14253972827972677</v>
      </c>
    </row>
    <row r="25" spans="2:14">
      <c r="L25">
        <v>0.39746641579927361</v>
      </c>
    </row>
    <row r="26" spans="2:14">
      <c r="L26">
        <v>0.52352435071333325</v>
      </c>
      <c r="N26">
        <f>SUM(L23:L32)</f>
        <v>2.8231996883216088</v>
      </c>
    </row>
    <row r="27" spans="2:14">
      <c r="L27">
        <v>5.1876061149469521E-2</v>
      </c>
    </row>
    <row r="28" spans="2:14">
      <c r="L28">
        <v>3.7934664956297569E-2</v>
      </c>
    </row>
    <row r="29" spans="2:14">
      <c r="L29">
        <v>0.30795950582429055</v>
      </c>
    </row>
    <row r="30" spans="2:14">
      <c r="L30">
        <v>0.40313702086988223</v>
      </c>
    </row>
    <row r="31" spans="2:14">
      <c r="L31">
        <v>0.13356706284547895</v>
      </c>
    </row>
    <row r="32" spans="2:14">
      <c r="L32">
        <v>0.25413215128250727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opLeftCell="D9" workbookViewId="0">
      <selection activeCell="U15" sqref="U15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6" width="10.5703125" bestFit="1" customWidth="1"/>
    <col min="24" max="24" width="11.28515625" bestFit="1" customWidth="1"/>
  </cols>
  <sheetData>
    <row r="9" spans="2:26">
      <c r="B9" t="s">
        <v>158</v>
      </c>
      <c r="J9" t="s">
        <v>189</v>
      </c>
      <c r="O9" t="s">
        <v>158</v>
      </c>
      <c r="W9" t="s">
        <v>189</v>
      </c>
    </row>
    <row r="10" spans="2:2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190</v>
      </c>
      <c r="Y10" t="s">
        <v>191</v>
      </c>
      <c r="Z10" t="s">
        <v>192</v>
      </c>
    </row>
    <row r="11" spans="2:26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O11" t="s">
        <v>166</v>
      </c>
      <c r="P11" t="s">
        <v>233</v>
      </c>
      <c r="Q11" t="s">
        <v>234</v>
      </c>
      <c r="R11" t="s">
        <v>10</v>
      </c>
      <c r="S11" t="s">
        <v>21</v>
      </c>
      <c r="T11" t="s">
        <v>169</v>
      </c>
      <c r="U11" t="s">
        <v>170</v>
      </c>
      <c r="W11" t="s">
        <v>233</v>
      </c>
      <c r="X11" t="s">
        <v>253</v>
      </c>
      <c r="Y11">
        <v>10.905749999999999</v>
      </c>
      <c r="Z11">
        <v>0.2978238628360676</v>
      </c>
    </row>
    <row r="12" spans="2:26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O12" t="s">
        <v>166</v>
      </c>
      <c r="P12" t="s">
        <v>235</v>
      </c>
      <c r="Q12" t="s">
        <v>236</v>
      </c>
      <c r="R12" t="s">
        <v>10</v>
      </c>
      <c r="S12" t="s">
        <v>21</v>
      </c>
      <c r="T12" t="s">
        <v>169</v>
      </c>
      <c r="U12" t="s">
        <v>170</v>
      </c>
      <c r="W12" t="s">
        <v>235</v>
      </c>
      <c r="X12" t="s">
        <v>254</v>
      </c>
      <c r="Y12">
        <v>7.0004999999999997</v>
      </c>
      <c r="Z12">
        <v>0.37369451123150682</v>
      </c>
    </row>
    <row r="13" spans="2:26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O13" t="s">
        <v>166</v>
      </c>
      <c r="P13" t="s">
        <v>237</v>
      </c>
      <c r="Q13" t="s">
        <v>238</v>
      </c>
      <c r="R13" t="s">
        <v>10</v>
      </c>
      <c r="S13" t="s">
        <v>21</v>
      </c>
      <c r="T13" t="s">
        <v>169</v>
      </c>
      <c r="U13" t="s">
        <v>170</v>
      </c>
      <c r="W13" t="s">
        <v>237</v>
      </c>
      <c r="X13" t="s">
        <v>255</v>
      </c>
      <c r="Y13">
        <v>3.048</v>
      </c>
      <c r="Z13">
        <v>0.28750467069383828</v>
      </c>
    </row>
    <row r="14" spans="2:26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O14" t="s">
        <v>166</v>
      </c>
      <c r="P14" t="s">
        <v>239</v>
      </c>
      <c r="Q14" t="s">
        <v>240</v>
      </c>
      <c r="R14" t="s">
        <v>10</v>
      </c>
      <c r="S14" t="s">
        <v>21</v>
      </c>
      <c r="T14" t="s">
        <v>169</v>
      </c>
      <c r="U14" t="s">
        <v>170</v>
      </c>
      <c r="W14" t="s">
        <v>239</v>
      </c>
      <c r="X14" t="s">
        <v>256</v>
      </c>
      <c r="Y14">
        <v>9.0150000000000006</v>
      </c>
      <c r="Z14">
        <v>0.45257887643123651</v>
      </c>
    </row>
    <row r="15" spans="2:26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O15" t="s">
        <v>166</v>
      </c>
      <c r="P15" t="s">
        <v>241</v>
      </c>
      <c r="Q15" t="s">
        <v>242</v>
      </c>
      <c r="R15" t="s">
        <v>10</v>
      </c>
      <c r="S15" t="s">
        <v>21</v>
      </c>
      <c r="T15" t="s">
        <v>169</v>
      </c>
      <c r="U15" t="s">
        <v>170</v>
      </c>
      <c r="W15" t="s">
        <v>241</v>
      </c>
      <c r="X15" t="s">
        <v>257</v>
      </c>
      <c r="Y15">
        <v>9.3472500000000007</v>
      </c>
      <c r="Z15">
        <v>0.44869827675393242</v>
      </c>
    </row>
    <row r="16" spans="2:26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O16" t="s">
        <v>166</v>
      </c>
      <c r="P16" t="s">
        <v>243</v>
      </c>
      <c r="Q16" t="s">
        <v>244</v>
      </c>
      <c r="R16" t="s">
        <v>10</v>
      </c>
      <c r="S16" t="s">
        <v>21</v>
      </c>
      <c r="T16" t="s">
        <v>169</v>
      </c>
      <c r="U16" t="s">
        <v>170</v>
      </c>
      <c r="W16" t="s">
        <v>243</v>
      </c>
      <c r="X16" t="s">
        <v>258</v>
      </c>
      <c r="Y16">
        <v>19.705500000000001</v>
      </c>
      <c r="Z16">
        <v>0.47904088602536332</v>
      </c>
    </row>
    <row r="17" spans="2:26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O17" t="s">
        <v>166</v>
      </c>
      <c r="P17" t="s">
        <v>245</v>
      </c>
      <c r="Q17" t="s">
        <v>246</v>
      </c>
      <c r="R17" t="s">
        <v>10</v>
      </c>
      <c r="S17" t="s">
        <v>21</v>
      </c>
      <c r="T17" t="s">
        <v>169</v>
      </c>
      <c r="U17" t="s">
        <v>170</v>
      </c>
      <c r="W17" t="s">
        <v>245</v>
      </c>
      <c r="X17" t="s">
        <v>259</v>
      </c>
      <c r="Y17">
        <v>15.350250000000001</v>
      </c>
      <c r="Z17">
        <v>0.47146795634591199</v>
      </c>
    </row>
    <row r="18" spans="2:26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O18" t="s">
        <v>166</v>
      </c>
      <c r="P18" t="s">
        <v>247</v>
      </c>
      <c r="Q18" t="s">
        <v>248</v>
      </c>
      <c r="R18" t="s">
        <v>10</v>
      </c>
      <c r="S18" t="s">
        <v>21</v>
      </c>
      <c r="T18" t="s">
        <v>169</v>
      </c>
      <c r="U18" t="s">
        <v>170</v>
      </c>
      <c r="W18" t="s">
        <v>247</v>
      </c>
      <c r="X18" t="s">
        <v>260</v>
      </c>
      <c r="Y18">
        <v>17.492999999999999</v>
      </c>
      <c r="Z18">
        <v>0.4831226670907412</v>
      </c>
    </row>
    <row r="19" spans="2:26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O19" t="s">
        <v>166</v>
      </c>
      <c r="P19" t="s">
        <v>249</v>
      </c>
      <c r="Q19" t="s">
        <v>250</v>
      </c>
      <c r="R19" t="s">
        <v>10</v>
      </c>
      <c r="S19" t="s">
        <v>21</v>
      </c>
      <c r="T19" t="s">
        <v>169</v>
      </c>
      <c r="U19" t="s">
        <v>170</v>
      </c>
      <c r="W19" t="s">
        <v>249</v>
      </c>
      <c r="X19" t="s">
        <v>261</v>
      </c>
      <c r="Y19">
        <v>2.87175</v>
      </c>
      <c r="Z19">
        <v>0.45668669806804207</v>
      </c>
    </row>
    <row r="20" spans="2:26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O20" t="s">
        <v>166</v>
      </c>
      <c r="P20" t="s">
        <v>251</v>
      </c>
      <c r="Q20" t="s">
        <v>252</v>
      </c>
      <c r="R20" t="s">
        <v>10</v>
      </c>
      <c r="S20" t="s">
        <v>21</v>
      </c>
      <c r="T20" t="s">
        <v>169</v>
      </c>
      <c r="U20" t="s">
        <v>170</v>
      </c>
      <c r="W20" t="s">
        <v>251</v>
      </c>
      <c r="X20" t="s">
        <v>262</v>
      </c>
      <c r="Y20">
        <v>0.84824999999999995</v>
      </c>
      <c r="Z20">
        <v>0.45368618559080531</v>
      </c>
    </row>
    <row r="22" spans="2:26">
      <c r="L22" s="147" t="s">
        <v>289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5" workbookViewId="0">
      <selection activeCell="J35" sqref="J35"/>
    </sheetView>
  </sheetViews>
  <sheetFormatPr defaultRowHeight="15"/>
  <cols>
    <col min="2" max="2" width="31.42578125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2026-03-10T09:34:27Z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