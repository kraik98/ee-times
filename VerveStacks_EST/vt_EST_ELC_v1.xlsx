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FBBF4C11-D2B5-42F7-A1D0-EF55CC0B6F2C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Y1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N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Q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T79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<sst xmlns="http://schemas.openxmlformats.org/spreadsheetml/2006/main" count="911" uniqueCount="219">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</sst>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11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Q47" dT="2026-03-05T12:58:31.38" personId="{9CD26280-DD25-46DF-A708-6877D8A68AD8}" id="{C2CA05C3-E9FD-442F-962C-5D4E7F1ADE70}">
    <text>Took same as chp</text>
  </threadedComment>
  <threadedComment ref="T79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105"/>
  <sheetViews>
    <sheetView tabSelected="1" topLeftCell="C9" zoomScale="76" zoomScaleNormal="78" workbookViewId="0">
      <pane ySplit="2" topLeftCell="A11" activePane="bottomLeft" state="frozen"/>
      <selection activeCell="A9" sqref="A9"/>
      <selection pane="bottomLeft" activeCell="P29" sqref="P29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1" max="21" width="41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17</v>
      </c>
      <c r="V11" t="s">
        <v>76</v>
      </c>
      <c r="W11" t="s">
        <v>71</v>
      </c>
      <c r="X11" t="s">
        <v>72</v>
      </c>
      <c r="Y11" t="s">
        <v>73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22</v>
      </c>
      <c r="V12" t="s">
        <v>78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3.9363662143155967E-2</v>
      </c>
      <c r="G13">
        <v>0.33123000000000002</v>
      </c>
      <c r="L13">
        <v>0.14986856628506873</v>
      </c>
      <c r="T13" t="s">
        <v>69</v>
      </c>
      <c r="U13" t="s">
        <v>25</v>
      </c>
      <c r="V13" t="s">
        <v>78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27</v>
      </c>
      <c r="V14" t="s">
        <v>78</v>
      </c>
      <c r="W14" t="s">
        <v>71</v>
      </c>
      <c r="X14" t="s">
        <v>72</v>
      </c>
      <c r="Y14" t="s">
        <v>80</v>
      </c>
      <c r="Z14" t="s">
        <v>74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69</v>
      </c>
      <c r="U15" t="s">
        <v>29</v>
      </c>
      <c r="V15" t="s">
        <v>78</v>
      </c>
      <c r="W15" t="s">
        <v>71</v>
      </c>
      <c r="X15" t="s">
        <v>72</v>
      </c>
      <c r="Y15" t="s">
        <v>80</v>
      </c>
      <c r="Z15" t="s">
        <v>74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30</v>
      </c>
      <c r="V16" t="s">
        <v>78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32</v>
      </c>
      <c r="V17" t="s">
        <v>78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T18" t="s">
        <v>69</v>
      </c>
      <c r="U18" t="s">
        <v>34</v>
      </c>
      <c r="V18" t="s">
        <v>78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35</v>
      </c>
      <c r="V19" t="s">
        <v>78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T20" t="s">
        <v>69</v>
      </c>
      <c r="U20" t="s">
        <v>37</v>
      </c>
      <c r="V20" t="s">
        <v>78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39</v>
      </c>
      <c r="V21" t="s">
        <v>78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40</v>
      </c>
      <c r="V22" t="s">
        <v>78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42</v>
      </c>
      <c r="V23" t="s">
        <v>78</v>
      </c>
      <c r="W23" t="s">
        <v>71</v>
      </c>
      <c r="X23" t="s">
        <v>72</v>
      </c>
      <c r="Y23" t="s">
        <v>80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T24" t="s">
        <v>69</v>
      </c>
      <c r="U24" t="s">
        <v>61</v>
      </c>
      <c r="V24" t="s">
        <v>81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216</v>
      </c>
      <c r="V25" t="s">
        <v>81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T26" t="s">
        <v>69</v>
      </c>
      <c r="U26" t="s">
        <v>217</v>
      </c>
      <c r="V26" t="s">
        <v>218</v>
      </c>
      <c r="W26" t="s">
        <v>71</v>
      </c>
      <c r="X26" t="s">
        <v>72</v>
      </c>
      <c r="Y26" t="s">
        <v>80</v>
      </c>
      <c r="Z26" t="s">
        <v>77</v>
      </c>
    </row>
    <row r="27" spans="2:26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M27">
        <f>F90*L90*G90</f>
        <v>2.0930123559331545E-3</v>
      </c>
      <c r="T27" t="s">
        <v>140</v>
      </c>
      <c r="U27" s="1" t="s">
        <v>141</v>
      </c>
    </row>
    <row r="28" spans="2:26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T28" t="s">
        <v>69</v>
      </c>
      <c r="U28" t="s">
        <v>194</v>
      </c>
      <c r="V28" t="s">
        <v>163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140</v>
      </c>
      <c r="C29" s="1" t="s">
        <v>141</v>
      </c>
      <c r="T29" t="s">
        <v>69</v>
      </c>
      <c r="U29" t="s">
        <v>193</v>
      </c>
      <c r="V29" t="s">
        <v>148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17</v>
      </c>
      <c r="C30" t="s">
        <v>16</v>
      </c>
      <c r="D30" t="s">
        <v>14</v>
      </c>
      <c r="E30">
        <v>1982</v>
      </c>
      <c r="F30">
        <v>1.7000000000000001E-2</v>
      </c>
      <c r="G30">
        <f>P45</f>
        <v>0.56000000000000005</v>
      </c>
      <c r="H30" s="2">
        <v>1175.5066999999999</v>
      </c>
      <c r="I30" s="3">
        <f>(N45/100)*H31</f>
        <v>160.216352398</v>
      </c>
      <c r="J30">
        <f>Q45</f>
        <v>5.8775000000000004</v>
      </c>
      <c r="K30">
        <v>53</v>
      </c>
      <c r="T30" t="s">
        <v>69</v>
      </c>
      <c r="U30" t="s">
        <v>195</v>
      </c>
      <c r="V30" t="s">
        <v>149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$P$44</f>
        <v>0.33</v>
      </c>
      <c r="H31" s="2">
        <v>4812.0244000000002</v>
      </c>
      <c r="I31" s="3">
        <f>(1.31/100)*H31</f>
        <v>63.037519640000006</v>
      </c>
      <c r="J31">
        <f>$Q$44</f>
        <v>4.1005000000000003</v>
      </c>
      <c r="K31">
        <v>70</v>
      </c>
      <c r="T31" t="s">
        <v>69</v>
      </c>
      <c r="U31" t="s">
        <v>196</v>
      </c>
      <c r="V31" t="s">
        <v>150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 t="shared" ref="G32:G34" si="0">$P$44</f>
        <v>0.33</v>
      </c>
      <c r="H32" s="2">
        <v>4812.0244000000002</v>
      </c>
      <c r="I32" s="3">
        <f>(1.31/100)*H32</f>
        <v>63.037519640000006</v>
      </c>
      <c r="J32">
        <f t="shared" ref="J32:J48" si="1">$Q$44</f>
        <v>4.1005000000000003</v>
      </c>
      <c r="K32">
        <v>40</v>
      </c>
      <c r="T32" t="s">
        <v>69</v>
      </c>
      <c r="U32" t="s">
        <v>142</v>
      </c>
      <c r="V32" t="s">
        <v>161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$Q$44</f>
        <v>4.1005000000000003</v>
      </c>
      <c r="K33">
        <v>40</v>
      </c>
      <c r="T33" t="s">
        <v>69</v>
      </c>
      <c r="U33" t="s">
        <v>143</v>
      </c>
      <c r="V33" t="s">
        <v>151</v>
      </c>
      <c r="W33" t="s">
        <v>71</v>
      </c>
      <c r="X33" t="s">
        <v>72</v>
      </c>
      <c r="Y33" t="s">
        <v>80</v>
      </c>
      <c r="Z33" t="s">
        <v>74</v>
      </c>
    </row>
    <row r="34" spans="2:26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 t="shared" si="0"/>
        <v>0.33</v>
      </c>
      <c r="H34" s="2">
        <v>4812.0244000000002</v>
      </c>
      <c r="I34" s="3">
        <f>(1.31/100)*H34</f>
        <v>63.037519640000006</v>
      </c>
      <c r="J34">
        <f t="shared" si="1"/>
        <v>4.1005000000000003</v>
      </c>
      <c r="K34">
        <v>73</v>
      </c>
      <c r="T34" t="s">
        <v>69</v>
      </c>
      <c r="U34" t="s">
        <v>144</v>
      </c>
      <c r="V34" t="s">
        <v>152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P45</f>
        <v>0.56000000000000005</v>
      </c>
      <c r="H35" s="2">
        <f>O45</f>
        <v>1175.5066999999999</v>
      </c>
      <c r="I35" s="3">
        <f>(N45/100)*H35</f>
        <v>39.138495576499992</v>
      </c>
      <c r="J35">
        <f>$Q$45</f>
        <v>5.8775000000000004</v>
      </c>
      <c r="K35">
        <v>40</v>
      </c>
      <c r="T35" t="s">
        <v>69</v>
      </c>
      <c r="U35" t="s">
        <v>145</v>
      </c>
      <c r="V35" t="s">
        <v>153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P47</f>
        <v>0.46800000000000003</v>
      </c>
      <c r="H36" s="2">
        <f>$O$47</f>
        <v>2950.7891</v>
      </c>
      <c r="I36" s="3">
        <f>(4.5269/100)*H36</f>
        <v>133.5792717679</v>
      </c>
      <c r="J36">
        <f>$Q$47</f>
        <v>2.8138000000000001</v>
      </c>
      <c r="K36">
        <v>40</v>
      </c>
      <c r="T36" t="s">
        <v>69</v>
      </c>
      <c r="U36" t="s">
        <v>146</v>
      </c>
      <c r="V36" t="s">
        <v>147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 t="shared" ref="H37:H39" si="2">$O$47</f>
        <v>2950.7891</v>
      </c>
      <c r="I37" s="3">
        <f t="shared" ref="I37:I39" si="3">(4.5269/100)*H37</f>
        <v>133.5792717679</v>
      </c>
      <c r="J37">
        <f t="shared" ref="J37:J39" si="4">$Q$47</f>
        <v>2.8138000000000001</v>
      </c>
      <c r="K37">
        <v>40</v>
      </c>
      <c r="T37" t="s">
        <v>69</v>
      </c>
      <c r="U37" t="s">
        <v>197</v>
      </c>
      <c r="V37" t="s">
        <v>162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 t="shared" si="2"/>
        <v>2950.7891</v>
      </c>
      <c r="I38" s="3">
        <f t="shared" si="3"/>
        <v>133.5792717679</v>
      </c>
      <c r="J38">
        <f t="shared" si="4"/>
        <v>2.8138000000000001</v>
      </c>
      <c r="K38">
        <v>40</v>
      </c>
      <c r="T38" t="s">
        <v>69</v>
      </c>
      <c r="U38" t="s">
        <v>154</v>
      </c>
      <c r="V38" t="s">
        <v>155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 t="shared" si="2"/>
        <v>2950.7891</v>
      </c>
      <c r="I39" s="3">
        <f t="shared" si="3"/>
        <v>133.5792717679</v>
      </c>
      <c r="J39">
        <f t="shared" si="4"/>
        <v>2.8138000000000001</v>
      </c>
      <c r="K39">
        <v>40</v>
      </c>
      <c r="T39" t="s">
        <v>69</v>
      </c>
      <c r="U39" t="s">
        <v>156</v>
      </c>
      <c r="V39" t="s">
        <v>157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P44</f>
        <v>0.33</v>
      </c>
      <c r="H40" s="2">
        <f>O44</f>
        <v>4812.0244000000002</v>
      </c>
      <c r="I40" s="3">
        <f>($N$44/100)*H40</f>
        <v>63.037519640000006</v>
      </c>
      <c r="J40">
        <f>$Q$44</f>
        <v>4.1005000000000003</v>
      </c>
      <c r="K40">
        <v>40</v>
      </c>
      <c r="T40" t="s">
        <v>69</v>
      </c>
      <c r="U40" t="s">
        <v>170</v>
      </c>
      <c r="V40" t="s">
        <v>171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$O$48</f>
        <v>4516.7133000000003</v>
      </c>
      <c r="I41" s="3">
        <f>($N$48/100)*H41</f>
        <v>162.96753257730003</v>
      </c>
      <c r="J41">
        <f>$Q$48</f>
        <v>2.8138000000000001</v>
      </c>
      <c r="K41">
        <v>40</v>
      </c>
      <c r="T41" t="s">
        <v>69</v>
      </c>
      <c r="U41" t="s">
        <v>158</v>
      </c>
      <c r="V41" t="s">
        <v>159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 t="shared" ref="H42:H44" si="5">$O$48</f>
        <v>4516.7133000000003</v>
      </c>
      <c r="I42" s="3">
        <f t="shared" ref="I42:I44" si="6">($N$48/100)*H42</f>
        <v>162.96753257730003</v>
      </c>
      <c r="J42">
        <f t="shared" ref="J42:J44" si="7">$Q$48</f>
        <v>2.8138000000000001</v>
      </c>
      <c r="K42">
        <v>40</v>
      </c>
      <c r="T42" t="s">
        <v>69</v>
      </c>
      <c r="U42" t="s">
        <v>169</v>
      </c>
      <c r="V42" t="s">
        <v>160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 t="shared" si="5"/>
        <v>4516.7133000000003</v>
      </c>
      <c r="I43" s="3">
        <f t="shared" si="6"/>
        <v>162.96753257730003</v>
      </c>
      <c r="J43">
        <f t="shared" si="7"/>
        <v>2.8138000000000001</v>
      </c>
      <c r="K43">
        <v>40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164</v>
      </c>
      <c r="V43" t="s">
        <v>165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 t="shared" si="5"/>
        <v>4516.7133000000003</v>
      </c>
      <c r="I44" s="3">
        <f t="shared" si="6"/>
        <v>162.96753257730003</v>
      </c>
      <c r="J44">
        <f t="shared" si="7"/>
        <v>2.8138000000000001</v>
      </c>
      <c r="K44">
        <v>72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168</v>
      </c>
      <c r="V44" t="s">
        <v>166</v>
      </c>
      <c r="W44" t="s">
        <v>71</v>
      </c>
      <c r="X44" t="s">
        <v>72</v>
      </c>
      <c r="Y44" t="s">
        <v>80</v>
      </c>
      <c r="Z44" t="s">
        <v>74</v>
      </c>
    </row>
    <row r="45" spans="2:26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P45</f>
        <v>0.56000000000000005</v>
      </c>
      <c r="H45" s="2">
        <f>O45</f>
        <v>1175.5066999999999</v>
      </c>
      <c r="I45" s="3">
        <f>($N$45/100)*H45</f>
        <v>39.138495576499992</v>
      </c>
      <c r="J45">
        <f>$Q$45</f>
        <v>5.8775000000000004</v>
      </c>
      <c r="K45">
        <v>40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  <c r="T45" t="s">
        <v>69</v>
      </c>
      <c r="U45" t="s">
        <v>198</v>
      </c>
      <c r="V45" t="s">
        <v>167</v>
      </c>
      <c r="W45" t="s">
        <v>71</v>
      </c>
      <c r="X45" t="s">
        <v>72</v>
      </c>
      <c r="Y45" t="s">
        <v>80</v>
      </c>
      <c r="Z45" t="s">
        <v>74</v>
      </c>
    </row>
    <row r="46" spans="2:26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O48</f>
        <v>4516.7133000000003</v>
      </c>
      <c r="I46" s="3">
        <f>($N$48/100)*H46</f>
        <v>162.96753257730003</v>
      </c>
      <c r="J46">
        <f>$Q$48</f>
        <v>2.8138000000000001</v>
      </c>
      <c r="K46">
        <v>40</v>
      </c>
      <c r="M46" t="s">
        <v>212</v>
      </c>
      <c r="N46" s="4"/>
      <c r="O46" s="2"/>
      <c r="T46" t="s">
        <v>69</v>
      </c>
      <c r="U46" t="s">
        <v>172</v>
      </c>
      <c r="V46" t="s">
        <v>173</v>
      </c>
      <c r="W46" t="s">
        <v>71</v>
      </c>
      <c r="X46" t="s">
        <v>72</v>
      </c>
      <c r="Y46" t="s">
        <v>80</v>
      </c>
      <c r="Z46" t="s">
        <v>74</v>
      </c>
    </row>
    <row r="47" spans="2:26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P45</f>
        <v>0.56000000000000005</v>
      </c>
      <c r="H47" s="2">
        <f>O45</f>
        <v>1175.5066999999999</v>
      </c>
      <c r="I47" s="3">
        <f>($N$45/100)*H47</f>
        <v>39.138495576499992</v>
      </c>
      <c r="J47">
        <f>$Q$45</f>
        <v>5.8775000000000004</v>
      </c>
      <c r="K47">
        <v>40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  <c r="T47" t="s">
        <v>69</v>
      </c>
      <c r="U47" t="s">
        <v>174</v>
      </c>
      <c r="V47" t="s">
        <v>175</v>
      </c>
      <c r="W47" t="s">
        <v>71</v>
      </c>
      <c r="X47" t="s">
        <v>72</v>
      </c>
      <c r="Y47" t="s">
        <v>80</v>
      </c>
      <c r="Z47" t="s">
        <v>74</v>
      </c>
    </row>
    <row r="48" spans="2:26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P44</f>
        <v>0.33</v>
      </c>
      <c r="H48" s="2">
        <f>O44</f>
        <v>4812.0244000000002</v>
      </c>
      <c r="I48" s="3">
        <f>($N$48/100)*H48</f>
        <v>173.62265237640003</v>
      </c>
      <c r="J48">
        <f t="shared" si="1"/>
        <v>4.1005000000000003</v>
      </c>
      <c r="K48">
        <v>40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  <c r="T48" t="s">
        <v>69</v>
      </c>
      <c r="U48" t="s">
        <v>176</v>
      </c>
      <c r="V48" t="s">
        <v>177</v>
      </c>
      <c r="W48" t="s">
        <v>71</v>
      </c>
      <c r="X48" t="s">
        <v>72</v>
      </c>
      <c r="Y48" t="s">
        <v>80</v>
      </c>
      <c r="Z48" t="s">
        <v>74</v>
      </c>
    </row>
    <row r="49" spans="2:26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O48</f>
        <v>4516.7133000000003</v>
      </c>
      <c r="I49" s="3">
        <f>($N$48/100)*H49</f>
        <v>162.96753257730003</v>
      </c>
      <c r="J49">
        <f>$Q$48</f>
        <v>2.8138000000000001</v>
      </c>
      <c r="K49">
        <v>40</v>
      </c>
      <c r="N49" s="3"/>
      <c r="O49" s="4"/>
      <c r="T49" t="s">
        <v>69</v>
      </c>
      <c r="U49" t="s">
        <v>178</v>
      </c>
      <c r="V49" t="s">
        <v>179</v>
      </c>
      <c r="W49" t="s">
        <v>71</v>
      </c>
      <c r="X49" t="s">
        <v>72</v>
      </c>
      <c r="Y49" t="s">
        <v>80</v>
      </c>
      <c r="Z49" t="s">
        <v>74</v>
      </c>
    </row>
    <row r="50" spans="2:26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O48</f>
        <v>4516.7133000000003</v>
      </c>
      <c r="I50" s="3">
        <f>($N$48/100)*H50</f>
        <v>162.96753257730003</v>
      </c>
      <c r="J50">
        <f>$Q$48</f>
        <v>2.8138000000000001</v>
      </c>
      <c r="K50">
        <v>40</v>
      </c>
      <c r="N50" s="3"/>
      <c r="O50" s="4"/>
      <c r="T50" t="s">
        <v>69</v>
      </c>
      <c r="U50" t="s">
        <v>180</v>
      </c>
      <c r="V50" t="s">
        <v>181</v>
      </c>
      <c r="W50" t="s">
        <v>71</v>
      </c>
      <c r="X50" t="s">
        <v>72</v>
      </c>
      <c r="Y50" t="s">
        <v>80</v>
      </c>
      <c r="Z50" t="s">
        <v>74</v>
      </c>
    </row>
    <row r="51" spans="2:26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P45</f>
        <v>0.56000000000000005</v>
      </c>
      <c r="H51" s="2">
        <f>O45</f>
        <v>1175.5066999999999</v>
      </c>
      <c r="I51" s="3">
        <f t="shared" ref="I51:I52" si="8">($N$45/100)*H51</f>
        <v>39.138495576499992</v>
      </c>
      <c r="J51">
        <f>$Q$45</f>
        <v>5.8775000000000004</v>
      </c>
      <c r="K51">
        <v>40</v>
      </c>
      <c r="N51" s="3"/>
      <c r="O51" s="4"/>
      <c r="T51" t="s">
        <v>69</v>
      </c>
      <c r="U51" t="s">
        <v>182</v>
      </c>
      <c r="V51" t="s">
        <v>183</v>
      </c>
      <c r="W51" t="s">
        <v>71</v>
      </c>
      <c r="X51" t="s">
        <v>72</v>
      </c>
      <c r="Y51" t="s">
        <v>80</v>
      </c>
      <c r="Z51" t="s">
        <v>74</v>
      </c>
    </row>
    <row r="52" spans="2:26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P45</f>
        <v>0.56000000000000005</v>
      </c>
      <c r="H52" s="2">
        <f>O45</f>
        <v>1175.5066999999999</v>
      </c>
      <c r="I52" s="3">
        <f t="shared" si="8"/>
        <v>39.138495576499992</v>
      </c>
      <c r="J52">
        <f>$Q$45</f>
        <v>5.8775000000000004</v>
      </c>
      <c r="K52">
        <v>40</v>
      </c>
      <c r="N52" s="3"/>
      <c r="O52" s="4"/>
      <c r="T52" t="s">
        <v>69</v>
      </c>
      <c r="U52" t="s">
        <v>184</v>
      </c>
      <c r="V52" t="s">
        <v>185</v>
      </c>
      <c r="W52" t="s">
        <v>71</v>
      </c>
      <c r="X52" t="s">
        <v>72</v>
      </c>
      <c r="Y52" t="s">
        <v>80</v>
      </c>
      <c r="Z52" t="s">
        <v>74</v>
      </c>
    </row>
    <row r="53" spans="2:26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O48</f>
        <v>4516.7133000000003</v>
      </c>
      <c r="I53" s="3">
        <f>($N$48/100)*H53</f>
        <v>162.96753257730003</v>
      </c>
      <c r="J53">
        <f>$Q$48</f>
        <v>2.8138000000000001</v>
      </c>
      <c r="K53">
        <v>40</v>
      </c>
      <c r="T53" t="s">
        <v>69</v>
      </c>
      <c r="U53" t="s">
        <v>186</v>
      </c>
      <c r="V53" t="s">
        <v>188</v>
      </c>
      <c r="W53" t="s">
        <v>71</v>
      </c>
      <c r="X53" t="s">
        <v>72</v>
      </c>
      <c r="Y53" t="s">
        <v>80</v>
      </c>
      <c r="Z53" t="s">
        <v>74</v>
      </c>
    </row>
    <row r="54" spans="2:26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$O$48</f>
        <v>4516.7133000000003</v>
      </c>
      <c r="I54" s="3">
        <f t="shared" ref="I54:I58" si="9">($N$48/100)*H54</f>
        <v>162.96753257730003</v>
      </c>
      <c r="J54">
        <f t="shared" ref="J54:J58" si="10">$Q$48</f>
        <v>2.8138000000000001</v>
      </c>
      <c r="K54">
        <v>40</v>
      </c>
      <c r="T54" t="s">
        <v>69</v>
      </c>
      <c r="U54" t="s">
        <v>187</v>
      </c>
      <c r="V54" t="s">
        <v>189</v>
      </c>
      <c r="W54" t="s">
        <v>71</v>
      </c>
      <c r="X54" t="s">
        <v>72</v>
      </c>
      <c r="Y54" t="s">
        <v>80</v>
      </c>
      <c r="Z54" t="s">
        <v>74</v>
      </c>
    </row>
    <row r="55" spans="2:26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$O$48</f>
        <v>4516.7133000000003</v>
      </c>
      <c r="I55" s="3">
        <f t="shared" si="9"/>
        <v>162.96753257730003</v>
      </c>
      <c r="J55">
        <f t="shared" si="10"/>
        <v>2.8138000000000001</v>
      </c>
      <c r="K55">
        <v>40</v>
      </c>
      <c r="T55" t="s">
        <v>69</v>
      </c>
      <c r="U55" t="s">
        <v>190</v>
      </c>
      <c r="V55" t="s">
        <v>191</v>
      </c>
      <c r="W55" t="s">
        <v>71</v>
      </c>
      <c r="X55" t="s">
        <v>72</v>
      </c>
      <c r="Y55" t="s">
        <v>80</v>
      </c>
      <c r="Z55" t="s">
        <v>74</v>
      </c>
    </row>
    <row r="56" spans="2:26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O48</f>
        <v>4516.7133000000003</v>
      </c>
      <c r="I56" s="3">
        <f t="shared" si="9"/>
        <v>162.96753257730003</v>
      </c>
      <c r="J56">
        <f t="shared" si="10"/>
        <v>2.8138000000000001</v>
      </c>
      <c r="K56">
        <v>40</v>
      </c>
      <c r="T56" t="s">
        <v>69</v>
      </c>
      <c r="U56" t="s">
        <v>18</v>
      </c>
      <c r="V56" t="s">
        <v>78</v>
      </c>
      <c r="W56" t="s">
        <v>71</v>
      </c>
      <c r="X56" t="s">
        <v>72</v>
      </c>
      <c r="Y56" t="s">
        <v>73</v>
      </c>
      <c r="Z56" t="s">
        <v>77</v>
      </c>
    </row>
    <row r="57" spans="2:26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O48</f>
        <v>4516.7133000000003</v>
      </c>
      <c r="I57" s="3">
        <f t="shared" si="9"/>
        <v>162.96753257730003</v>
      </c>
      <c r="J57">
        <f t="shared" si="10"/>
        <v>2.8138000000000001</v>
      </c>
      <c r="K57">
        <v>40</v>
      </c>
    </row>
    <row r="58" spans="2:26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O48</f>
        <v>4516.7133000000003</v>
      </c>
      <c r="I58" s="3">
        <f t="shared" si="9"/>
        <v>162.96753257730003</v>
      </c>
      <c r="J58">
        <f t="shared" si="10"/>
        <v>2.8138000000000001</v>
      </c>
      <c r="K58">
        <v>40</v>
      </c>
    </row>
    <row r="70" spans="2:26" x14ac:dyDescent="0.25">
      <c r="U70" t="s">
        <v>207</v>
      </c>
    </row>
    <row r="71" spans="2:26" x14ac:dyDescent="0.25">
      <c r="T71" t="s">
        <v>69</v>
      </c>
      <c r="U71" t="s">
        <v>44</v>
      </c>
      <c r="V71" t="s">
        <v>78</v>
      </c>
      <c r="W71" t="s">
        <v>71</v>
      </c>
      <c r="X71" t="s">
        <v>72</v>
      </c>
      <c r="Y71" t="s">
        <v>80</v>
      </c>
      <c r="Z71" t="s">
        <v>74</v>
      </c>
    </row>
    <row r="72" spans="2:26" x14ac:dyDescent="0.25">
      <c r="T72" t="s">
        <v>69</v>
      </c>
      <c r="U72" t="s">
        <v>47</v>
      </c>
      <c r="V72" t="s">
        <v>78</v>
      </c>
      <c r="W72" t="s">
        <v>71</v>
      </c>
      <c r="X72" t="s">
        <v>72</v>
      </c>
      <c r="Y72" t="s">
        <v>80</v>
      </c>
      <c r="Z72" t="s">
        <v>74</v>
      </c>
    </row>
    <row r="73" spans="2:26" x14ac:dyDescent="0.25">
      <c r="T73" t="s">
        <v>69</v>
      </c>
      <c r="U73" t="s">
        <v>49</v>
      </c>
      <c r="V73" t="s">
        <v>78</v>
      </c>
      <c r="W73" t="s">
        <v>71</v>
      </c>
      <c r="X73" t="s">
        <v>72</v>
      </c>
      <c r="Y73" t="s">
        <v>80</v>
      </c>
      <c r="Z73" t="s">
        <v>74</v>
      </c>
    </row>
    <row r="74" spans="2:26" x14ac:dyDescent="0.25">
      <c r="T74" t="s">
        <v>69</v>
      </c>
      <c r="U74" t="s">
        <v>51</v>
      </c>
      <c r="V74" t="s">
        <v>78</v>
      </c>
      <c r="W74" t="s">
        <v>71</v>
      </c>
      <c r="X74" t="s">
        <v>72</v>
      </c>
      <c r="Y74" t="s">
        <v>80</v>
      </c>
      <c r="Z74" t="s">
        <v>74</v>
      </c>
    </row>
    <row r="75" spans="2:26" x14ac:dyDescent="0.25">
      <c r="T75" t="s">
        <v>69</v>
      </c>
      <c r="U75" t="s">
        <v>53</v>
      </c>
      <c r="V75" t="s">
        <v>78</v>
      </c>
      <c r="W75" t="s">
        <v>71</v>
      </c>
      <c r="X75" t="s">
        <v>72</v>
      </c>
      <c r="Y75" t="s">
        <v>80</v>
      </c>
      <c r="Z75" t="s">
        <v>74</v>
      </c>
    </row>
    <row r="76" spans="2:26" x14ac:dyDescent="0.25">
      <c r="T76" t="s">
        <v>69</v>
      </c>
      <c r="U76" t="s">
        <v>55</v>
      </c>
      <c r="V76" t="s">
        <v>78</v>
      </c>
      <c r="W76" t="s">
        <v>71</v>
      </c>
      <c r="X76" t="s">
        <v>72</v>
      </c>
      <c r="Y76" t="s">
        <v>80</v>
      </c>
      <c r="Z76" t="s">
        <v>74</v>
      </c>
    </row>
    <row r="77" spans="2:26" x14ac:dyDescent="0.25">
      <c r="T77" t="s">
        <v>69</v>
      </c>
      <c r="U77" t="s">
        <v>57</v>
      </c>
      <c r="V77" t="s">
        <v>78</v>
      </c>
      <c r="W77" t="s">
        <v>71</v>
      </c>
      <c r="X77" t="s">
        <v>72</v>
      </c>
      <c r="Y77" t="s">
        <v>80</v>
      </c>
      <c r="Z77" t="s">
        <v>74</v>
      </c>
    </row>
    <row r="78" spans="2:26" x14ac:dyDescent="0.25">
      <c r="B78" t="s">
        <v>18</v>
      </c>
      <c r="C78" t="s">
        <v>19</v>
      </c>
      <c r="D78" t="s">
        <v>14</v>
      </c>
      <c r="E78">
        <v>2022</v>
      </c>
      <c r="F78">
        <v>8.0000000000000002E-3</v>
      </c>
      <c r="G78">
        <v>0.33123000000000002</v>
      </c>
      <c r="T78" t="s">
        <v>69</v>
      </c>
      <c r="U78" t="s">
        <v>59</v>
      </c>
      <c r="V78" t="s">
        <v>78</v>
      </c>
      <c r="W78" t="s">
        <v>71</v>
      </c>
      <c r="X78" t="s">
        <v>72</v>
      </c>
      <c r="Y78" t="s">
        <v>80</v>
      </c>
      <c r="Z78" t="s">
        <v>74</v>
      </c>
    </row>
    <row r="79" spans="2:26" x14ac:dyDescent="0.25">
      <c r="T79" t="s">
        <v>69</v>
      </c>
      <c r="U79" t="s">
        <v>20</v>
      </c>
      <c r="V79" t="s">
        <v>79</v>
      </c>
      <c r="W79" t="s">
        <v>71</v>
      </c>
      <c r="X79" t="s">
        <v>72</v>
      </c>
      <c r="Y79" t="s">
        <v>73</v>
      </c>
      <c r="Z79" t="s">
        <v>77</v>
      </c>
    </row>
    <row r="80" spans="2:26" x14ac:dyDescent="0.25">
      <c r="T80" t="s">
        <v>69</v>
      </c>
      <c r="U80" t="s">
        <v>15</v>
      </c>
      <c r="V80" t="s">
        <v>75</v>
      </c>
      <c r="W80" t="s">
        <v>71</v>
      </c>
      <c r="X80" t="s">
        <v>72</v>
      </c>
      <c r="Y80" t="s">
        <v>73</v>
      </c>
      <c r="Z80" t="s">
        <v>74</v>
      </c>
    </row>
    <row r="82" spans="2:26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T82" t="s">
        <v>69</v>
      </c>
      <c r="U82" t="s">
        <v>12</v>
      </c>
      <c r="V82" t="s">
        <v>70</v>
      </c>
      <c r="W82" t="s">
        <v>71</v>
      </c>
      <c r="X82" t="s">
        <v>72</v>
      </c>
      <c r="Y82" t="s">
        <v>73</v>
      </c>
      <c r="Z82" t="s">
        <v>74</v>
      </c>
    </row>
    <row r="83" spans="2:26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</row>
    <row r="85" spans="2:26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</row>
    <row r="90" spans="2:26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P90" t="s">
        <v>208</v>
      </c>
    </row>
    <row r="91" spans="2:26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6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6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6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6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6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2026-03-09T11:45:21Z</dcterms:modified>
</cp:coreProperties>
</file>