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A4779B7E-54F6-412B-8F7C-2C70F335E36F}" xr6:coauthVersionLast="47" xr6:coauthVersionMax="47" xr10:uidLastSave="{00000000-0000-0000-0000-000000000000}"/>
  <bookViews>
    <workbookView xWindow="-120" yWindow="-120" windowWidth="29040" windowHeight="157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<sst xmlns="http://schemas.openxmlformats.org/spreadsheetml/2006/main" count="912" uniqueCount="222">
  <si>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</si>
  <si>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</si>
  <si>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</si>
  <si>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</si>
  <si>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</si>
  <si>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</si>
  <si>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</si>
  <si>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</si>
  <si>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</si>
  <si>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</si>
  <si>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</si>
  <si>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</si>
  <si>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</si>
  <si>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</si>
  <si>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</si>
  <si>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</si>
  <si>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</si>
  <si>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</si>
  <si>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</si>
  <si>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</si>
  <si>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</si>
  <si>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</si>
  <si>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</si>
  <si>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</si>
  <si>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</si>
  <si>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</si>
  <si>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</si>
  <si>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</si>
  <si>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</si>
  <si>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</si>
  <si>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</si>
  <si>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</si>
  <si>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</si>
  <si>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</si>
  <si>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</si>
  <si>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</si>
  <si>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</si>
  <si>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</si>
  <si>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</si>
  <si>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</si>
  <si>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</si>
  <si>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</si>
  <si>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</si>
  <si>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</si>
  <si>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</si>
  <si>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</si>
  <si>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</si>
  <si>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</si>
  <si>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</si>
  <si>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</si>
  <si>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</si>
  <si>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</si>
  <si>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</si>
  <si>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</si>
  <si>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</si>
  <si>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</si>
  <si>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</si>
  <si>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</si>
  <si>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</si>
  <si>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</si>
  <si>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</si>
  <si>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</si>
  <si>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</si>
  <si>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</si>
  <si>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</si>
  <si>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</si>
  <si>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</si>
  <si>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</si>
  <si>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</si>
  <si>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</si>
  <si>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</si>
  <si>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</si>
  <si>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</si>
  <si>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</si>
  <si>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</si>
  <si>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</si>
  <si>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</si>
  <si>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</si>
  <si>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</si>
  <si>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</si>
  <si>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</si>
  <si>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</si>
  <si>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</si>
  <si>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</si>
  <si>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</si>
  <si>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</si>
  <si>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</si>
  <si>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</si>
  <si>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</si>
  <si>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</si>
  <si>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</si>
  <si>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</si>
  <si>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</si>
  <si>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</si>
  <si>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</si>
  <si>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</si>
  <si>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</si>
  <si>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</si>
  <si>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</si>
  <si>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</si>
  <si>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</si>
  <si>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</si>
  <si>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</si>
  <si>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</si>
  <si>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</si>
  <si>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</si>
  <si>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</si>
  <si>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</si>
  <si>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</si>
  <si>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</si>
  <si>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</si>
  <si>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</si>
  <si>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</si>
  <si>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</si>
  <si>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</si>
  <si>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</si>
  <si>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</si>
  <si>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</si>
  <si>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</si>
  <si>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</si>
  <si>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</si>
  <si>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</si>
  <si>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</si>
  <si>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</si>
  <si>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</si>
  <si>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</si>
  <si>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</si>
  <si>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</si>
  <si>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</si>
  <si>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</si>
  <si>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</si>
  <si>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</si>
  <si>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</si>
  <si>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</si>
  <si>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</si>
  <si>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</si>
  <si>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</si>
  <si>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</si>
  <si>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</si>
  <si>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</si>
  <si>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</si>
  <si>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</si>
  <si>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</si>
  <si>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</si>
  <si>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</si>
  <si>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</si>
  <si>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</si>
  <si>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</si>
  <si>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</si>
  <si>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</si>
  <si>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</si>
  <si>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</si>
  <si>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</si>
  <si>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</si>
  <si>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</si>
  <si>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</si>
  <si>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</si>
  <si>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</si>
  <si>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</si>
  <si>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</si>
  <si>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</si>
  <si>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</si>
  <si>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</si>
  <si>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</si>
  <si>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</si>
  <si>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</si>
  <si>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</si>
  <si>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</si>
  <si>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</si>
  <si>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</si>
  <si>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</si>
  <si>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</si>
  <si>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</si>
  <si>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</si>
  <si>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</si>
  <si>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</si>
  <si>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</si>
  <si>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</si>
  <si>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</si>
  <si>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</si>
  <si>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</si>
  <si>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</si>
  <si>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</si>
  <si>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</si>
  <si>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</si>
  <si>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</si>
  <si>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</si>
  <si>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</si>
  <si>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</si>
  <si>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</si>
  <si>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</si>
  <si>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</si>
  <si>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</si>
  <si>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</si>
  <si>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</si>
  <si>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</si>
  <si>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</si>
  <si>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</si>
  <si>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</si>
  <si>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</si>
  <si>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</si>
  <si>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</si>
  <si>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</si>
  <si>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</si>
  <si>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</si>
  <si>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</si>
  <si>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</si>
  <si>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</si>
  <si>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</si>
  <si>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</si>
  <si>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</si>
  <si>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</si>
  <si>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</si>
  <si>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</si>
  <si>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</si>
  <si>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</si>
  <si>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</si>
  <si>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</si>
  <si>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</si>
  <si>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</si>
  <si>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</si>
  <si>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Aggregated Plant -- operatingg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</si>
</sst>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Q9" zoomScale="76" zoomScaleNormal="78" workbookViewId="0">
      <pane ySplit="2" topLeftCell="A32" activePane="bottomLeft" state="frozen"/>
      <selection activeCell="A9" sqref="A9"/>
      <selection pane="bottomLeft" activeCell="W57" sqref="W57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220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0.61136366214315596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219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216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217</v>
      </c>
      <c r="W26" t="s">
        <v>218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U27" t="s">
        <v>140</v>
      </c>
      <c r="V27" s="1" t="s">
        <v>141</v>
      </c>
    </row>
    <row r="28" spans="2:27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194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193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M30">
        <v>0.8</v>
      </c>
      <c r="U30" t="s">
        <v>69</v>
      </c>
      <c r="V30" t="s">
        <v>195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M31">
        <v>0.8</v>
      </c>
      <c r="U31" t="s">
        <v>69</v>
      </c>
      <c r="V31" t="s">
        <v>196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>$Q$44</f>
        <v>0.33</v>
      </c>
      <c r="H32" s="2">
        <v>4812.0244000000002</v>
      </c>
      <c r="I32" s="3">
        <f>(1.31/100)*H32</f>
        <v>63.037519640000006</v>
      </c>
      <c r="J32">
        <f>$R$44</f>
        <v>4.1005000000000003</v>
      </c>
      <c r="K32">
        <v>40</v>
      </c>
      <c r="M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M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>$Q$44</f>
        <v>0.33</v>
      </c>
      <c r="H34" s="2">
        <v>4812.0244000000002</v>
      </c>
      <c r="I34" s="3">
        <f>(1.31/100)*H34</f>
        <v>63.037519640000006</v>
      </c>
      <c r="J34">
        <f>$R$44</f>
        <v>4.1005000000000003</v>
      </c>
      <c r="K34">
        <v>73</v>
      </c>
      <c r="M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M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M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>$P$47</f>
        <v>2950.7891</v>
      </c>
      <c r="I37" s="3">
        <f t="shared" ref="I37:I39" si="0">(4.5269/100)*H37</f>
        <v>133.5792717679</v>
      </c>
      <c r="J37">
        <f>$R$47</f>
        <v>2.8138000000000001</v>
      </c>
      <c r="K37">
        <v>40</v>
      </c>
      <c r="M37">
        <v>0.8</v>
      </c>
      <c r="U37" t="s">
        <v>69</v>
      </c>
      <c r="V37" t="s">
        <v>197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>$P$47</f>
        <v>2950.7891</v>
      </c>
      <c r="I38" s="3">
        <f t="shared" si="0"/>
        <v>133.5792717679</v>
      </c>
      <c r="J38">
        <f>$R$47</f>
        <v>2.8138000000000001</v>
      </c>
      <c r="K38">
        <v>40</v>
      </c>
      <c r="M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>$P$47</f>
        <v>2950.7891</v>
      </c>
      <c r="I39" s="3">
        <f t="shared" si="0"/>
        <v>133.5792717679</v>
      </c>
      <c r="J39">
        <f>$R$47</f>
        <v>2.8138000000000001</v>
      </c>
      <c r="K39">
        <v>40</v>
      </c>
      <c r="M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M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M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>$P$48</f>
        <v>4516.7133000000003</v>
      </c>
      <c r="I42" s="3">
        <f t="shared" ref="I42:I44" si="1">($O$48/100)*H42</f>
        <v>162.96753257730003</v>
      </c>
      <c r="J42">
        <f>$R$48</f>
        <v>2.8138000000000001</v>
      </c>
      <c r="K42">
        <v>40</v>
      </c>
      <c r="M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>$P$48</f>
        <v>4516.7133000000003</v>
      </c>
      <c r="I43" s="3">
        <f t="shared" si="1"/>
        <v>162.96753257730003</v>
      </c>
      <c r="J43">
        <f>$R$48</f>
        <v>2.8138000000000001</v>
      </c>
      <c r="K43">
        <v>40</v>
      </c>
      <c r="M43">
        <v>0.8</v>
      </c>
      <c r="O43" t="s">
        <v>206</v>
      </c>
      <c r="P43" t="s">
        <v>213</v>
      </c>
      <c r="Q43" t="s">
        <v>214</v>
      </c>
      <c r="R43" t="s">
        <v>215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>$P$48</f>
        <v>4516.7133000000003</v>
      </c>
      <c r="I44" s="3">
        <f t="shared" si="1"/>
        <v>162.96753257730003</v>
      </c>
      <c r="J44">
        <f>$R$48</f>
        <v>2.8138000000000001</v>
      </c>
      <c r="K44">
        <v>72</v>
      </c>
      <c r="M44">
        <v>0.8</v>
      </c>
      <c r="N44" t="s">
        <v>192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M45">
        <v>0.8</v>
      </c>
      <c r="N45" t="s">
        <v>211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198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M46">
        <v>0.8</v>
      </c>
      <c r="N46" t="s">
        <v>212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M47">
        <v>0.8</v>
      </c>
      <c r="N47" t="s">
        <v>209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>$R$44</f>
        <v>4.1005000000000003</v>
      </c>
      <c r="K48">
        <v>40</v>
      </c>
      <c r="M48">
        <v>0.8</v>
      </c>
      <c r="N48" t="s">
        <v>210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M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M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2">($O$45/100)*H51</f>
        <v>39.138495576499992</v>
      </c>
      <c r="J51">
        <f>$R$45</f>
        <v>5.8775000000000004</v>
      </c>
      <c r="K51">
        <v>40</v>
      </c>
      <c r="M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2"/>
        <v>39.138495576499992</v>
      </c>
      <c r="J52">
        <f>$R$45</f>
        <v>5.8775000000000004</v>
      </c>
      <c r="K52">
        <v>40</v>
      </c>
      <c r="M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 t="shared" ref="J53:J58" si="3">$R$48</f>
        <v>2.8138000000000001</v>
      </c>
      <c r="K53">
        <v>40</v>
      </c>
      <c r="M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4">($O$48/100)*H54</f>
        <v>162.96753257730003</v>
      </c>
      <c r="J54">
        <f t="shared" si="3"/>
        <v>2.8138000000000001</v>
      </c>
      <c r="K54">
        <v>40</v>
      </c>
      <c r="M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4"/>
        <v>162.96753257730003</v>
      </c>
      <c r="J55">
        <f t="shared" si="3"/>
        <v>2.8138000000000001</v>
      </c>
      <c r="K55">
        <v>40</v>
      </c>
      <c r="M55">
        <v>0.8</v>
      </c>
      <c r="U55" t="s">
        <v>69</v>
      </c>
      <c r="V55" t="s">
        <v>190</v>
      </c>
      <c r="W55" t="s">
        <v>191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4"/>
        <v>162.96753257730003</v>
      </c>
      <c r="J56">
        <f t="shared" si="3"/>
        <v>2.8138000000000001</v>
      </c>
      <c r="K56">
        <v>40</v>
      </c>
      <c r="M56">
        <v>0.8</v>
      </c>
      <c r="U56" t="s">
        <v>69</v>
      </c>
      <c r="V56" t="s">
        <v>18</v>
      </c>
      <c r="W56" t="s">
        <v>221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4"/>
        <v>162.96753257730003</v>
      </c>
      <c r="J57">
        <f t="shared" si="3"/>
        <v>2.8138000000000001</v>
      </c>
      <c r="K57">
        <v>40</v>
      </c>
      <c r="M57">
        <v>0.8</v>
      </c>
    </row>
    <row r="58" spans="2:27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4"/>
        <v>162.96753257730003</v>
      </c>
      <c r="J58">
        <f t="shared" si="3"/>
        <v>2.8138000000000001</v>
      </c>
      <c r="K58">
        <v>40</v>
      </c>
      <c r="M58">
        <v>0.8</v>
      </c>
    </row>
    <row r="59" spans="2:27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M59">
        <v>0.8</v>
      </c>
    </row>
    <row r="75" spans="21:27" x14ac:dyDescent="0.25">
      <c r="V75" t="s">
        <v>207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208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2026-03-16T12:02:54Z</dcterms:modified>
</cp:coreProperties>
</file>