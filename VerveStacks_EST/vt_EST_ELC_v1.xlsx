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3E4DA6D-8148-4790-B043-8E86195F3364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<sst xmlns="http://schemas.openxmlformats.org/spreadsheetml/2006/main" count="912" uniqueCount="221">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</sst>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O43" dT="2026-03-05T12:22:32.07" personId="{9CD26280-DD25-46DF-A708-6877D8A68AD8}" id="{C9FF73F0-A53F-4E15-A8C5-00DAE5061F13}">
    <text xml:space="preserve">NCAP_FOM (currency/GW-yr)=100/1.31​×NCAP_COST (currency/GW)
</text>
  </threadedComment>
  <threadedComment ref="R47" dT="2026-03-05T12:58:31.38" personId="{9CD26280-DD25-46DF-A708-6877D8A68AD8}" id="{C2CA05C3-E9FD-442F-962C-5D4E7F1ADE70}">
    <text>Took same as chp</text>
  </threadedComment>
  <threadedComment ref="U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5"/>
  <sheetViews>
    <sheetView tabSelected="1" topLeftCell="A9" zoomScale="76" zoomScaleNormal="78" workbookViewId="0">
      <pane ySplit="2" topLeftCell="A11" activePane="bottomLeft" state="frozen"/>
      <selection activeCell="A9" sqref="A9"/>
      <selection pane="bottomLeft" activeCell="Q28" sqref="Q28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62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220</v>
      </c>
      <c r="U10" t="s">
        <v>63</v>
      </c>
      <c r="V10" t="s">
        <v>1</v>
      </c>
      <c r="W10" t="s">
        <v>64</v>
      </c>
      <c r="X10" t="s">
        <v>65</v>
      </c>
      <c r="Y10" t="s">
        <v>66</v>
      </c>
      <c r="Z10" t="s">
        <v>67</v>
      </c>
      <c r="AA10" t="s">
        <v>68</v>
      </c>
    </row>
    <row r="11" spans="2:27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U11" t="s">
        <v>69</v>
      </c>
      <c r="V11" t="s">
        <v>22</v>
      </c>
      <c r="W11" t="s">
        <v>78</v>
      </c>
      <c r="X11" t="s">
        <v>71</v>
      </c>
      <c r="Y11" t="s">
        <v>72</v>
      </c>
      <c r="Z11" t="s">
        <v>80</v>
      </c>
      <c r="AA11" t="s">
        <v>74</v>
      </c>
    </row>
    <row r="12" spans="2:27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U12" t="s">
        <v>69</v>
      </c>
      <c r="V12" t="s">
        <v>25</v>
      </c>
      <c r="W12" t="s">
        <v>78</v>
      </c>
      <c r="X12" t="s">
        <v>71</v>
      </c>
      <c r="Y12" t="s">
        <v>72</v>
      </c>
      <c r="Z12" t="s">
        <v>80</v>
      </c>
      <c r="AA12" t="s">
        <v>74</v>
      </c>
    </row>
    <row r="13" spans="2:27" x14ac:dyDescent="0.25">
      <c r="B13" t="s">
        <v>27</v>
      </c>
      <c r="C13" t="s">
        <v>23</v>
      </c>
      <c r="D13" t="s">
        <v>28</v>
      </c>
      <c r="E13">
        <v>2022</v>
      </c>
      <c r="F13">
        <v>0.61136366214315596</v>
      </c>
      <c r="G13">
        <v>0.33123000000000002</v>
      </c>
      <c r="L13">
        <v>0.14986856628506873</v>
      </c>
      <c r="U13" t="s">
        <v>69</v>
      </c>
      <c r="V13" t="s">
        <v>27</v>
      </c>
      <c r="W13" t="s">
        <v>78</v>
      </c>
      <c r="X13" t="s">
        <v>71</v>
      </c>
      <c r="Y13" t="s">
        <v>72</v>
      </c>
      <c r="Z13" t="s">
        <v>80</v>
      </c>
      <c r="AA13" t="s">
        <v>74</v>
      </c>
    </row>
    <row r="14" spans="2:27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U14" t="s">
        <v>69</v>
      </c>
      <c r="V14" t="s">
        <v>29</v>
      </c>
      <c r="W14" t="s">
        <v>78</v>
      </c>
      <c r="X14" t="s">
        <v>71</v>
      </c>
      <c r="Y14" t="s">
        <v>72</v>
      </c>
      <c r="Z14" t="s">
        <v>80</v>
      </c>
      <c r="AA14" t="s">
        <v>74</v>
      </c>
    </row>
    <row r="15" spans="2:27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U15" t="s">
        <v>69</v>
      </c>
      <c r="V15" t="s">
        <v>30</v>
      </c>
      <c r="W15" t="s">
        <v>78</v>
      </c>
      <c r="X15" t="s">
        <v>71</v>
      </c>
      <c r="Y15" t="s">
        <v>72</v>
      </c>
      <c r="Z15" t="s">
        <v>80</v>
      </c>
      <c r="AA15" t="s">
        <v>74</v>
      </c>
    </row>
    <row r="16" spans="2:27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U16" t="s">
        <v>69</v>
      </c>
      <c r="V16" t="s">
        <v>32</v>
      </c>
      <c r="W16" t="s">
        <v>78</v>
      </c>
      <c r="X16" t="s">
        <v>71</v>
      </c>
      <c r="Y16" t="s">
        <v>72</v>
      </c>
      <c r="Z16" t="s">
        <v>80</v>
      </c>
      <c r="AA16" t="s">
        <v>74</v>
      </c>
    </row>
    <row r="17" spans="2:27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U17" t="s">
        <v>69</v>
      </c>
      <c r="V17" t="s">
        <v>34</v>
      </c>
      <c r="W17" t="s">
        <v>78</v>
      </c>
      <c r="X17" t="s">
        <v>71</v>
      </c>
      <c r="Y17" t="s">
        <v>72</v>
      </c>
      <c r="Z17" t="s">
        <v>80</v>
      </c>
      <c r="AA17" t="s">
        <v>74</v>
      </c>
    </row>
    <row r="18" spans="2:27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U18" t="s">
        <v>69</v>
      </c>
      <c r="V18" t="s">
        <v>35</v>
      </c>
      <c r="W18" t="s">
        <v>78</v>
      </c>
      <c r="X18" t="s">
        <v>71</v>
      </c>
      <c r="Y18" t="s">
        <v>72</v>
      </c>
      <c r="Z18" t="s">
        <v>80</v>
      </c>
      <c r="AA18" t="s">
        <v>74</v>
      </c>
    </row>
    <row r="19" spans="2:27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U19" t="s">
        <v>69</v>
      </c>
      <c r="V19" t="s">
        <v>37</v>
      </c>
      <c r="W19" t="s">
        <v>78</v>
      </c>
      <c r="X19" t="s">
        <v>71</v>
      </c>
      <c r="Y19" t="s">
        <v>72</v>
      </c>
      <c r="Z19" t="s">
        <v>80</v>
      </c>
      <c r="AA19" t="s">
        <v>74</v>
      </c>
    </row>
    <row r="20" spans="2:27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U20" t="s">
        <v>69</v>
      </c>
      <c r="V20" t="s">
        <v>39</v>
      </c>
      <c r="W20" t="s">
        <v>78</v>
      </c>
      <c r="X20" t="s">
        <v>71</v>
      </c>
      <c r="Y20" t="s">
        <v>72</v>
      </c>
      <c r="Z20" t="s">
        <v>80</v>
      </c>
      <c r="AA20" t="s">
        <v>74</v>
      </c>
    </row>
    <row r="21" spans="2:27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U21" t="s">
        <v>69</v>
      </c>
      <c r="V21" t="s">
        <v>40</v>
      </c>
      <c r="W21" t="s">
        <v>78</v>
      </c>
      <c r="X21" t="s">
        <v>71</v>
      </c>
      <c r="Y21" t="s">
        <v>72</v>
      </c>
      <c r="Z21" t="s">
        <v>80</v>
      </c>
      <c r="AA21" t="s">
        <v>74</v>
      </c>
    </row>
    <row r="22" spans="2:27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U22" t="s">
        <v>69</v>
      </c>
      <c r="V22" t="s">
        <v>42</v>
      </c>
      <c r="W22" t="s">
        <v>78</v>
      </c>
      <c r="X22" t="s">
        <v>71</v>
      </c>
      <c r="Y22" t="s">
        <v>72</v>
      </c>
      <c r="Z22" t="s">
        <v>80</v>
      </c>
      <c r="AA22" t="s">
        <v>74</v>
      </c>
    </row>
    <row r="23" spans="2:27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U23" t="s">
        <v>69</v>
      </c>
      <c r="V23" t="s">
        <v>219</v>
      </c>
      <c r="W23" t="s">
        <v>76</v>
      </c>
      <c r="X23" t="s">
        <v>71</v>
      </c>
      <c r="Y23" t="s">
        <v>72</v>
      </c>
      <c r="Z23" t="s">
        <v>73</v>
      </c>
      <c r="AA23" t="s">
        <v>74</v>
      </c>
    </row>
    <row r="24" spans="2:27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U24" t="s">
        <v>69</v>
      </c>
      <c r="V24" t="s">
        <v>61</v>
      </c>
      <c r="W24" t="s">
        <v>81</v>
      </c>
      <c r="X24" t="s">
        <v>71</v>
      </c>
      <c r="Y24" t="s">
        <v>72</v>
      </c>
      <c r="Z24" t="s">
        <v>80</v>
      </c>
      <c r="AA24" t="s">
        <v>74</v>
      </c>
    </row>
    <row r="25" spans="2:27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U25" t="s">
        <v>69</v>
      </c>
      <c r="V25" t="s">
        <v>216</v>
      </c>
      <c r="W25" t="s">
        <v>81</v>
      </c>
      <c r="X25" t="s">
        <v>71</v>
      </c>
      <c r="Y25" t="s">
        <v>72</v>
      </c>
      <c r="Z25" t="s">
        <v>80</v>
      </c>
      <c r="AA25" t="s">
        <v>74</v>
      </c>
    </row>
    <row r="26" spans="2:27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U26" t="s">
        <v>69</v>
      </c>
      <c r="V26" t="s">
        <v>217</v>
      </c>
      <c r="W26" t="s">
        <v>218</v>
      </c>
      <c r="X26" t="s">
        <v>71</v>
      </c>
      <c r="Y26" t="s">
        <v>72</v>
      </c>
      <c r="Z26" t="s">
        <v>80</v>
      </c>
      <c r="AA26" t="s">
        <v>77</v>
      </c>
    </row>
    <row r="27" spans="2:27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U27" t="s">
        <v>140</v>
      </c>
      <c r="V27" s="1" t="s">
        <v>141</v>
      </c>
    </row>
    <row r="28" spans="2:27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U28" t="s">
        <v>69</v>
      </c>
      <c r="V28" t="s">
        <v>194</v>
      </c>
      <c r="W28" t="s">
        <v>163</v>
      </c>
      <c r="X28" t="s">
        <v>71</v>
      </c>
      <c r="Y28" t="s">
        <v>72</v>
      </c>
      <c r="Z28" t="s">
        <v>80</v>
      </c>
      <c r="AA28" t="s">
        <v>74</v>
      </c>
    </row>
    <row r="29" spans="2:27" x14ac:dyDescent="0.25">
      <c r="B29" t="s">
        <v>140</v>
      </c>
      <c r="C29" s="1" t="s">
        <v>141</v>
      </c>
      <c r="U29" t="s">
        <v>69</v>
      </c>
      <c r="V29" t="s">
        <v>193</v>
      </c>
      <c r="W29" t="s">
        <v>148</v>
      </c>
      <c r="X29" t="s">
        <v>71</v>
      </c>
      <c r="Y29" t="s">
        <v>72</v>
      </c>
      <c r="Z29" t="s">
        <v>80</v>
      </c>
      <c r="AA29" t="s">
        <v>74</v>
      </c>
    </row>
    <row r="30" spans="2:27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Q45</f>
        <v>0.56000000000000005</v>
      </c>
      <c r="H30" s="2">
        <v>1175.5066999999999</v>
      </c>
      <c r="I30" s="3">
        <f>(O45/100)*H31</f>
        <v>160.216352398</v>
      </c>
      <c r="J30">
        <f>R45</f>
        <v>5.8775000000000004</v>
      </c>
      <c r="K30">
        <v>53</v>
      </c>
      <c r="M30">
        <v>0.8</v>
      </c>
      <c r="U30" t="s">
        <v>69</v>
      </c>
      <c r="V30" t="s">
        <v>195</v>
      </c>
      <c r="W30" t="s">
        <v>149</v>
      </c>
      <c r="X30" t="s">
        <v>71</v>
      </c>
      <c r="Y30" t="s">
        <v>72</v>
      </c>
      <c r="Z30" t="s">
        <v>80</v>
      </c>
      <c r="AA30" t="s">
        <v>74</v>
      </c>
    </row>
    <row r="31" spans="2:27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$Q$44</f>
        <v>0.33</v>
      </c>
      <c r="H31" s="2">
        <v>4812.0244000000002</v>
      </c>
      <c r="I31" s="3">
        <f>(1.31/100)*H31</f>
        <v>63.037519640000006</v>
      </c>
      <c r="J31">
        <f>$R$44</f>
        <v>4.1005000000000003</v>
      </c>
      <c r="K31">
        <v>70</v>
      </c>
      <c r="M31">
        <v>0.8</v>
      </c>
      <c r="U31" t="s">
        <v>69</v>
      </c>
      <c r="V31" t="s">
        <v>196</v>
      </c>
      <c r="W31" t="s">
        <v>150</v>
      </c>
      <c r="X31" t="s">
        <v>71</v>
      </c>
      <c r="Y31" t="s">
        <v>72</v>
      </c>
      <c r="Z31" t="s">
        <v>80</v>
      </c>
      <c r="AA31" t="s">
        <v>74</v>
      </c>
    </row>
    <row r="32" spans="2:27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>$Q$44</f>
        <v>0.33</v>
      </c>
      <c r="H32" s="2">
        <v>4812.0244000000002</v>
      </c>
      <c r="I32" s="3">
        <f>(1.31/100)*H32</f>
        <v>63.037519640000006</v>
      </c>
      <c r="J32">
        <f>$R$44</f>
        <v>4.1005000000000003</v>
      </c>
      <c r="K32">
        <v>40</v>
      </c>
      <c r="M32">
        <v>0.7</v>
      </c>
      <c r="U32" t="s">
        <v>69</v>
      </c>
      <c r="V32" t="s">
        <v>142</v>
      </c>
      <c r="W32" t="s">
        <v>161</v>
      </c>
      <c r="X32" t="s">
        <v>71</v>
      </c>
      <c r="Y32" t="s">
        <v>72</v>
      </c>
      <c r="Z32" t="s">
        <v>80</v>
      </c>
      <c r="AA32" t="s">
        <v>74</v>
      </c>
    </row>
    <row r="33" spans="2:27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$R$44</f>
        <v>4.1005000000000003</v>
      </c>
      <c r="K33">
        <v>40</v>
      </c>
      <c r="M33">
        <v>0.8</v>
      </c>
      <c r="U33" t="s">
        <v>69</v>
      </c>
      <c r="V33" t="s">
        <v>143</v>
      </c>
      <c r="W33" t="s">
        <v>151</v>
      </c>
      <c r="X33" t="s">
        <v>71</v>
      </c>
      <c r="Y33" t="s">
        <v>72</v>
      </c>
      <c r="Z33" t="s">
        <v>80</v>
      </c>
      <c r="AA33" t="s">
        <v>74</v>
      </c>
    </row>
    <row r="34" spans="2:27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>$Q$44</f>
        <v>0.33</v>
      </c>
      <c r="H34" s="2">
        <v>4812.0244000000002</v>
      </c>
      <c r="I34" s="3">
        <f>(1.31/100)*H34</f>
        <v>63.037519640000006</v>
      </c>
      <c r="J34">
        <f>$R$44</f>
        <v>4.1005000000000003</v>
      </c>
      <c r="K34">
        <v>73</v>
      </c>
      <c r="M34">
        <v>0.8</v>
      </c>
      <c r="U34" t="s">
        <v>69</v>
      </c>
      <c r="V34" t="s">
        <v>144</v>
      </c>
      <c r="W34" t="s">
        <v>152</v>
      </c>
      <c r="X34" t="s">
        <v>71</v>
      </c>
      <c r="Y34" t="s">
        <v>72</v>
      </c>
      <c r="Z34" t="s">
        <v>80</v>
      </c>
      <c r="AA34" t="s">
        <v>74</v>
      </c>
    </row>
    <row r="35" spans="2:27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Q45</f>
        <v>0.56000000000000005</v>
      </c>
      <c r="H35" s="2">
        <f>P45</f>
        <v>1175.5066999999999</v>
      </c>
      <c r="I35" s="3">
        <f>(O45/100)*H35</f>
        <v>39.138495576499992</v>
      </c>
      <c r="J35">
        <f>$R$45</f>
        <v>5.8775000000000004</v>
      </c>
      <c r="K35">
        <v>40</v>
      </c>
      <c r="M35">
        <v>0.8</v>
      </c>
      <c r="U35" t="s">
        <v>69</v>
      </c>
      <c r="V35" t="s">
        <v>145</v>
      </c>
      <c r="W35" t="s">
        <v>153</v>
      </c>
      <c r="X35" t="s">
        <v>71</v>
      </c>
      <c r="Y35" t="s">
        <v>72</v>
      </c>
      <c r="Z35" t="s">
        <v>80</v>
      </c>
      <c r="AA35" t="s">
        <v>74</v>
      </c>
    </row>
    <row r="36" spans="2:27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Q47</f>
        <v>0.46800000000000003</v>
      </c>
      <c r="H36" s="2">
        <f>$P$47</f>
        <v>2950.7891</v>
      </c>
      <c r="I36" s="3">
        <f>(4.5269/100)*H36</f>
        <v>133.5792717679</v>
      </c>
      <c r="J36">
        <f>$R$47</f>
        <v>2.8138000000000001</v>
      </c>
      <c r="K36">
        <v>40</v>
      </c>
      <c r="M36">
        <v>0.8</v>
      </c>
      <c r="U36" t="s">
        <v>69</v>
      </c>
      <c r="V36" t="s">
        <v>146</v>
      </c>
      <c r="W36" t="s">
        <v>147</v>
      </c>
      <c r="X36" t="s">
        <v>71</v>
      </c>
      <c r="Y36" t="s">
        <v>72</v>
      </c>
      <c r="Z36" t="s">
        <v>80</v>
      </c>
      <c r="AA36" t="s">
        <v>74</v>
      </c>
    </row>
    <row r="37" spans="2:27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>$P$47</f>
        <v>2950.7891</v>
      </c>
      <c r="I37" s="3">
        <f t="shared" ref="I37:I39" si="0">(4.5269/100)*H37</f>
        <v>133.5792717679</v>
      </c>
      <c r="J37">
        <f>$R$47</f>
        <v>2.8138000000000001</v>
      </c>
      <c r="K37">
        <v>40</v>
      </c>
      <c r="M37">
        <v>0.8</v>
      </c>
      <c r="U37" t="s">
        <v>69</v>
      </c>
      <c r="V37" t="s">
        <v>197</v>
      </c>
      <c r="W37" t="s">
        <v>162</v>
      </c>
      <c r="X37" t="s">
        <v>71</v>
      </c>
      <c r="Y37" t="s">
        <v>72</v>
      </c>
      <c r="Z37" t="s">
        <v>80</v>
      </c>
      <c r="AA37" t="s">
        <v>74</v>
      </c>
    </row>
    <row r="38" spans="2:27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>$P$47</f>
        <v>2950.7891</v>
      </c>
      <c r="I38" s="3">
        <f t="shared" si="0"/>
        <v>133.5792717679</v>
      </c>
      <c r="J38">
        <f>$R$47</f>
        <v>2.8138000000000001</v>
      </c>
      <c r="K38">
        <v>40</v>
      </c>
      <c r="M38">
        <v>0.8</v>
      </c>
      <c r="U38" t="s">
        <v>69</v>
      </c>
      <c r="V38" t="s">
        <v>154</v>
      </c>
      <c r="W38" t="s">
        <v>155</v>
      </c>
      <c r="X38" t="s">
        <v>71</v>
      </c>
      <c r="Y38" t="s">
        <v>72</v>
      </c>
      <c r="Z38" t="s">
        <v>80</v>
      </c>
      <c r="AA38" t="s">
        <v>74</v>
      </c>
    </row>
    <row r="39" spans="2:27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>$P$47</f>
        <v>2950.7891</v>
      </c>
      <c r="I39" s="3">
        <f t="shared" si="0"/>
        <v>133.5792717679</v>
      </c>
      <c r="J39">
        <f>$R$47</f>
        <v>2.8138000000000001</v>
      </c>
      <c r="K39">
        <v>40</v>
      </c>
      <c r="M39">
        <v>0.8</v>
      </c>
      <c r="U39" t="s">
        <v>69</v>
      </c>
      <c r="V39" t="s">
        <v>156</v>
      </c>
      <c r="W39" t="s">
        <v>157</v>
      </c>
      <c r="X39" t="s">
        <v>71</v>
      </c>
      <c r="Y39" t="s">
        <v>72</v>
      </c>
      <c r="Z39" t="s">
        <v>80</v>
      </c>
      <c r="AA39" t="s">
        <v>74</v>
      </c>
    </row>
    <row r="40" spans="2:27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Q44</f>
        <v>0.33</v>
      </c>
      <c r="H40" s="2">
        <f>P44</f>
        <v>4812.0244000000002</v>
      </c>
      <c r="I40" s="3">
        <f>($O$44/100)*H40</f>
        <v>63.037519640000006</v>
      </c>
      <c r="J40">
        <f>$R$44</f>
        <v>4.1005000000000003</v>
      </c>
      <c r="K40">
        <v>40</v>
      </c>
      <c r="M40">
        <v>0.8</v>
      </c>
      <c r="U40" t="s">
        <v>69</v>
      </c>
      <c r="V40" t="s">
        <v>170</v>
      </c>
      <c r="W40" t="s">
        <v>171</v>
      </c>
      <c r="X40" t="s">
        <v>71</v>
      </c>
      <c r="Y40" t="s">
        <v>72</v>
      </c>
      <c r="Z40" t="s">
        <v>80</v>
      </c>
      <c r="AA40" t="s">
        <v>74</v>
      </c>
    </row>
    <row r="41" spans="2:27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$P$48</f>
        <v>4516.7133000000003</v>
      </c>
      <c r="I41" s="3">
        <f>($O$48/100)*H41</f>
        <v>162.96753257730003</v>
      </c>
      <c r="J41">
        <f>$R$48</f>
        <v>2.8138000000000001</v>
      </c>
      <c r="K41">
        <v>40</v>
      </c>
      <c r="M41">
        <v>0.8</v>
      </c>
      <c r="U41" t="s">
        <v>69</v>
      </c>
      <c r="V41" t="s">
        <v>158</v>
      </c>
      <c r="W41" t="s">
        <v>159</v>
      </c>
      <c r="X41" t="s">
        <v>71</v>
      </c>
      <c r="Y41" t="s">
        <v>72</v>
      </c>
      <c r="Z41" t="s">
        <v>80</v>
      </c>
      <c r="AA41" t="s">
        <v>74</v>
      </c>
    </row>
    <row r="42" spans="2:27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>$P$48</f>
        <v>4516.7133000000003</v>
      </c>
      <c r="I42" s="3">
        <f t="shared" ref="I42:I44" si="1">($O$48/100)*H42</f>
        <v>162.96753257730003</v>
      </c>
      <c r="J42">
        <f>$R$48</f>
        <v>2.8138000000000001</v>
      </c>
      <c r="K42">
        <v>40</v>
      </c>
      <c r="M42">
        <v>0.8</v>
      </c>
      <c r="U42" t="s">
        <v>69</v>
      </c>
      <c r="V42" t="s">
        <v>169</v>
      </c>
      <c r="W42" t="s">
        <v>160</v>
      </c>
      <c r="X42" t="s">
        <v>71</v>
      </c>
      <c r="Y42" t="s">
        <v>72</v>
      </c>
      <c r="Z42" t="s">
        <v>80</v>
      </c>
      <c r="AA42" t="s">
        <v>74</v>
      </c>
    </row>
    <row r="43" spans="2:27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>$P$48</f>
        <v>4516.7133000000003</v>
      </c>
      <c r="I43" s="3">
        <f t="shared" si="1"/>
        <v>162.96753257730003</v>
      </c>
      <c r="J43">
        <f>$R$48</f>
        <v>2.8138000000000001</v>
      </c>
      <c r="K43">
        <v>40</v>
      </c>
      <c r="M43">
        <v>0.8</v>
      </c>
      <c r="O43" t="s">
        <v>206</v>
      </c>
      <c r="P43" t="s">
        <v>213</v>
      </c>
      <c r="Q43" t="s">
        <v>214</v>
      </c>
      <c r="R43" t="s">
        <v>215</v>
      </c>
      <c r="U43" t="s">
        <v>69</v>
      </c>
      <c r="V43" t="s">
        <v>164</v>
      </c>
      <c r="W43" t="s">
        <v>165</v>
      </c>
      <c r="X43" t="s">
        <v>71</v>
      </c>
      <c r="Y43" t="s">
        <v>72</v>
      </c>
      <c r="Z43" t="s">
        <v>80</v>
      </c>
      <c r="AA43" t="s">
        <v>74</v>
      </c>
    </row>
    <row r="44" spans="2:27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>$P$48</f>
        <v>4516.7133000000003</v>
      </c>
      <c r="I44" s="3">
        <f t="shared" si="1"/>
        <v>162.96753257730003</v>
      </c>
      <c r="J44">
        <f>$R$48</f>
        <v>2.8138000000000001</v>
      </c>
      <c r="K44">
        <v>72</v>
      </c>
      <c r="M44">
        <v>0.8</v>
      </c>
      <c r="N44" t="s">
        <v>192</v>
      </c>
      <c r="O44" s="4">
        <v>1.31</v>
      </c>
      <c r="P44" s="2">
        <v>4812.0244000000002</v>
      </c>
      <c r="Q44">
        <v>0.33</v>
      </c>
      <c r="R44">
        <v>4.1005000000000003</v>
      </c>
      <c r="U44" t="s">
        <v>69</v>
      </c>
      <c r="V44" t="s">
        <v>168</v>
      </c>
      <c r="W44" t="s">
        <v>166</v>
      </c>
      <c r="X44" t="s">
        <v>71</v>
      </c>
      <c r="Y44" t="s">
        <v>72</v>
      </c>
      <c r="Z44" t="s">
        <v>80</v>
      </c>
      <c r="AA44" t="s">
        <v>74</v>
      </c>
    </row>
    <row r="45" spans="2:27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Q45</f>
        <v>0.56000000000000005</v>
      </c>
      <c r="H45" s="2">
        <f>P45</f>
        <v>1175.5066999999999</v>
      </c>
      <c r="I45" s="3">
        <f>($O$45/100)*H45</f>
        <v>39.138495576499992</v>
      </c>
      <c r="J45">
        <f>$R$45</f>
        <v>5.8775000000000004</v>
      </c>
      <c r="K45">
        <v>40</v>
      </c>
      <c r="M45">
        <v>0.8</v>
      </c>
      <c r="N45" t="s">
        <v>211</v>
      </c>
      <c r="O45" s="4">
        <v>3.3294999999999999</v>
      </c>
      <c r="P45" s="2">
        <v>1175.5066999999999</v>
      </c>
      <c r="Q45">
        <v>0.56000000000000005</v>
      </c>
      <c r="R45">
        <v>5.8775000000000004</v>
      </c>
      <c r="U45" t="s">
        <v>69</v>
      </c>
      <c r="V45" t="s">
        <v>198</v>
      </c>
      <c r="W45" t="s">
        <v>167</v>
      </c>
      <c r="X45" t="s">
        <v>71</v>
      </c>
      <c r="Y45" t="s">
        <v>72</v>
      </c>
      <c r="Z45" t="s">
        <v>80</v>
      </c>
      <c r="AA45" t="s">
        <v>74</v>
      </c>
    </row>
    <row r="46" spans="2:27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P48</f>
        <v>4516.7133000000003</v>
      </c>
      <c r="I46" s="3">
        <f>($O$48/100)*H46</f>
        <v>162.96753257730003</v>
      </c>
      <c r="J46">
        <f>$R$48</f>
        <v>2.8138000000000001</v>
      </c>
      <c r="K46">
        <v>40</v>
      </c>
      <c r="M46">
        <v>0.8</v>
      </c>
      <c r="N46" t="s">
        <v>212</v>
      </c>
      <c r="O46" s="4"/>
      <c r="P46" s="2"/>
      <c r="U46" t="s">
        <v>69</v>
      </c>
      <c r="V46" t="s">
        <v>172</v>
      </c>
      <c r="W46" t="s">
        <v>173</v>
      </c>
      <c r="X46" t="s">
        <v>71</v>
      </c>
      <c r="Y46" t="s">
        <v>72</v>
      </c>
      <c r="Z46" t="s">
        <v>80</v>
      </c>
      <c r="AA46" t="s">
        <v>74</v>
      </c>
    </row>
    <row r="47" spans="2:27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Q45</f>
        <v>0.56000000000000005</v>
      </c>
      <c r="H47" s="2">
        <f>P45</f>
        <v>1175.5066999999999</v>
      </c>
      <c r="I47" s="3">
        <f>($O$45/100)*H47</f>
        <v>39.138495576499992</v>
      </c>
      <c r="J47">
        <f>$R$45</f>
        <v>5.8775000000000004</v>
      </c>
      <c r="K47">
        <v>40</v>
      </c>
      <c r="M47">
        <v>0.8</v>
      </c>
      <c r="N47" t="s">
        <v>209</v>
      </c>
      <c r="O47">
        <v>4.5269000000000004</v>
      </c>
      <c r="P47" s="2">
        <v>2950.7891</v>
      </c>
      <c r="Q47">
        <v>0.46800000000000003</v>
      </c>
      <c r="R47">
        <v>2.8138000000000001</v>
      </c>
      <c r="U47" t="s">
        <v>69</v>
      </c>
      <c r="V47" t="s">
        <v>174</v>
      </c>
      <c r="W47" t="s">
        <v>175</v>
      </c>
      <c r="X47" t="s">
        <v>71</v>
      </c>
      <c r="Y47" t="s">
        <v>72</v>
      </c>
      <c r="Z47" t="s">
        <v>80</v>
      </c>
      <c r="AA47" t="s">
        <v>74</v>
      </c>
    </row>
    <row r="48" spans="2:27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Q44</f>
        <v>0.33</v>
      </c>
      <c r="H48" s="2">
        <f>P44</f>
        <v>4812.0244000000002</v>
      </c>
      <c r="I48" s="3">
        <f>($O$48/100)*H48</f>
        <v>173.62265237640003</v>
      </c>
      <c r="J48">
        <f>$R$44</f>
        <v>4.1005000000000003</v>
      </c>
      <c r="K48">
        <v>40</v>
      </c>
      <c r="M48">
        <v>0.8</v>
      </c>
      <c r="N48" t="s">
        <v>210</v>
      </c>
      <c r="O48">
        <v>3.6080999999999999</v>
      </c>
      <c r="P48" s="2">
        <v>4516.7133000000003</v>
      </c>
      <c r="Q48">
        <v>0.2994</v>
      </c>
      <c r="R48">
        <v>2.8138000000000001</v>
      </c>
      <c r="U48" t="s">
        <v>69</v>
      </c>
      <c r="V48" t="s">
        <v>176</v>
      </c>
      <c r="W48" t="s">
        <v>177</v>
      </c>
      <c r="X48" t="s">
        <v>71</v>
      </c>
      <c r="Y48" t="s">
        <v>72</v>
      </c>
      <c r="Z48" t="s">
        <v>80</v>
      </c>
      <c r="AA48" t="s">
        <v>74</v>
      </c>
    </row>
    <row r="49" spans="2:27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P48</f>
        <v>4516.7133000000003</v>
      </c>
      <c r="I49" s="3">
        <f>($O$48/100)*H49</f>
        <v>162.96753257730003</v>
      </c>
      <c r="J49">
        <f>$R$48</f>
        <v>2.8138000000000001</v>
      </c>
      <c r="K49">
        <v>40</v>
      </c>
      <c r="M49">
        <v>0.8</v>
      </c>
      <c r="O49" s="3"/>
      <c r="P49" s="4"/>
      <c r="U49" t="s">
        <v>69</v>
      </c>
      <c r="V49" t="s">
        <v>178</v>
      </c>
      <c r="W49" t="s">
        <v>179</v>
      </c>
      <c r="X49" t="s">
        <v>71</v>
      </c>
      <c r="Y49" t="s">
        <v>72</v>
      </c>
      <c r="Z49" t="s">
        <v>80</v>
      </c>
      <c r="AA49" t="s">
        <v>74</v>
      </c>
    </row>
    <row r="50" spans="2:27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P48</f>
        <v>4516.7133000000003</v>
      </c>
      <c r="I50" s="3">
        <f>($O$48/100)*H50</f>
        <v>162.96753257730003</v>
      </c>
      <c r="J50">
        <f>$R$48</f>
        <v>2.8138000000000001</v>
      </c>
      <c r="K50">
        <v>40</v>
      </c>
      <c r="M50">
        <v>0.8</v>
      </c>
      <c r="O50" s="3"/>
      <c r="P50" s="4"/>
      <c r="U50" t="s">
        <v>69</v>
      </c>
      <c r="V50" t="s">
        <v>180</v>
      </c>
      <c r="W50" t="s">
        <v>181</v>
      </c>
      <c r="X50" t="s">
        <v>71</v>
      </c>
      <c r="Y50" t="s">
        <v>72</v>
      </c>
      <c r="Z50" t="s">
        <v>80</v>
      </c>
      <c r="AA50" t="s">
        <v>74</v>
      </c>
    </row>
    <row r="51" spans="2:27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Q45</f>
        <v>0.56000000000000005</v>
      </c>
      <c r="H51" s="2">
        <f>P45</f>
        <v>1175.5066999999999</v>
      </c>
      <c r="I51" s="3">
        <f t="shared" ref="I51:I52" si="2">($O$45/100)*H51</f>
        <v>39.138495576499992</v>
      </c>
      <c r="J51">
        <f>$R$45</f>
        <v>5.8775000000000004</v>
      </c>
      <c r="K51">
        <v>40</v>
      </c>
      <c r="M51">
        <v>0.8</v>
      </c>
      <c r="O51" s="3"/>
      <c r="P51" s="4"/>
      <c r="U51" t="s">
        <v>69</v>
      </c>
      <c r="V51" t="s">
        <v>182</v>
      </c>
      <c r="W51" t="s">
        <v>183</v>
      </c>
      <c r="X51" t="s">
        <v>71</v>
      </c>
      <c r="Y51" t="s">
        <v>72</v>
      </c>
      <c r="Z51" t="s">
        <v>80</v>
      </c>
      <c r="AA51" t="s">
        <v>74</v>
      </c>
    </row>
    <row r="52" spans="2:27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Q45</f>
        <v>0.56000000000000005</v>
      </c>
      <c r="H52" s="2">
        <f>P45</f>
        <v>1175.5066999999999</v>
      </c>
      <c r="I52" s="3">
        <f t="shared" si="2"/>
        <v>39.138495576499992</v>
      </c>
      <c r="J52">
        <f>$R$45</f>
        <v>5.8775000000000004</v>
      </c>
      <c r="K52">
        <v>40</v>
      </c>
      <c r="M52">
        <v>0.8</v>
      </c>
      <c r="O52" s="3"/>
      <c r="P52" s="4"/>
      <c r="U52" t="s">
        <v>69</v>
      </c>
      <c r="V52" t="s">
        <v>184</v>
      </c>
      <c r="W52" t="s">
        <v>185</v>
      </c>
      <c r="X52" t="s">
        <v>71</v>
      </c>
      <c r="Y52" t="s">
        <v>72</v>
      </c>
      <c r="Z52" t="s">
        <v>80</v>
      </c>
      <c r="AA52" t="s">
        <v>74</v>
      </c>
    </row>
    <row r="53" spans="2:27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P48</f>
        <v>4516.7133000000003</v>
      </c>
      <c r="I53" s="3">
        <f>($O$48/100)*H53</f>
        <v>162.96753257730003</v>
      </c>
      <c r="J53">
        <f>$R$48</f>
        <v>2.8138000000000001</v>
      </c>
      <c r="K53">
        <v>40</v>
      </c>
      <c r="M53">
        <v>0.8</v>
      </c>
      <c r="U53" t="s">
        <v>69</v>
      </c>
      <c r="V53" t="s">
        <v>186</v>
      </c>
      <c r="W53" t="s">
        <v>188</v>
      </c>
      <c r="X53" t="s">
        <v>71</v>
      </c>
      <c r="Y53" t="s">
        <v>72</v>
      </c>
      <c r="Z53" t="s">
        <v>80</v>
      </c>
      <c r="AA53" t="s">
        <v>74</v>
      </c>
    </row>
    <row r="54" spans="2:27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$P$48</f>
        <v>4516.7133000000003</v>
      </c>
      <c r="I54" s="3">
        <f t="shared" ref="I54:I58" si="3">($O$48/100)*H54</f>
        <v>162.96753257730003</v>
      </c>
      <c r="J54">
        <f>$R$48</f>
        <v>2.8138000000000001</v>
      </c>
      <c r="K54">
        <v>40</v>
      </c>
      <c r="M54">
        <v>0.8</v>
      </c>
      <c r="U54" t="s">
        <v>69</v>
      </c>
      <c r="V54" t="s">
        <v>187</v>
      </c>
      <c r="W54" t="s">
        <v>189</v>
      </c>
      <c r="X54" t="s">
        <v>71</v>
      </c>
      <c r="Y54" t="s">
        <v>72</v>
      </c>
      <c r="Z54" t="s">
        <v>80</v>
      </c>
      <c r="AA54" t="s">
        <v>74</v>
      </c>
    </row>
    <row r="55" spans="2:27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$P$48</f>
        <v>4516.7133000000003</v>
      </c>
      <c r="I55" s="3">
        <f t="shared" si="3"/>
        <v>162.96753257730003</v>
      </c>
      <c r="J55">
        <f>$R$48</f>
        <v>2.8138000000000001</v>
      </c>
      <c r="K55">
        <v>40</v>
      </c>
      <c r="M55">
        <v>0.8</v>
      </c>
      <c r="U55" t="s">
        <v>69</v>
      </c>
      <c r="V55" t="s">
        <v>190</v>
      </c>
      <c r="W55" t="s">
        <v>191</v>
      </c>
      <c r="X55" t="s">
        <v>71</v>
      </c>
      <c r="Y55" t="s">
        <v>72</v>
      </c>
      <c r="Z55" t="s">
        <v>80</v>
      </c>
      <c r="AA55" t="s">
        <v>74</v>
      </c>
    </row>
    <row r="56" spans="2:27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P48</f>
        <v>4516.7133000000003</v>
      </c>
      <c r="I56" s="3">
        <f t="shared" si="3"/>
        <v>162.96753257730003</v>
      </c>
      <c r="J56">
        <f>$R$48</f>
        <v>2.8138000000000001</v>
      </c>
      <c r="K56">
        <v>40</v>
      </c>
      <c r="M56">
        <v>0.8</v>
      </c>
      <c r="U56" t="s">
        <v>69</v>
      </c>
      <c r="V56" t="s">
        <v>18</v>
      </c>
      <c r="W56" t="s">
        <v>78</v>
      </c>
      <c r="X56" t="s">
        <v>71</v>
      </c>
      <c r="Y56" t="s">
        <v>72</v>
      </c>
      <c r="Z56" t="s">
        <v>73</v>
      </c>
      <c r="AA56" t="s">
        <v>77</v>
      </c>
    </row>
    <row r="57" spans="2:27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P48</f>
        <v>4516.7133000000003</v>
      </c>
      <c r="I57" s="3">
        <f t="shared" si="3"/>
        <v>162.96753257730003</v>
      </c>
      <c r="J57">
        <f>$R$48</f>
        <v>2.8138000000000001</v>
      </c>
      <c r="K57">
        <v>40</v>
      </c>
      <c r="M57">
        <v>0.8</v>
      </c>
    </row>
    <row r="58" spans="2:27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P48</f>
        <v>4516.7133000000003</v>
      </c>
      <c r="I58" s="3">
        <f t="shared" si="3"/>
        <v>162.96753257730003</v>
      </c>
      <c r="J58">
        <f>$R$48</f>
        <v>2.8138000000000001</v>
      </c>
      <c r="K58">
        <v>40</v>
      </c>
      <c r="M58">
        <v>0.8</v>
      </c>
    </row>
    <row r="59" spans="2:27" x14ac:dyDescent="0.2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  <c r="M59">
        <v>0.8</v>
      </c>
    </row>
    <row r="75" spans="21:27" x14ac:dyDescent="0.25">
      <c r="V75" t="s">
        <v>207</v>
      </c>
    </row>
    <row r="76" spans="21:27" x14ac:dyDescent="0.25">
      <c r="U76" t="s">
        <v>69</v>
      </c>
      <c r="V76" t="s">
        <v>44</v>
      </c>
      <c r="W76" t="s">
        <v>78</v>
      </c>
      <c r="X76" t="s">
        <v>71</v>
      </c>
      <c r="Y76" t="s">
        <v>72</v>
      </c>
      <c r="Z76" t="s">
        <v>80</v>
      </c>
      <c r="AA76" t="s">
        <v>74</v>
      </c>
    </row>
    <row r="77" spans="21:27" x14ac:dyDescent="0.25">
      <c r="U77" t="s">
        <v>69</v>
      </c>
      <c r="V77" t="s">
        <v>47</v>
      </c>
      <c r="W77" t="s">
        <v>78</v>
      </c>
      <c r="X77" t="s">
        <v>71</v>
      </c>
      <c r="Y77" t="s">
        <v>72</v>
      </c>
      <c r="Z77" t="s">
        <v>80</v>
      </c>
      <c r="AA77" t="s">
        <v>74</v>
      </c>
    </row>
    <row r="78" spans="21:27" x14ac:dyDescent="0.25">
      <c r="U78" t="s">
        <v>69</v>
      </c>
      <c r="V78" t="s">
        <v>49</v>
      </c>
      <c r="W78" t="s">
        <v>78</v>
      </c>
      <c r="X78" t="s">
        <v>71</v>
      </c>
      <c r="Y78" t="s">
        <v>72</v>
      </c>
      <c r="Z78" t="s">
        <v>80</v>
      </c>
      <c r="AA78" t="s">
        <v>74</v>
      </c>
    </row>
    <row r="79" spans="21:27" x14ac:dyDescent="0.25">
      <c r="U79" t="s">
        <v>69</v>
      </c>
      <c r="V79" t="s">
        <v>51</v>
      </c>
      <c r="W79" t="s">
        <v>78</v>
      </c>
      <c r="X79" t="s">
        <v>71</v>
      </c>
      <c r="Y79" t="s">
        <v>72</v>
      </c>
      <c r="Z79" t="s">
        <v>80</v>
      </c>
      <c r="AA79" t="s">
        <v>74</v>
      </c>
    </row>
    <row r="80" spans="21:27" x14ac:dyDescent="0.25">
      <c r="U80" t="s">
        <v>69</v>
      </c>
      <c r="V80" t="s">
        <v>53</v>
      </c>
      <c r="W80" t="s">
        <v>78</v>
      </c>
      <c r="X80" t="s">
        <v>71</v>
      </c>
      <c r="Y80" t="s">
        <v>72</v>
      </c>
      <c r="Z80" t="s">
        <v>80</v>
      </c>
      <c r="AA80" t="s">
        <v>74</v>
      </c>
    </row>
    <row r="81" spans="2:27" x14ac:dyDescent="0.25">
      <c r="U81" t="s">
        <v>69</v>
      </c>
      <c r="V81" t="s">
        <v>55</v>
      </c>
      <c r="W81" t="s">
        <v>78</v>
      </c>
      <c r="X81" t="s">
        <v>71</v>
      </c>
      <c r="Y81" t="s">
        <v>72</v>
      </c>
      <c r="Z81" t="s">
        <v>80</v>
      </c>
      <c r="AA81" t="s">
        <v>74</v>
      </c>
    </row>
    <row r="82" spans="2:27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U82" t="s">
        <v>69</v>
      </c>
      <c r="V82" t="s">
        <v>57</v>
      </c>
      <c r="W82" t="s">
        <v>78</v>
      </c>
      <c r="X82" t="s">
        <v>71</v>
      </c>
      <c r="Y82" t="s">
        <v>72</v>
      </c>
      <c r="Z82" t="s">
        <v>80</v>
      </c>
      <c r="AA82" t="s">
        <v>74</v>
      </c>
    </row>
    <row r="83" spans="2:27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U83" t="s">
        <v>69</v>
      </c>
      <c r="V83" t="s">
        <v>59</v>
      </c>
      <c r="W83" t="s">
        <v>78</v>
      </c>
      <c r="X83" t="s">
        <v>71</v>
      </c>
      <c r="Y83" t="s">
        <v>72</v>
      </c>
      <c r="Z83" t="s">
        <v>80</v>
      </c>
      <c r="AA83" t="s">
        <v>74</v>
      </c>
    </row>
    <row r="84" spans="2:27" x14ac:dyDescent="0.25">
      <c r="U84" t="s">
        <v>69</v>
      </c>
      <c r="V84" t="s">
        <v>20</v>
      </c>
      <c r="W84" t="s">
        <v>79</v>
      </c>
      <c r="X84" t="s">
        <v>71</v>
      </c>
      <c r="Y84" t="s">
        <v>72</v>
      </c>
      <c r="Z84" t="s">
        <v>73</v>
      </c>
      <c r="AA84" t="s">
        <v>77</v>
      </c>
    </row>
    <row r="85" spans="2:27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U85" t="s">
        <v>69</v>
      </c>
      <c r="V85" t="s">
        <v>15</v>
      </c>
      <c r="W85" t="s">
        <v>75</v>
      </c>
      <c r="X85" t="s">
        <v>71</v>
      </c>
      <c r="Y85" t="s">
        <v>72</v>
      </c>
      <c r="Z85" t="s">
        <v>73</v>
      </c>
      <c r="AA85" t="s">
        <v>74</v>
      </c>
    </row>
    <row r="87" spans="2:27" x14ac:dyDescent="0.25">
      <c r="U87" t="s">
        <v>69</v>
      </c>
      <c r="V87" t="s">
        <v>12</v>
      </c>
      <c r="W87" t="s">
        <v>70</v>
      </c>
      <c r="X87" t="s">
        <v>71</v>
      </c>
      <c r="Y87" t="s">
        <v>72</v>
      </c>
      <c r="Z87" t="s">
        <v>73</v>
      </c>
      <c r="AA87" t="s">
        <v>74</v>
      </c>
    </row>
    <row r="90" spans="2:27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Q90" t="s">
        <v>208</v>
      </c>
    </row>
    <row r="91" spans="2:27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7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7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7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7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7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2026-03-10T13:40:41Z</dcterms:modified>
</cp:coreProperties>
</file>