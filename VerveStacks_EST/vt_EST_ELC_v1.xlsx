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C9849CC3-C1F1-4279-9AD0-5DA029C188B3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2" l="1"/>
  <c r="P20" i="2" s="1"/>
  <c r="P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<sst xmlns="http://schemas.openxmlformats.org/spreadsheetml/2006/main" count="911" uniqueCount="219">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</sst>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M9" zoomScale="76" zoomScaleNormal="78" workbookViewId="0">
      <pane ySplit="2" topLeftCell="A11" activePane="bottomLeft" state="frozen"/>
      <selection activeCell="A9" sqref="A9"/>
      <selection pane="bottomLeft" activeCell="AA34" sqref="AA34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22</v>
      </c>
      <c r="V11" t="s">
        <v>78</v>
      </c>
      <c r="W11" t="s">
        <v>71</v>
      </c>
      <c r="X11" t="s">
        <v>72</v>
      </c>
      <c r="Y11" t="s">
        <v>80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25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T13" t="s">
        <v>69</v>
      </c>
      <c r="U13" t="s">
        <v>27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29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30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32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34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>
        <v>3.9363662143155967E-2</v>
      </c>
      <c r="P18">
        <v>0.28763633785684395</v>
      </c>
      <c r="T18" t="s">
        <v>69</v>
      </c>
      <c r="U18" t="s">
        <v>35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37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>
        <f>SUM(F11:F25)</f>
        <v>0.92963633785684396</v>
      </c>
      <c r="P20">
        <f>0.969-F13-O20</f>
        <v>-0.28763633785684384</v>
      </c>
      <c r="T20" t="s">
        <v>69</v>
      </c>
      <c r="U20" t="s">
        <v>39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40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42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17</v>
      </c>
      <c r="V23" t="s">
        <v>76</v>
      </c>
      <c r="W23" t="s">
        <v>71</v>
      </c>
      <c r="X23" t="s">
        <v>72</v>
      </c>
      <c r="Y23" t="s">
        <v>73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P24">
        <f>SUM(O20:P20)+F13</f>
        <v>0.96900000000000008</v>
      </c>
      <c r="T24" t="s">
        <v>69</v>
      </c>
      <c r="U24" t="s">
        <v>61</v>
      </c>
      <c r="V24" t="s">
        <v>81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216</v>
      </c>
      <c r="V25" t="s">
        <v>81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217</v>
      </c>
      <c r="V26" t="s">
        <v>218</v>
      </c>
      <c r="W26" t="s">
        <v>71</v>
      </c>
      <c r="X26" t="s">
        <v>72</v>
      </c>
      <c r="Y26" t="s">
        <v>80</v>
      </c>
      <c r="Z26" t="s">
        <v>77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140</v>
      </c>
      <c r="U27" s="1" t="s">
        <v>141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194</v>
      </c>
      <c r="V28" t="s">
        <v>163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T29" t="s">
        <v>69</v>
      </c>
      <c r="U29" t="s">
        <v>193</v>
      </c>
      <c r="V29" t="s">
        <v>148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17</v>
      </c>
      <c r="C30" t="s">
        <v>13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195</v>
      </c>
      <c r="V30" t="s">
        <v>149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196</v>
      </c>
      <c r="V31" t="s">
        <v>150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142</v>
      </c>
      <c r="V32" t="s">
        <v>161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143</v>
      </c>
      <c r="V33" t="s">
        <v>151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144</v>
      </c>
      <c r="V34" t="s">
        <v>152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145</v>
      </c>
      <c r="V35" t="s">
        <v>153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146</v>
      </c>
      <c r="V36" t="s">
        <v>147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197</v>
      </c>
      <c r="V37" t="s">
        <v>162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154</v>
      </c>
      <c r="V38" t="s">
        <v>155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156</v>
      </c>
      <c r="V39" t="s">
        <v>157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170</v>
      </c>
      <c r="V40" t="s">
        <v>171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158</v>
      </c>
      <c r="V41" t="s">
        <v>159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169</v>
      </c>
      <c r="V42" t="s">
        <v>160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164</v>
      </c>
      <c r="V43" t="s">
        <v>165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168</v>
      </c>
      <c r="V44" t="s">
        <v>166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198</v>
      </c>
      <c r="V45" t="s">
        <v>167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  <c r="T46" t="s">
        <v>69</v>
      </c>
      <c r="U46" t="s">
        <v>172</v>
      </c>
      <c r="V46" t="s">
        <v>173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174</v>
      </c>
      <c r="V47" t="s">
        <v>175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176</v>
      </c>
      <c r="V48" t="s">
        <v>177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  <c r="T49" t="s">
        <v>69</v>
      </c>
      <c r="U49" t="s">
        <v>178</v>
      </c>
      <c r="V49" t="s">
        <v>179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  <c r="T50" t="s">
        <v>69</v>
      </c>
      <c r="U50" t="s">
        <v>180</v>
      </c>
      <c r="V50" t="s">
        <v>181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  <c r="T51" t="s">
        <v>69</v>
      </c>
      <c r="U51" t="s">
        <v>182</v>
      </c>
      <c r="V51" t="s">
        <v>183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  <c r="T52" t="s">
        <v>69</v>
      </c>
      <c r="U52" t="s">
        <v>184</v>
      </c>
      <c r="V52" t="s">
        <v>185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  <c r="T53" t="s">
        <v>69</v>
      </c>
      <c r="U53" t="s">
        <v>186</v>
      </c>
      <c r="V53" t="s">
        <v>188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  <c r="T54" t="s">
        <v>69</v>
      </c>
      <c r="U54" t="s">
        <v>187</v>
      </c>
      <c r="V54" t="s">
        <v>189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T55" t="s">
        <v>69</v>
      </c>
      <c r="U55" t="s">
        <v>190</v>
      </c>
      <c r="V55" t="s">
        <v>191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T56" t="s">
        <v>69</v>
      </c>
      <c r="U56" t="s">
        <v>18</v>
      </c>
      <c r="V56" t="s">
        <v>78</v>
      </c>
      <c r="W56" t="s">
        <v>71</v>
      </c>
      <c r="X56" t="s">
        <v>72</v>
      </c>
      <c r="Y56" t="s">
        <v>73</v>
      </c>
      <c r="Z56" t="s">
        <v>77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75" spans="2:26" x14ac:dyDescent="0.25">
      <c r="U75" t="s">
        <v>207</v>
      </c>
    </row>
    <row r="76" spans="2:26" x14ac:dyDescent="0.25">
      <c r="T76" t="s">
        <v>69</v>
      </c>
      <c r="U76" t="s">
        <v>44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:26" x14ac:dyDescent="0.25">
      <c r="T77" t="s">
        <v>69</v>
      </c>
      <c r="U77" t="s">
        <v>47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:26" x14ac:dyDescent="0.25">
      <c r="B78" t="s">
        <v>18</v>
      </c>
      <c r="C78" t="s">
        <v>19</v>
      </c>
      <c r="D78" t="s">
        <v>14</v>
      </c>
      <c r="E78">
        <v>2022</v>
      </c>
      <c r="F78">
        <v>8.0000000000000002E-3</v>
      </c>
      <c r="G78">
        <v>0.33123000000000002</v>
      </c>
      <c r="T78" t="s">
        <v>69</v>
      </c>
      <c r="U78" t="s">
        <v>49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:26" x14ac:dyDescent="0.25">
      <c r="T79" t="s">
        <v>69</v>
      </c>
      <c r="U79" t="s">
        <v>51</v>
      </c>
      <c r="V79" t="s">
        <v>78</v>
      </c>
      <c r="W79" t="s">
        <v>71</v>
      </c>
      <c r="X79" t="s">
        <v>72</v>
      </c>
      <c r="Y79" t="s">
        <v>80</v>
      </c>
      <c r="Z79" t="s">
        <v>74</v>
      </c>
    </row>
    <row r="80" spans="2:26" x14ac:dyDescent="0.25">
      <c r="T80" t="s">
        <v>69</v>
      </c>
      <c r="U80" t="s">
        <v>53</v>
      </c>
      <c r="V80" t="s">
        <v>78</v>
      </c>
      <c r="W80" t="s">
        <v>71</v>
      </c>
      <c r="X80" t="s">
        <v>72</v>
      </c>
      <c r="Y80" t="s">
        <v>80</v>
      </c>
      <c r="Z80" t="s">
        <v>74</v>
      </c>
    </row>
    <row r="81" spans="2:26" x14ac:dyDescent="0.25">
      <c r="T81" t="s">
        <v>69</v>
      </c>
      <c r="U81" t="s">
        <v>55</v>
      </c>
      <c r="V81" t="s">
        <v>78</v>
      </c>
      <c r="W81" t="s">
        <v>71</v>
      </c>
      <c r="X81" t="s">
        <v>72</v>
      </c>
      <c r="Y81" t="s">
        <v>80</v>
      </c>
      <c r="Z81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57</v>
      </c>
      <c r="V82" t="s">
        <v>78</v>
      </c>
      <c r="W82" t="s">
        <v>71</v>
      </c>
      <c r="X82" t="s">
        <v>72</v>
      </c>
      <c r="Y82" t="s">
        <v>80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T83" t="s">
        <v>69</v>
      </c>
      <c r="U83" t="s">
        <v>59</v>
      </c>
      <c r="V83" t="s">
        <v>78</v>
      </c>
      <c r="W83" t="s">
        <v>71</v>
      </c>
      <c r="X83" t="s">
        <v>72</v>
      </c>
      <c r="Y83" t="s">
        <v>80</v>
      </c>
      <c r="Z83" t="s">
        <v>74</v>
      </c>
    </row>
    <row r="84" spans="2:26" x14ac:dyDescent="0.25">
      <c r="T84" t="s">
        <v>69</v>
      </c>
      <c r="U84" t="s">
        <v>20</v>
      </c>
      <c r="V84" t="s">
        <v>79</v>
      </c>
      <c r="W84" t="s">
        <v>71</v>
      </c>
      <c r="X84" t="s">
        <v>72</v>
      </c>
      <c r="Y84" t="s">
        <v>73</v>
      </c>
      <c r="Z84" t="s">
        <v>77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T85" t="s">
        <v>69</v>
      </c>
      <c r="U85" t="s">
        <v>15</v>
      </c>
      <c r="V85" t="s">
        <v>75</v>
      </c>
      <c r="W85" t="s">
        <v>71</v>
      </c>
      <c r="X85" t="s">
        <v>72</v>
      </c>
      <c r="Y85" t="s">
        <v>73</v>
      </c>
      <c r="Z85" t="s">
        <v>74</v>
      </c>
    </row>
    <row r="87" spans="2:26" x14ac:dyDescent="0.25">
      <c r="T87" t="s">
        <v>69</v>
      </c>
      <c r="U87" t="s">
        <v>12</v>
      </c>
      <c r="V87" t="s">
        <v>70</v>
      </c>
      <c r="W87" t="s">
        <v>71</v>
      </c>
      <c r="X87" t="s">
        <v>72</v>
      </c>
      <c r="Y87" t="s">
        <v>73</v>
      </c>
      <c r="Z87" t="s">
        <v>74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2026-03-09T13:36:52Z</dcterms:modified>
</cp:coreProperties>
</file>