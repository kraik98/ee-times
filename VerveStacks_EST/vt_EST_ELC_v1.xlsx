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A6733E1-09C3-4ECB-9991-608C0A41B910}" xr6:coauthVersionLast="47" xr6:coauthVersionMax="47" xr10:uidLastSave="{00000000-0000-0000-0000-000000000000}"/>
  <bookViews>
    <workbookView xWindow="-10470" yWindow="10890" windowWidth="19420" windowHeight="1150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2" l="1"/>
  <c r="G64" i="2"/>
  <c r="G61" i="2"/>
  <c r="G60" i="2"/>
  <c r="G58" i="2"/>
  <c r="G53" i="2"/>
  <c r="G49" i="2"/>
  <c r="G48" i="2"/>
  <c r="G46" i="2"/>
  <c r="G47" i="2"/>
  <c r="G45" i="2"/>
  <c r="G44" i="2"/>
  <c r="J67" i="2"/>
  <c r="J68" i="2"/>
  <c r="J69" i="2"/>
  <c r="J70" i="2"/>
  <c r="J71" i="2"/>
  <c r="J66" i="2"/>
  <c r="J65" i="2"/>
  <c r="J64" i="2"/>
  <c r="J63" i="2"/>
  <c r="J62" i="2"/>
  <c r="J60" i="2"/>
  <c r="J59" i="2"/>
  <c r="J58" i="2"/>
  <c r="J55" i="2"/>
  <c r="J56" i="2"/>
  <c r="J57" i="2"/>
  <c r="J54" i="2"/>
  <c r="J53" i="2"/>
  <c r="J50" i="2"/>
  <c r="J51" i="2"/>
  <c r="J52" i="2"/>
  <c r="J49" i="2"/>
  <c r="J48" i="2"/>
  <c r="J61" i="2"/>
  <c r="J46" i="2"/>
  <c r="J47" i="2"/>
  <c r="J45" i="2"/>
  <c r="J44" i="2"/>
  <c r="I67" i="2"/>
  <c r="I68" i="2"/>
  <c r="I69" i="2"/>
  <c r="I70" i="2"/>
  <c r="I71" i="2"/>
  <c r="I66" i="2"/>
  <c r="I63" i="2"/>
  <c r="I62" i="2"/>
  <c r="I61" i="2"/>
  <c r="I58" i="2"/>
  <c r="I60" i="2"/>
  <c r="I59" i="2"/>
  <c r="I64" i="2"/>
  <c r="I65" i="2"/>
  <c r="I55" i="2"/>
  <c r="I56" i="2"/>
  <c r="I57" i="2"/>
  <c r="I54" i="2"/>
  <c r="I53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5" i="2"/>
  <c r="H56" i="2"/>
  <c r="H57" i="2"/>
  <c r="H54" i="2"/>
  <c r="H53" i="2"/>
  <c r="H50" i="2"/>
  <c r="H51" i="2"/>
  <c r="H52" i="2"/>
  <c r="H49" i="2"/>
  <c r="H48" i="2"/>
  <c r="I48" i="2" l="1"/>
  <c r="I44" i="2"/>
  <c r="I50" i="2"/>
  <c r="I51" i="2"/>
  <c r="I52" i="2"/>
  <c r="I47" i="2"/>
  <c r="I46" i="2"/>
  <c r="I45" i="2"/>
  <c r="I49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tc={C9FF73F0-A53F-4E15-A8C5-00DAE5061F13}</author>
    <author>tc={E45DD652-654C-4828-8A13-679EDDC53E65}</author>
    <author>tc={5D0B02A9-24B3-4F36-8683-2AD26D1E0821}</author>
    <author>tc={C2CA05C3-E9FD-442F-962C-5D4E7F1ADE70}</author>
    <author>tc={D6875D25-4560-414C-93D8-31A6498B8282}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N43" authorId="1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F44" authorId="2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3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Q47" authorId="4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E52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T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79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<sst xmlns="http://schemas.openxmlformats.org/spreadsheetml/2006/main" count="888" uniqueCount="216">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</sst>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  <charset val="18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Q47" dT="2026-03-05T12:58:31.38" personId="{9CD26280-DD25-46DF-A708-6877D8A68AD8}" id="{C2CA05C3-E9FD-442F-962C-5D4E7F1ADE70}">
    <text>Took same as chp</text>
  </threadedComment>
  <threadedComment ref="E52" dT="2026-03-04T15:33:22.35" personId="{9CD26280-DD25-46DF-A708-6877D8A68AD8}" id="{D6875D25-4560-414C-93D8-31A6498B8282}">
    <text xml:space="preserve">Ei tea
</text>
  </threadedComment>
  <threadedComment ref="T77" dT="2026-01-28T08:41:02.80" personId="{9CD26280-DD25-46DF-A708-6877D8A68AD8}" id="{1905391B-2A5F-4643-B2AC-720AD8410CDA}">
    <text>Frequency reserve</text>
  </threadedComment>
  <threadedComment ref="J79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90"/>
  <sheetViews>
    <sheetView tabSelected="1" topLeftCell="A9" zoomScale="76" zoomScaleNormal="78" workbookViewId="0">
      <pane ySplit="2" topLeftCell="A37" activePane="bottomLeft" state="frozen"/>
      <selection activeCell="A9" sqref="A9"/>
      <selection pane="bottomLeft" activeCell="K48" sqref="K48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T24" t="s">
        <v>69</v>
      </c>
      <c r="U24" t="s">
        <v>44</v>
      </c>
      <c r="V24" t="s">
        <v>78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47</v>
      </c>
      <c r="V25" t="s">
        <v>78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T26" t="s">
        <v>69</v>
      </c>
      <c r="U26" t="s">
        <v>49</v>
      </c>
      <c r="V26" t="s">
        <v>78</v>
      </c>
      <c r="W26" t="s">
        <v>71</v>
      </c>
      <c r="X26" t="s">
        <v>72</v>
      </c>
      <c r="Y26" t="s">
        <v>80</v>
      </c>
      <c r="Z26" t="s">
        <v>74</v>
      </c>
    </row>
    <row r="27" spans="2:26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T27" t="s">
        <v>69</v>
      </c>
      <c r="U27" t="s">
        <v>51</v>
      </c>
      <c r="V27" t="s">
        <v>78</v>
      </c>
      <c r="W27" t="s">
        <v>71</v>
      </c>
      <c r="X27" t="s">
        <v>72</v>
      </c>
      <c r="Y27" t="s">
        <v>80</v>
      </c>
      <c r="Z27" t="s">
        <v>74</v>
      </c>
    </row>
    <row r="28" spans="2:26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T28" t="s">
        <v>69</v>
      </c>
      <c r="U28" t="s">
        <v>53</v>
      </c>
      <c r="V28" t="s">
        <v>78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T29" t="s">
        <v>69</v>
      </c>
      <c r="U29" t="s">
        <v>55</v>
      </c>
      <c r="V29" t="s">
        <v>78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T30" t="s">
        <v>69</v>
      </c>
      <c r="U30" t="s">
        <v>57</v>
      </c>
      <c r="V30" t="s">
        <v>78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T31" t="s">
        <v>69</v>
      </c>
      <c r="U31" t="s">
        <v>59</v>
      </c>
      <c r="V31" t="s">
        <v>78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T32" t="s">
        <v>69</v>
      </c>
      <c r="U32" t="s">
        <v>61</v>
      </c>
      <c r="V32" t="s">
        <v>81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T33" t="s">
        <v>140</v>
      </c>
      <c r="U33" s="1" t="s">
        <v>141</v>
      </c>
    </row>
    <row r="34" spans="2:26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T34" t="s">
        <v>69</v>
      </c>
      <c r="U34" t="s">
        <v>194</v>
      </c>
      <c r="V34" t="s">
        <v>163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T35" t="s">
        <v>69</v>
      </c>
      <c r="U35" t="s">
        <v>193</v>
      </c>
      <c r="V35" t="s">
        <v>148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T36" t="s">
        <v>69</v>
      </c>
      <c r="U36" t="s">
        <v>195</v>
      </c>
      <c r="V36" t="s">
        <v>149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T37" t="s">
        <v>69</v>
      </c>
      <c r="U37" t="s">
        <v>196</v>
      </c>
      <c r="V37" t="s">
        <v>150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T38" t="s">
        <v>69</v>
      </c>
      <c r="U38" t="s">
        <v>142</v>
      </c>
      <c r="V38" t="s">
        <v>161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T39" t="s">
        <v>69</v>
      </c>
      <c r="U39" t="s">
        <v>143</v>
      </c>
      <c r="V39" t="s">
        <v>151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T40" t="s">
        <v>69</v>
      </c>
      <c r="U40" t="s">
        <v>144</v>
      </c>
      <c r="V40" t="s">
        <v>152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T41" t="s">
        <v>69</v>
      </c>
      <c r="U41" t="s">
        <v>145</v>
      </c>
      <c r="V41" t="s">
        <v>153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T42" t="s">
        <v>69</v>
      </c>
      <c r="U42" t="s">
        <v>146</v>
      </c>
      <c r="V42" t="s">
        <v>147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140</v>
      </c>
      <c r="C43" s="1" t="s">
        <v>141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197</v>
      </c>
      <c r="V43" t="s">
        <v>162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17</v>
      </c>
      <c r="C44" t="s">
        <v>16</v>
      </c>
      <c r="D44" t="s">
        <v>14</v>
      </c>
      <c r="E44">
        <v>1982</v>
      </c>
      <c r="F44">
        <v>1.6999999999999999E-3</v>
      </c>
      <c r="G44">
        <f>P45</f>
        <v>0.56000000000000005</v>
      </c>
      <c r="H44" s="2">
        <v>1175.5066999999999</v>
      </c>
      <c r="I44" s="3">
        <f>(N45/100)*H45</f>
        <v>160.216352398</v>
      </c>
      <c r="J44">
        <f>Q45</f>
        <v>5.8775000000000004</v>
      </c>
      <c r="K44">
        <v>53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154</v>
      </c>
      <c r="V44" t="s">
        <v>155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f>$P$44</f>
        <v>0.33</v>
      </c>
      <c r="H45" s="2">
        <v>4812.0244000000002</v>
      </c>
      <c r="I45" s="3">
        <f>(1.31/100)*H45</f>
        <v>63.037519640000006</v>
      </c>
      <c r="J45">
        <f>$Q$44</f>
        <v>4.1005000000000003</v>
      </c>
      <c r="K45">
        <v>70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156</v>
      </c>
      <c r="V45" t="s">
        <v>157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f t="shared" ref="G46:G47" si="0">$P$44</f>
        <v>0.33</v>
      </c>
      <c r="H46" s="2">
        <v>4812.0244000000002</v>
      </c>
      <c r="I46" s="3">
        <f>(1.31/100)*H46</f>
        <v>63.037519640000006</v>
      </c>
      <c r="J46">
        <f t="shared" ref="J46:J71" si="1">$Q$44</f>
        <v>4.1005000000000003</v>
      </c>
      <c r="K46">
        <v>40</v>
      </c>
      <c r="M46" t="s">
        <v>212</v>
      </c>
      <c r="N46" s="4"/>
      <c r="O46" s="2"/>
      <c r="T46" t="s">
        <v>69</v>
      </c>
      <c r="U46" t="s">
        <v>170</v>
      </c>
      <c r="V46" t="s">
        <v>171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193</v>
      </c>
      <c r="C47" t="s">
        <v>192</v>
      </c>
      <c r="D47" t="s">
        <v>14</v>
      </c>
      <c r="E47">
        <v>1956</v>
      </c>
      <c r="F47">
        <v>0.185</v>
      </c>
      <c r="G47">
        <f t="shared" si="0"/>
        <v>0.33</v>
      </c>
      <c r="H47" s="2">
        <v>4812.0244000000002</v>
      </c>
      <c r="I47" s="3">
        <f>(1.31/100)*H47</f>
        <v>63.037519640000006</v>
      </c>
      <c r="J47">
        <f t="shared" si="1"/>
        <v>4.1005000000000003</v>
      </c>
      <c r="K47">
        <v>73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158</v>
      </c>
      <c r="V47" t="s">
        <v>159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142</v>
      </c>
      <c r="C48" t="s">
        <v>16</v>
      </c>
      <c r="D48" t="s">
        <v>14</v>
      </c>
      <c r="E48">
        <v>2021</v>
      </c>
      <c r="F48">
        <v>7.6999999999999999E-2</v>
      </c>
      <c r="G48">
        <f>P45</f>
        <v>0.56000000000000005</v>
      </c>
      <c r="H48" s="2">
        <f>O45</f>
        <v>1175.5066999999999</v>
      </c>
      <c r="I48" s="3">
        <f>(N45/100)*H48</f>
        <v>39.138495576499992</v>
      </c>
      <c r="J48">
        <f>$Q$45</f>
        <v>5.8775000000000004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169</v>
      </c>
      <c r="V48" t="s">
        <v>160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143</v>
      </c>
      <c r="C49" t="s">
        <v>13</v>
      </c>
      <c r="D49" t="s">
        <v>14</v>
      </c>
      <c r="E49">
        <v>2018</v>
      </c>
      <c r="F49">
        <v>3.9E-2</v>
      </c>
      <c r="G49">
        <f>P47</f>
        <v>0.46800000000000003</v>
      </c>
      <c r="H49" s="2">
        <f>$O$47</f>
        <v>2950.7891</v>
      </c>
      <c r="I49" s="3">
        <f>(4.5269/100)*H49</f>
        <v>133.5792717679</v>
      </c>
      <c r="J49">
        <f>$Q$47</f>
        <v>2.8138000000000001</v>
      </c>
      <c r="K49">
        <v>40</v>
      </c>
      <c r="N49" s="3"/>
      <c r="O49" s="4"/>
      <c r="T49" t="s">
        <v>69</v>
      </c>
      <c r="U49" t="s">
        <v>164</v>
      </c>
      <c r="V49" t="s">
        <v>165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144</v>
      </c>
      <c r="C50" t="s">
        <v>13</v>
      </c>
      <c r="D50" t="s">
        <v>14</v>
      </c>
      <c r="E50">
        <v>2009</v>
      </c>
      <c r="F50">
        <v>2.2100000000000002E-2</v>
      </c>
      <c r="G50">
        <v>0.46800000000000003</v>
      </c>
      <c r="H50" s="2">
        <f t="shared" ref="H50:H52" si="2">$O$47</f>
        <v>2950.7891</v>
      </c>
      <c r="I50" s="3">
        <f t="shared" ref="I50:I53" si="3">(4.5269/100)*H50</f>
        <v>133.5792717679</v>
      </c>
      <c r="J50">
        <f t="shared" ref="J50:J52" si="4">$Q$47</f>
        <v>2.8138000000000001</v>
      </c>
      <c r="K50">
        <v>40</v>
      </c>
      <c r="N50" s="3"/>
      <c r="O50" s="4"/>
      <c r="T50" t="s">
        <v>69</v>
      </c>
      <c r="U50" t="s">
        <v>168</v>
      </c>
      <c r="V50" t="s">
        <v>166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145</v>
      </c>
      <c r="C51" t="s">
        <v>13</v>
      </c>
      <c r="D51" t="s">
        <v>14</v>
      </c>
      <c r="E51">
        <v>2011</v>
      </c>
      <c r="F51">
        <v>2.0500000000000001E-2</v>
      </c>
      <c r="G51">
        <v>0.46800000000000003</v>
      </c>
      <c r="H51" s="2">
        <f t="shared" si="2"/>
        <v>2950.7891</v>
      </c>
      <c r="I51" s="3">
        <f t="shared" si="3"/>
        <v>133.5792717679</v>
      </c>
      <c r="J51">
        <f t="shared" si="4"/>
        <v>2.8138000000000001</v>
      </c>
      <c r="K51">
        <v>40</v>
      </c>
      <c r="N51" s="3"/>
      <c r="O51" s="4"/>
      <c r="T51" t="s">
        <v>69</v>
      </c>
      <c r="U51" t="s">
        <v>198</v>
      </c>
      <c r="V51" t="s">
        <v>167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146</v>
      </c>
      <c r="C52" t="s">
        <v>13</v>
      </c>
      <c r="D52" t="s">
        <v>14</v>
      </c>
      <c r="E52">
        <v>2010</v>
      </c>
      <c r="F52">
        <v>1.3900000000000001E-2</v>
      </c>
      <c r="G52">
        <v>0.46800000000000003</v>
      </c>
      <c r="H52" s="2">
        <f t="shared" si="2"/>
        <v>2950.7891</v>
      </c>
      <c r="I52" s="3">
        <f t="shared" si="3"/>
        <v>133.5792717679</v>
      </c>
      <c r="J52">
        <f t="shared" si="4"/>
        <v>2.8138000000000001</v>
      </c>
      <c r="K52">
        <v>40</v>
      </c>
      <c r="N52" s="3"/>
      <c r="O52" s="4"/>
      <c r="T52" t="s">
        <v>69</v>
      </c>
      <c r="U52" t="s">
        <v>172</v>
      </c>
      <c r="V52" t="s">
        <v>173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197</v>
      </c>
      <c r="C53" t="s">
        <v>192</v>
      </c>
      <c r="D53" t="s">
        <v>14</v>
      </c>
      <c r="E53">
        <v>1997</v>
      </c>
      <c r="F53">
        <v>0.01</v>
      </c>
      <c r="G53">
        <f>P44</f>
        <v>0.33</v>
      </c>
      <c r="H53" s="2">
        <f>O44</f>
        <v>4812.0244000000002</v>
      </c>
      <c r="I53" s="3">
        <f>($N$44/100)*H53</f>
        <v>63.037519640000006</v>
      </c>
      <c r="J53">
        <f>$Q$44</f>
        <v>4.1005000000000003</v>
      </c>
      <c r="K53">
        <v>40</v>
      </c>
      <c r="T53" t="s">
        <v>69</v>
      </c>
      <c r="U53" t="s">
        <v>174</v>
      </c>
      <c r="V53" t="s">
        <v>175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154</v>
      </c>
      <c r="C54" t="s">
        <v>13</v>
      </c>
      <c r="D54" t="s">
        <v>14</v>
      </c>
      <c r="E54">
        <v>2016</v>
      </c>
      <c r="F54">
        <v>0.01</v>
      </c>
      <c r="G54">
        <v>0.28999999999999998</v>
      </c>
      <c r="H54" s="2">
        <f>$O$48</f>
        <v>4516.7133000000003</v>
      </c>
      <c r="I54" s="3">
        <f>($N$48/100)*H54</f>
        <v>162.96753257730003</v>
      </c>
      <c r="J54">
        <f>$Q$48</f>
        <v>2.8138000000000001</v>
      </c>
      <c r="K54">
        <v>40</v>
      </c>
      <c r="T54" t="s">
        <v>69</v>
      </c>
      <c r="U54" t="s">
        <v>176</v>
      </c>
      <c r="V54" t="s">
        <v>177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156</v>
      </c>
      <c r="C55" t="s">
        <v>13</v>
      </c>
      <c r="D55" t="s">
        <v>14</v>
      </c>
      <c r="E55">
        <v>2017</v>
      </c>
      <c r="F55">
        <v>0.01</v>
      </c>
      <c r="G55">
        <v>0.28999999999999998</v>
      </c>
      <c r="H55" s="2">
        <f t="shared" ref="H55:H57" si="5">$O$48</f>
        <v>4516.7133000000003</v>
      </c>
      <c r="I55" s="3">
        <f t="shared" ref="I55:I58" si="6">($N$48/100)*H55</f>
        <v>162.96753257730003</v>
      </c>
      <c r="J55">
        <f t="shared" ref="J55:J57" si="7">$Q$48</f>
        <v>2.8138000000000001</v>
      </c>
      <c r="K55">
        <v>40</v>
      </c>
      <c r="T55" t="s">
        <v>69</v>
      </c>
      <c r="U55" t="s">
        <v>178</v>
      </c>
      <c r="V55" t="s">
        <v>179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170</v>
      </c>
      <c r="C56" t="s">
        <v>13</v>
      </c>
      <c r="D56" t="s">
        <v>14</v>
      </c>
      <c r="E56">
        <v>2019</v>
      </c>
      <c r="F56">
        <v>9.300000000000001E-3</v>
      </c>
      <c r="G56">
        <v>0.28999999999999998</v>
      </c>
      <c r="H56" s="2">
        <f t="shared" si="5"/>
        <v>4516.7133000000003</v>
      </c>
      <c r="I56" s="3">
        <f t="shared" si="6"/>
        <v>162.96753257730003</v>
      </c>
      <c r="J56">
        <f t="shared" si="7"/>
        <v>2.8138000000000001</v>
      </c>
      <c r="K56">
        <v>40</v>
      </c>
      <c r="T56" t="s">
        <v>69</v>
      </c>
      <c r="U56" t="s">
        <v>180</v>
      </c>
      <c r="V56" t="s">
        <v>181</v>
      </c>
      <c r="W56" t="s">
        <v>71</v>
      </c>
      <c r="X56" t="s">
        <v>72</v>
      </c>
      <c r="Y56" t="s">
        <v>80</v>
      </c>
      <c r="Z56" t="s">
        <v>74</v>
      </c>
    </row>
    <row r="57" spans="2:26" x14ac:dyDescent="0.25">
      <c r="B57" t="s">
        <v>158</v>
      </c>
      <c r="C57" t="s">
        <v>13</v>
      </c>
      <c r="D57" t="s">
        <v>14</v>
      </c>
      <c r="E57">
        <v>1963</v>
      </c>
      <c r="F57">
        <v>7.0999999999999995E-3</v>
      </c>
      <c r="G57">
        <v>0.28999999999999998</v>
      </c>
      <c r="H57" s="2">
        <f t="shared" si="5"/>
        <v>4516.7133000000003</v>
      </c>
      <c r="I57" s="3">
        <f t="shared" si="6"/>
        <v>162.96753257730003</v>
      </c>
      <c r="J57">
        <f t="shared" si="7"/>
        <v>2.8138000000000001</v>
      </c>
      <c r="K57">
        <v>72</v>
      </c>
      <c r="T57" t="s">
        <v>69</v>
      </c>
      <c r="U57" t="s">
        <v>182</v>
      </c>
      <c r="V57" t="s">
        <v>183</v>
      </c>
      <c r="W57" t="s">
        <v>71</v>
      </c>
      <c r="X57" t="s">
        <v>72</v>
      </c>
      <c r="Y57" t="s">
        <v>80</v>
      </c>
      <c r="Z57" t="s">
        <v>74</v>
      </c>
    </row>
    <row r="58" spans="2:26" x14ac:dyDescent="0.25">
      <c r="B58" t="s">
        <v>169</v>
      </c>
      <c r="C58" t="s">
        <v>16</v>
      </c>
      <c r="D58" t="s">
        <v>14</v>
      </c>
      <c r="E58">
        <v>2020</v>
      </c>
      <c r="F58">
        <v>5.7999999999999996E-3</v>
      </c>
      <c r="G58">
        <f>P45</f>
        <v>0.56000000000000005</v>
      </c>
      <c r="H58" s="2">
        <f>O45</f>
        <v>1175.5066999999999</v>
      </c>
      <c r="I58" s="3">
        <f>($N$45/100)*H58</f>
        <v>39.138495576499992</v>
      </c>
      <c r="J58">
        <f>$Q$45</f>
        <v>5.8775000000000004</v>
      </c>
      <c r="K58">
        <v>40</v>
      </c>
      <c r="T58" t="s">
        <v>69</v>
      </c>
      <c r="U58" t="s">
        <v>184</v>
      </c>
      <c r="V58" t="s">
        <v>185</v>
      </c>
      <c r="W58" t="s">
        <v>71</v>
      </c>
      <c r="X58" t="s">
        <v>72</v>
      </c>
      <c r="Y58" t="s">
        <v>80</v>
      </c>
      <c r="Z58" t="s">
        <v>74</v>
      </c>
    </row>
    <row r="59" spans="2:26" x14ac:dyDescent="0.25">
      <c r="B59" t="s">
        <v>164</v>
      </c>
      <c r="C59" t="s">
        <v>13</v>
      </c>
      <c r="D59" t="s">
        <v>14</v>
      </c>
      <c r="E59">
        <v>2013</v>
      </c>
      <c r="F59">
        <v>6.4999999999999997E-3</v>
      </c>
      <c r="G59">
        <v>0.28999999999999998</v>
      </c>
      <c r="H59" s="2">
        <f>O48</f>
        <v>4516.7133000000003</v>
      </c>
      <c r="I59" s="3">
        <f>($N$48/100)*H59</f>
        <v>162.96753257730003</v>
      </c>
      <c r="J59">
        <f>$Q$48</f>
        <v>2.8138000000000001</v>
      </c>
      <c r="K59">
        <v>40</v>
      </c>
      <c r="T59" t="s">
        <v>69</v>
      </c>
      <c r="U59" t="s">
        <v>186</v>
      </c>
      <c r="V59" t="s">
        <v>188</v>
      </c>
      <c r="W59" t="s">
        <v>71</v>
      </c>
      <c r="X59" t="s">
        <v>72</v>
      </c>
      <c r="Y59" t="s">
        <v>80</v>
      </c>
      <c r="Z59" t="s">
        <v>74</v>
      </c>
    </row>
    <row r="60" spans="2:26" x14ac:dyDescent="0.25">
      <c r="B60" t="s">
        <v>168</v>
      </c>
      <c r="C60" t="s">
        <v>16</v>
      </c>
      <c r="D60" t="s">
        <v>14</v>
      </c>
      <c r="E60">
        <v>2015</v>
      </c>
      <c r="F60">
        <v>4.0999999999999995E-3</v>
      </c>
      <c r="G60">
        <f>P45</f>
        <v>0.56000000000000005</v>
      </c>
      <c r="H60" s="2">
        <f>O45</f>
        <v>1175.5066999999999</v>
      </c>
      <c r="I60" s="3">
        <f>($N$45/100)*H60</f>
        <v>39.138495576499992</v>
      </c>
      <c r="J60">
        <f>$Q$45</f>
        <v>5.8775000000000004</v>
      </c>
      <c r="K60">
        <v>40</v>
      </c>
      <c r="T60" t="s">
        <v>69</v>
      </c>
      <c r="U60" t="s">
        <v>187</v>
      </c>
      <c r="V60" t="s">
        <v>189</v>
      </c>
      <c r="W60" t="s">
        <v>71</v>
      </c>
      <c r="X60" t="s">
        <v>72</v>
      </c>
      <c r="Y60" t="s">
        <v>80</v>
      </c>
      <c r="Z60" t="s">
        <v>74</v>
      </c>
    </row>
    <row r="61" spans="2:26" x14ac:dyDescent="0.25">
      <c r="B61" t="s">
        <v>198</v>
      </c>
      <c r="C61" t="s">
        <v>192</v>
      </c>
      <c r="D61" t="s">
        <v>14</v>
      </c>
      <c r="E61">
        <v>2012</v>
      </c>
      <c r="F61">
        <v>1.4E-3</v>
      </c>
      <c r="G61">
        <f>P44</f>
        <v>0.33</v>
      </c>
      <c r="H61" s="2">
        <f>O44</f>
        <v>4812.0244000000002</v>
      </c>
      <c r="I61" s="3">
        <f>($N$48/100)*H61</f>
        <v>173.62265237640003</v>
      </c>
      <c r="J61">
        <f t="shared" si="1"/>
        <v>4.1005000000000003</v>
      </c>
      <c r="K61">
        <v>40</v>
      </c>
      <c r="T61" t="s">
        <v>69</v>
      </c>
      <c r="U61" t="s">
        <v>190</v>
      </c>
      <c r="V61" t="s">
        <v>191</v>
      </c>
      <c r="W61" t="s">
        <v>71</v>
      </c>
      <c r="X61" t="s">
        <v>72</v>
      </c>
      <c r="Y61" t="s">
        <v>80</v>
      </c>
      <c r="Z61" t="s">
        <v>74</v>
      </c>
    </row>
    <row r="62" spans="2:26" x14ac:dyDescent="0.25">
      <c r="B62" t="s">
        <v>172</v>
      </c>
      <c r="C62" t="s">
        <v>13</v>
      </c>
      <c r="D62" t="s">
        <v>14</v>
      </c>
      <c r="E62">
        <v>2013</v>
      </c>
      <c r="F62">
        <v>1.8E-3</v>
      </c>
      <c r="G62">
        <v>0.28999999999999998</v>
      </c>
      <c r="H62" s="2">
        <f>O48</f>
        <v>4516.7133000000003</v>
      </c>
      <c r="I62" s="3">
        <f>($N$48/100)*H62</f>
        <v>162.96753257730003</v>
      </c>
      <c r="J62">
        <f>$Q$48</f>
        <v>2.8138000000000001</v>
      </c>
      <c r="K62">
        <v>40</v>
      </c>
      <c r="T62" t="s">
        <v>69</v>
      </c>
      <c r="U62" t="s">
        <v>18</v>
      </c>
      <c r="V62" t="s">
        <v>78</v>
      </c>
      <c r="W62" t="s">
        <v>71</v>
      </c>
      <c r="X62" t="s">
        <v>72</v>
      </c>
      <c r="Y62" t="s">
        <v>73</v>
      </c>
      <c r="Z62" t="s">
        <v>77</v>
      </c>
    </row>
    <row r="63" spans="2:26" x14ac:dyDescent="0.25">
      <c r="B63" t="s">
        <v>174</v>
      </c>
      <c r="C63" t="s">
        <v>13</v>
      </c>
      <c r="D63" t="s">
        <v>14</v>
      </c>
      <c r="E63">
        <v>2015</v>
      </c>
      <c r="F63">
        <v>1.6999999999999999E-3</v>
      </c>
      <c r="G63">
        <v>0.28999999999999998</v>
      </c>
      <c r="H63" s="2">
        <f>O48</f>
        <v>4516.7133000000003</v>
      </c>
      <c r="I63" s="3">
        <f>($N$48/100)*H63</f>
        <v>162.96753257730003</v>
      </c>
      <c r="J63">
        <f>$Q$48</f>
        <v>2.8138000000000001</v>
      </c>
      <c r="K63">
        <v>40</v>
      </c>
    </row>
    <row r="64" spans="2:26" x14ac:dyDescent="0.25">
      <c r="B64" t="s">
        <v>176</v>
      </c>
      <c r="C64" t="s">
        <v>16</v>
      </c>
      <c r="D64" t="s">
        <v>14</v>
      </c>
      <c r="E64">
        <v>2009</v>
      </c>
      <c r="F64">
        <v>1.8E-3</v>
      </c>
      <c r="G64">
        <f>P45</f>
        <v>0.56000000000000005</v>
      </c>
      <c r="H64" s="2">
        <f>O45</f>
        <v>1175.5066999999999</v>
      </c>
      <c r="I64" s="3">
        <f t="shared" ref="I59:I71" si="8">($N$45/100)*H64</f>
        <v>39.138495576499992</v>
      </c>
      <c r="J64">
        <f>$Q$45</f>
        <v>5.8775000000000004</v>
      </c>
      <c r="K64">
        <v>40</v>
      </c>
    </row>
    <row r="65" spans="2:26" x14ac:dyDescent="0.25">
      <c r="B65" t="s">
        <v>178</v>
      </c>
      <c r="C65" t="s">
        <v>16</v>
      </c>
      <c r="D65" t="s">
        <v>14</v>
      </c>
      <c r="E65">
        <v>2015</v>
      </c>
      <c r="F65">
        <v>1.8E-3</v>
      </c>
      <c r="G65">
        <f>P45</f>
        <v>0.56000000000000005</v>
      </c>
      <c r="H65" s="2">
        <f>O45</f>
        <v>1175.5066999999999</v>
      </c>
      <c r="I65" s="3">
        <f t="shared" si="8"/>
        <v>39.138495576499992</v>
      </c>
      <c r="J65">
        <f>$Q$45</f>
        <v>5.8775000000000004</v>
      </c>
      <c r="K65">
        <v>40</v>
      </c>
    </row>
    <row r="66" spans="2:26" x14ac:dyDescent="0.25">
      <c r="B66" t="s">
        <v>180</v>
      </c>
      <c r="C66" t="s">
        <v>13</v>
      </c>
      <c r="D66" t="s">
        <v>14</v>
      </c>
      <c r="E66">
        <v>2022</v>
      </c>
      <c r="F66">
        <v>1.5E-3</v>
      </c>
      <c r="G66">
        <v>0.28999999999999998</v>
      </c>
      <c r="H66" s="2">
        <f>O48</f>
        <v>4516.7133000000003</v>
      </c>
      <c r="I66" s="3">
        <f>($N$48/100)*H66</f>
        <v>162.96753257730003</v>
      </c>
      <c r="J66">
        <f>$Q$48</f>
        <v>2.8138000000000001</v>
      </c>
      <c r="K66">
        <v>40</v>
      </c>
    </row>
    <row r="67" spans="2:26" x14ac:dyDescent="0.25">
      <c r="B67" t="s">
        <v>182</v>
      </c>
      <c r="C67" t="s">
        <v>13</v>
      </c>
      <c r="D67" t="s">
        <v>14</v>
      </c>
      <c r="E67">
        <v>2013</v>
      </c>
      <c r="F67">
        <v>1.4E-3</v>
      </c>
      <c r="G67">
        <v>0.28999999999999998</v>
      </c>
      <c r="H67" s="2">
        <f>$O$48</f>
        <v>4516.7133000000003</v>
      </c>
      <c r="I67" s="3">
        <f t="shared" ref="I67:I71" si="9">($N$48/100)*H67</f>
        <v>162.96753257730003</v>
      </c>
      <c r="J67">
        <f t="shared" ref="J67:J71" si="10">$Q$48</f>
        <v>2.8138000000000001</v>
      </c>
      <c r="K67">
        <v>40</v>
      </c>
    </row>
    <row r="68" spans="2:26" x14ac:dyDescent="0.25">
      <c r="B68" t="s">
        <v>184</v>
      </c>
      <c r="C68" t="s">
        <v>13</v>
      </c>
      <c r="D68" t="s">
        <v>14</v>
      </c>
      <c r="E68">
        <v>2016</v>
      </c>
      <c r="F68">
        <v>1.1999999999999999E-3</v>
      </c>
      <c r="G68">
        <v>0.28999999999999998</v>
      </c>
      <c r="H68" s="2">
        <f>$O$48</f>
        <v>4516.7133000000003</v>
      </c>
      <c r="I68" s="3">
        <f t="shared" si="9"/>
        <v>162.96753257730003</v>
      </c>
      <c r="J68">
        <f t="shared" si="10"/>
        <v>2.8138000000000001</v>
      </c>
      <c r="K68">
        <v>40</v>
      </c>
      <c r="U68" t="s">
        <v>207</v>
      </c>
    </row>
    <row r="69" spans="2:26" x14ac:dyDescent="0.25">
      <c r="B69" t="s">
        <v>186</v>
      </c>
      <c r="C69" t="s">
        <v>13</v>
      </c>
      <c r="D69" t="s">
        <v>14</v>
      </c>
      <c r="E69">
        <v>2009</v>
      </c>
      <c r="F69">
        <v>1.9E-3</v>
      </c>
      <c r="G69">
        <v>0.28999999999999998</v>
      </c>
      <c r="H69" s="2">
        <f>O48</f>
        <v>4516.7133000000003</v>
      </c>
      <c r="I69" s="3">
        <f t="shared" si="9"/>
        <v>162.96753257730003</v>
      </c>
      <c r="J69">
        <f t="shared" si="10"/>
        <v>2.8138000000000001</v>
      </c>
      <c r="K69">
        <v>40</v>
      </c>
    </row>
    <row r="70" spans="2:26" x14ac:dyDescent="0.25">
      <c r="B70" t="s">
        <v>187</v>
      </c>
      <c r="C70" t="s">
        <v>13</v>
      </c>
      <c r="D70" t="s">
        <v>14</v>
      </c>
      <c r="E70">
        <v>2012</v>
      </c>
      <c r="F70">
        <v>8.9999999999999998E-4</v>
      </c>
      <c r="G70">
        <v>0.28999999999999998</v>
      </c>
      <c r="H70" s="2">
        <f>O48</f>
        <v>4516.7133000000003</v>
      </c>
      <c r="I70" s="3">
        <f t="shared" si="9"/>
        <v>162.96753257730003</v>
      </c>
      <c r="J70">
        <f t="shared" si="10"/>
        <v>2.8138000000000001</v>
      </c>
      <c r="K70">
        <v>40</v>
      </c>
    </row>
    <row r="71" spans="2:26" x14ac:dyDescent="0.25">
      <c r="B71" t="s">
        <v>190</v>
      </c>
      <c r="C71" t="s">
        <v>13</v>
      </c>
      <c r="D71" t="s">
        <v>14</v>
      </c>
      <c r="E71">
        <v>2015</v>
      </c>
      <c r="F71">
        <v>5.0000000000000001E-4</v>
      </c>
      <c r="G71">
        <v>0.28999999999999998</v>
      </c>
      <c r="H71" s="2">
        <f>O48</f>
        <v>4516.7133000000003</v>
      </c>
      <c r="I71" s="3">
        <f t="shared" si="9"/>
        <v>162.96753257730003</v>
      </c>
      <c r="J71">
        <f t="shared" si="10"/>
        <v>2.8138000000000001</v>
      </c>
      <c r="K71">
        <v>40</v>
      </c>
    </row>
    <row r="72" spans="2:26" x14ac:dyDescent="0.25">
      <c r="B72" t="s">
        <v>18</v>
      </c>
      <c r="C72" t="s">
        <v>19</v>
      </c>
      <c r="D72" t="s">
        <v>14</v>
      </c>
      <c r="E72">
        <v>2022</v>
      </c>
      <c r="F72">
        <v>8.0000000000000002E-3</v>
      </c>
      <c r="G72">
        <v>0.33123000000000002</v>
      </c>
    </row>
    <row r="76" spans="2:26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</row>
    <row r="77" spans="2:26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T77" t="s">
        <v>69</v>
      </c>
      <c r="U77" t="s">
        <v>20</v>
      </c>
      <c r="V77" t="s">
        <v>79</v>
      </c>
      <c r="W77" t="s">
        <v>71</v>
      </c>
      <c r="X77" t="s">
        <v>72</v>
      </c>
      <c r="Y77" t="s">
        <v>73</v>
      </c>
      <c r="Z77" t="s">
        <v>77</v>
      </c>
    </row>
    <row r="78" spans="2:26" x14ac:dyDescent="0.25">
      <c r="T78" t="s">
        <v>69</v>
      </c>
      <c r="U78" t="s">
        <v>15</v>
      </c>
      <c r="V78" t="s">
        <v>75</v>
      </c>
      <c r="W78" t="s">
        <v>71</v>
      </c>
      <c r="X78" t="s">
        <v>72</v>
      </c>
      <c r="Y78" t="s">
        <v>73</v>
      </c>
      <c r="Z78" t="s">
        <v>74</v>
      </c>
    </row>
    <row r="79" spans="2:26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</row>
    <row r="80" spans="2:26" x14ac:dyDescent="0.25">
      <c r="T80" t="s">
        <v>69</v>
      </c>
      <c r="U80" t="s">
        <v>12</v>
      </c>
      <c r="V80" t="s">
        <v>70</v>
      </c>
      <c r="W80" t="s">
        <v>71</v>
      </c>
      <c r="X80" t="s">
        <v>72</v>
      </c>
      <c r="Y80" t="s">
        <v>73</v>
      </c>
      <c r="Z80" t="s">
        <v>74</v>
      </c>
    </row>
    <row r="90" spans="16:16" x14ac:dyDescent="0.25">
      <c r="P90" t="s">
        <v>208</v>
      </c>
    </row>
  </sheetData>
  <pageMargins left="0.7" right="0.7" top="0.75" bottom="0.75" header="0.3" footer="0.3"/>
  <pageSetup paperSize="9" orientation="portrait" r:id="rId1"/>
  <ignoredErrors>
    <ignoredError sqref="I58 I60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2026-03-06T12:09:26Z</dcterms:modified>
</cp:coreProperties>
</file>