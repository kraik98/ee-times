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"/>
    </mc:Choice>
  </mc:AlternateContent>
  <xr:revisionPtr revIDLastSave="0" documentId="13_ncr:1_{B74A987E-9E0B-4551-9B53-262E94BE8FFA}" xr6:coauthVersionLast="47" xr6:coauthVersionMax="47" xr10:uidLastSave="{00000000-0000-0000-0000-000000000000}"/>
  <bookViews>
    <workbookView xWindow="-110" yWindow="-110" windowWidth="19420" windowHeight="11500" activeTab="1" xr2:uid="{21C51102-B905-44E2-89DF-C1A7E31F8D9F}"/>
  </bookViews>
  <sheets>
    <sheet name="ccs_retrofits" sheetId="4" r:id="rId1"/>
    <sheet name="new_options" sheetId="3" r:id="rId2"/>
    <sheet name="existing_stock" sheetId="2" r:id="rId3"/>
    <sheet name="Sheet1" sheetId="1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7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tc={45C46737-1944-45AD-99CE-B8535D314683}</author>
    <author>tc={E4726566-8322-459A-B187-5632353FCAD0}</author>
  </authors>
  <commentList>
    <comment ref="B30" authorId="0" shapeId="0" xr:uid="{45C46737-1944-45AD-99CE-B8535D314683}">
      <text>
        <t>[Threaded comment]
Your version of Excel allows you to read this threaded comment; however, any edits to it will get removed if the file is opened in a newer version of Excel. Learn more: https://go.microsoft.com/fwlink/?linkid=870924
Comment:
    Testing_FERMI's idea</t>
      </text>
    </comment>
    <comment ref="O30" authorId="1" shapeId="0" xr:uid="{E4726566-8322-459A-B187-5632353FCAD0}">
      <text>
        <t>[Threaded comment]
Your version of Excel allows you to read this threaded comment; however, any edits to it will get removed if the file is opened in a newer version of Excel. Learn more: https://go.microsoft.com/fwlink/?linkid=870924
Comment:
    Testing_FERMI's idea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tc={E45DD652-654C-4828-8A13-679EDDC53E65}</author>
    <author>tc={5D0B02A9-24B3-4F36-8683-2AD26D1E0821}</author>
    <author>tc={06D70610-96F7-4BDA-B071-69925D70228B}</author>
    <author>tc={A1B9CC12-DC46-488C-9BF3-3F8DFC23199D}</author>
    <author>tc={4E0E017D-BAC7-4AA8-B401-A7330F2C0996}</author>
    <author>tc={1905391B-2A5F-4643-B2AC-720AD8410CDA}</author>
    <author>tc={3057E3B1-7BF3-4718-B31B-0585028D4313}</author>
  </authors>
  <commentList>
    <comment ref="F11" authorId="0" shapeId="0" xr:uid="{E45DD652-654C-4828-8A13-679EDDC53E65}">
      <text>
        <t>[Threaded comment]
Your version of Excel allows you to read this threaded comment; however, any edits to it will get removed if the file is opened in a newer version of Excel. Learn more: https://go.microsoft.com/fwlink/?linkid=870924
Comment:
    Iru produces only 17 MW in 2025 not 0.207 GW</t>
      </text>
    </comment>
    <comment ref="B45" authorId="1" shapeId="0" xr:uid="{5D0B02A9-24B3-4F36-8683-2AD26D1E0821}">
      <text>
        <t>[Threaded comment]
Your version of Excel allows you to read this threaded comment; however, any edits to it will get removed if the file is opened in a newer version of Excel. Learn more: https://go.microsoft.com/fwlink/?linkid=870924
Comment:
    TODO: set their actual start date and then add how much they produce in 2025</t>
      </text>
    </comment>
    <comment ref="G46" authorId="2" shapeId="0" xr:uid="{06D70610-96F7-4BDA-B071-69925D70228B}">
      <text>
        <t>[Threaded comment]
Your version of Excel allows you to read this threaded comment; however, any edits to it will get removed if the file is opened in a newer version of Excel. Learn more: https://go.microsoft.com/fwlink/?linkid=870924
Comment:
    Danish Energy agency - coal CHP 2020</t>
      </text>
    </comment>
    <comment ref="G49" authorId="3" shapeId="0" xr:uid="{A1B9CC12-DC46-488C-9BF3-3F8DFC23199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DAE - gas engines 2020
</t>
      </text>
    </comment>
    <comment ref="G50" authorId="4" shapeId="0" xr:uid="{4E0E017D-BAC7-4AA8-B401-A7330F2C0996}">
      <text>
        <t>[Threaded comment]
Your version of Excel allows you to read this threaded comment; however, any edits to it will get removed if the file is opened in a newer version of Excel. Learn more: https://go.microsoft.com/fwlink/?linkid=870924
Comment:
    DAE - Wood pellets, Medium 2020</t>
      </text>
    </comment>
    <comment ref="O77" authorId="5" shapeId="0" xr:uid="{1905391B-2A5F-4643-B2AC-720AD8410CDA}">
      <text>
        <t>[Threaded comment]
Your version of Excel allows you to read this threaded comment; however, any edits to it will get removed if the file is opened in a newer version of Excel. Learn more: https://go.microsoft.com/fwlink/?linkid=870924
Comment:
    Frequency reserve</t>
      </text>
    </comment>
    <comment ref="J80" authorId="6" shapeId="0" xr:uid="{3057E3B1-7BF3-4718-B31B-0585028D4313}">
      <text>
        <t>[Threaded comment]
Your version of Excel allows you to read this threaded comment; however, any edits to it will get removed if the file is opened in a newer version of Excel. Learn more: https://go.microsoft.com/fwlink/?linkid=870924
Comment:
    From 9,24 to 6</t>
      </text>
    </comment>
  </commentList>
</comments>
</file>

<file path=xl/sharedStrings.xml><?xml version="1.0" encoding="utf-8"?>
<sst xmlns="http://schemas.openxmlformats.org/spreadsheetml/2006/main" count="880" uniqueCount="204">
  <si>
    <t>~fi_t</t>
  </si>
  <si>
    <t>process</t>
  </si>
  <si>
    <t>comm-in</t>
  </si>
  <si>
    <t>comm-out</t>
  </si>
  <si>
    <t>year</t>
  </si>
  <si>
    <t>ncap_pasti</t>
  </si>
  <si>
    <t>efficiency</t>
  </si>
  <si>
    <t>ncap_cost</t>
  </si>
  <si>
    <t>ncap_fom</t>
  </si>
  <si>
    <t>act_cost</t>
  </si>
  <si>
    <t>ncap_tlife</t>
  </si>
  <si>
    <t>ncap_af~fx</t>
  </si>
  <si>
    <t>ep_bioenergy__ember</t>
  </si>
  <si>
    <t>bioenergy</t>
  </si>
  <si>
    <t>ELC</t>
  </si>
  <si>
    <t>ep_gas__ember</t>
  </si>
  <si>
    <t>gas</t>
  </si>
  <si>
    <t>ep_gas_combined_cycle_G100000400075</t>
  </si>
  <si>
    <t>ep_hydro__irena</t>
  </si>
  <si>
    <t>hydro</t>
  </si>
  <si>
    <t>ep_oil_internal_combustion_G100000412942</t>
  </si>
  <si>
    <t>oil</t>
  </si>
  <si>
    <t>ep_solar_001__irena</t>
  </si>
  <si>
    <t>solar</t>
  </si>
  <si>
    <t>elc_spv_001</t>
  </si>
  <si>
    <t>ep_solar_004__irena</t>
  </si>
  <si>
    <t>elc_spv_004</t>
  </si>
  <si>
    <t>ep_solar_008__irena</t>
  </si>
  <si>
    <t>elc_spv_008</t>
  </si>
  <si>
    <t>ep_solar_pv_001</t>
  </si>
  <si>
    <t>ep_solar_pv_002</t>
  </si>
  <si>
    <t>elc_spv_002</t>
  </si>
  <si>
    <t>ep_solar_pv_003</t>
  </si>
  <si>
    <t>elc_spv_003</t>
  </si>
  <si>
    <t>ep_solar_pv_004</t>
  </si>
  <si>
    <t>ep_solar_pv_006</t>
  </si>
  <si>
    <t>elc_spv_006</t>
  </si>
  <si>
    <t>ep_solar_pv_007</t>
  </si>
  <si>
    <t>elc_spv_007</t>
  </si>
  <si>
    <t>ep_solar_pv_008</t>
  </si>
  <si>
    <t>ep_solar_pv_009</t>
  </si>
  <si>
    <t>elc_spv_009</t>
  </si>
  <si>
    <t>ep_solar_pv_010</t>
  </si>
  <si>
    <t>elc_spv_010</t>
  </si>
  <si>
    <t>ep_windon_006__irena</t>
  </si>
  <si>
    <t>windon</t>
  </si>
  <si>
    <t>elc_won_006</t>
  </si>
  <si>
    <t>ep_windon_009__irena</t>
  </si>
  <si>
    <t>elc_won_009</t>
  </si>
  <si>
    <t>ep_windon_010__irena</t>
  </si>
  <si>
    <t>elc_won_010</t>
  </si>
  <si>
    <t>ep_windon_wind_001</t>
  </si>
  <si>
    <t>elc_won_001</t>
  </si>
  <si>
    <t>ep_windon_wind_003</t>
  </si>
  <si>
    <t>elc_won_003</t>
  </si>
  <si>
    <t>ep_windon_wind_005</t>
  </si>
  <si>
    <t>elc_won_005</t>
  </si>
  <si>
    <t>ep_windon_wind_007</t>
  </si>
  <si>
    <t>elc_won_007</t>
  </si>
  <si>
    <t>ep_windon_wind_008</t>
  </si>
  <si>
    <t>elc_won_008</t>
  </si>
  <si>
    <t>ep_windon_wind_G100000923898</t>
  </si>
  <si>
    <t>~fi_process</t>
  </si>
  <si>
    <t>set</t>
  </si>
  <si>
    <t>description</t>
  </si>
  <si>
    <t>capacity_unit</t>
  </si>
  <si>
    <t>activity_unit</t>
  </si>
  <si>
    <t>timeslicelevel</t>
  </si>
  <si>
    <t>vintage</t>
  </si>
  <si>
    <t>ele</t>
  </si>
  <si>
    <t>Aggregated Plant - EMBER Gap_Missing Bioenergy Capacity -- operating</t>
  </si>
  <si>
    <t>GW</t>
  </si>
  <si>
    <t>TWh</t>
  </si>
  <si>
    <t>daynite</t>
  </si>
  <si>
    <t>yes</t>
  </si>
  <si>
    <t>Aggregated Plant - EMBER Gap_Missing Gas Capacity -- operating</t>
  </si>
  <si>
    <t>IRU Elektrijaam power station_1 -- operating</t>
  </si>
  <si>
    <t>no</t>
  </si>
  <si>
    <t>Aggregated Plant -- operating</t>
  </si>
  <si>
    <t>Kiisa ERPP power station_1 &amp; 2 -- operating</t>
  </si>
  <si>
    <t>annual</t>
  </si>
  <si>
    <t>Sopi-Tootsi wind farm_-- -- operating</t>
  </si>
  <si>
    <t>START</t>
  </si>
  <si>
    <t>cap_bnd</t>
  </si>
  <si>
    <t>en_a_gas_combined_cycle_G100001030961</t>
  </si>
  <si>
    <t>en_a_gas_combined_cycle_G100001030965</t>
  </si>
  <si>
    <t>en_a_windoff_wind_008</t>
  </si>
  <si>
    <t>windoff</t>
  </si>
  <si>
    <t>elc_wof_008</t>
  </si>
  <si>
    <t>en_a_windoff_wind_G100001001627</t>
  </si>
  <si>
    <t>elc_wof_005</t>
  </si>
  <si>
    <t>en_a_windoff_wind_G100001003651</t>
  </si>
  <si>
    <t>elc_wof_010</t>
  </si>
  <si>
    <t>en_a_windoff_wind_G100001003659</t>
  </si>
  <si>
    <t>en_a_windoff_wind_G100001003671</t>
  </si>
  <si>
    <t>en_a_windoff_wind_G100001003685</t>
  </si>
  <si>
    <t>en_a_windoff_wind_G100001003687</t>
  </si>
  <si>
    <t>en_pc_hydro_ps_G100000601590</t>
  </si>
  <si>
    <t>en_pc_hydro_ps_G100000604979</t>
  </si>
  <si>
    <t>en_pc_solar_pv_004</t>
  </si>
  <si>
    <t>en_pc_windoff_wind_G100000920044</t>
  </si>
  <si>
    <t>en_pc_windoff_wind_G100000920096</t>
  </si>
  <si>
    <t>elc_wof_006</t>
  </si>
  <si>
    <t>en_pc_windoff_wind_G100000920105</t>
  </si>
  <si>
    <t>elc_wof_009</t>
  </si>
  <si>
    <t>en_pc_windoff_wind_G100000920108</t>
  </si>
  <si>
    <t>en_pc_windoff_wind_G100000923894</t>
  </si>
  <si>
    <t>en_pc_windoff_wind_G100000925123</t>
  </si>
  <si>
    <t>Narva peaking power plant_1 -- announced</t>
  </si>
  <si>
    <t>Iru peaking power plant_1 -- announced</t>
  </si>
  <si>
    <t>Aggregated Plant -- announced</t>
  </si>
  <si>
    <t>Respect Energy wind farm_-- -- announced</t>
  </si>
  <si>
    <t>Liivi 2 wind farm_-- -- announced</t>
  </si>
  <si>
    <t>Liivi 1 wind farm_-- -- announced</t>
  </si>
  <si>
    <t>Saare 1 wind farm_-- -- announced</t>
  </si>
  <si>
    <t>Saare 2.1 wind farm_-- -- announced</t>
  </si>
  <si>
    <t>Saare 2.2 wind farm_-- -- announced</t>
  </si>
  <si>
    <t>STG</t>
  </si>
  <si>
    <t>Ida-Virumaa hydroelectric plant_ -- pre-construction</t>
  </si>
  <si>
    <t>Zero Terrain hydroelectric plant_ -- pre-construction</t>
  </si>
  <si>
    <t>Aggregated Plant -- pre-construction</t>
  </si>
  <si>
    <t>Saare wind farm_-- -- pre-construction</t>
  </si>
  <si>
    <t>Hiiumaa Offshore wind farm_-- -- pre-construction</t>
  </si>
  <si>
    <t>Elwind wind farm_1 -- pre-construction</t>
  </si>
  <si>
    <t>Gulf Of Riga wind farm_-- -- pre-construction</t>
  </si>
  <si>
    <t>Saare Liivi wind farm_1 -- pre-construction</t>
  </si>
  <si>
    <t>Elwind wind farm_2 -- pre-construction</t>
  </si>
  <si>
    <t>AF</t>
  </si>
  <si>
    <t>other_indexes</t>
  </si>
  <si>
    <t>prc_refit</t>
  </si>
  <si>
    <t>en_a_gas_combined_cycle_G100001030961_ccs-rf</t>
  </si>
  <si>
    <t>en_a_gas_combined_cycle_G100001030965_ccs-rf</t>
  </si>
  <si>
    <t>ep_gas__ember_ccs-rf</t>
  </si>
  <si>
    <t>ep_gas_combined_cycle_G100000400075_ccs-rf</t>
  </si>
  <si>
    <t>ep_oil_internal_combustion_G100000412942_ccs-rf</t>
  </si>
  <si>
    <t>ccs retrofit of -- Narva peaking power plant_1 -- announced</t>
  </si>
  <si>
    <t>ccs retrofit of -- Iru peaking power plant_1 -- announced</t>
  </si>
  <si>
    <t>ccs retrofit of -- Aggregated Plant - EMBER Gap_Missing Gas Capacity -- operating</t>
  </si>
  <si>
    <t>ccs retrofit of -- IRU Elektrijaam power station_1 -- operating</t>
  </si>
  <si>
    <t>ccs retrofit of -- Kiisa ERPP power station_1 &amp; 2 -- operating</t>
  </si>
  <si>
    <t>*</t>
  </si>
  <si>
    <t>Additions by Kristopher</t>
  </si>
  <si>
    <t>ep_gas_combined_cycle_pohja</t>
  </si>
  <si>
    <t>ep_bioenergy_tlnutilitas</t>
  </si>
  <si>
    <t>ep_bioenergy_tartu</t>
  </si>
  <si>
    <t>ep_bioenergy_parnu</t>
  </si>
  <si>
    <t>ep_bioenergy_horizon</t>
  </si>
  <si>
    <t>Horizon Tselluloosi ja paberi AS</t>
  </si>
  <si>
    <t>Balti PP</t>
  </si>
  <si>
    <t>Enefit PP</t>
  </si>
  <si>
    <t>Eesti PP</t>
  </si>
  <si>
    <t>Utilitas Tallinna PP</t>
  </si>
  <si>
    <t>Tartu PP</t>
  </si>
  <si>
    <t>Parnu PP</t>
  </si>
  <si>
    <t>ep_bioenergy_imavere</t>
  </si>
  <si>
    <t>Imavere CHP</t>
  </si>
  <si>
    <t>ep_bioenergy_osula</t>
  </si>
  <si>
    <t>Osula CHP</t>
  </si>
  <si>
    <t>ep_bioenergy_sillamae1</t>
  </si>
  <si>
    <t>Sillamae 1 CHP</t>
  </si>
  <si>
    <t>Sillamae 2 CHP</t>
  </si>
  <si>
    <t>Pohja TPP</t>
  </si>
  <si>
    <t>Sillamae TPP</t>
  </si>
  <si>
    <t>Auvere PP</t>
  </si>
  <si>
    <t>ep_bioenergy_helme</t>
  </si>
  <si>
    <t>Helme CHP</t>
  </si>
  <si>
    <t>Grune Fee Eesti AS</t>
  </si>
  <si>
    <t>Kivioli Keemiatoostuse OU TPP</t>
  </si>
  <si>
    <t>ep_gas_gas_turbine_grune</t>
  </si>
  <si>
    <t>ep_gas_gas_turbine_sillamae2</t>
  </si>
  <si>
    <t>ep_bioenergy_mustamae</t>
  </si>
  <si>
    <t>Mustamae CHP</t>
  </si>
  <si>
    <t>ep_bioenergy_kuressaare</t>
  </si>
  <si>
    <t>Kuressare CHP</t>
  </si>
  <si>
    <t>ep_bioenergy_paide</t>
  </si>
  <si>
    <t>Paide CHP</t>
  </si>
  <si>
    <t>ep_gas_gas_turbine_jamejala</t>
  </si>
  <si>
    <t>Jamejala CHP</t>
  </si>
  <si>
    <t>ep_gas_gas_turbine_pussi</t>
  </si>
  <si>
    <t>Pussi CHP</t>
  </si>
  <si>
    <t>ep_bioenergy_ilmatsalu</t>
  </si>
  <si>
    <t>Ilmatsalu CHP</t>
  </si>
  <si>
    <t>ep_bioenergy_vinni</t>
  </si>
  <si>
    <t>Vinni CHP</t>
  </si>
  <si>
    <t>ep_bioenergy_oisu</t>
  </si>
  <si>
    <t>Oisu CHP</t>
  </si>
  <si>
    <t>ep_bioenergy_tlnprugilagaas</t>
  </si>
  <si>
    <t>ep_bioenergy_rakverepaikese</t>
  </si>
  <si>
    <t>Tallinna Prugilagaas OU CHP</t>
  </si>
  <si>
    <t>Rakvere Paikese CHP</t>
  </si>
  <si>
    <t>ep_bioenergy_tartuaardlapalu</t>
  </si>
  <si>
    <t>Tartu Aardlapalu CHP</t>
  </si>
  <si>
    <t>coal</t>
  </si>
  <si>
    <t>ep_coal_cfb_balti</t>
  </si>
  <si>
    <t>ep_coal_cfb_auvere</t>
  </si>
  <si>
    <t>ep_coal_cfb_enefit</t>
  </si>
  <si>
    <t>ep_coal_cfb_eesti</t>
  </si>
  <si>
    <t>ep_coal_cfb_sillamae</t>
  </si>
  <si>
    <t>ep_coal_cfb_kivioli</t>
  </si>
  <si>
    <t>en_a_coal_cfb_G100001030965</t>
  </si>
  <si>
    <t>en_a_coal_cfb_G100001030961</t>
  </si>
  <si>
    <t>en_a_nuclear_smr</t>
  </si>
  <si>
    <t>nuclear</t>
  </si>
  <si>
    <t>Fermi's small nuclear reactor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</si>
</sst>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" fontId="0" fillId="0" borderId="0" xfId="0" applyNumberFormat="1"/>
    <xf numFmtId="164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9CD26280-DD25-46DF-A708-6877D8A68AD8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30" dT="2026-01-28T14:50:45.09" personId="{9CD26280-DD25-46DF-A708-6877D8A68AD8}" id="{45C46737-1944-45AD-99CE-B8535D314683}">
    <text>Testing_FERMI's idea</text>
  </threadedComment>
  <threadedComment ref="O30" dT="2026-01-28T14:50:45.09" personId="{9CD26280-DD25-46DF-A708-6877D8A68AD8}" id="{E4726566-8322-459A-B187-5632353FCAD0}">
    <text>Testing_FERMI's idea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F11" dT="2026-01-22T14:00:05.64" personId="{9CD26280-DD25-46DF-A708-6877D8A68AD8}" id="{E45DD652-654C-4828-8A13-679EDDC53E65}">
    <text>Iru produces only 17 MW in 2025 not 0.207 GW</text>
  </threadedComment>
  <threadedComment ref="B45" dT="2026-02-02T06:49:06.81" personId="{9CD26280-DD25-46DF-A708-6877D8A68AD8}" id="{5D0B02A9-24B3-4F36-8683-2AD26D1E0821}">
    <text>TODO: set their actual start date and then add how much they produce in 2025</text>
  </threadedComment>
  <threadedComment ref="G46" dT="2026-01-28T09:05:36.66" personId="{9CD26280-DD25-46DF-A708-6877D8A68AD8}" id="{06D70610-96F7-4BDA-B071-69925D70228B}">
    <text>Danish Energy agency - coal CHP 2020</text>
  </threadedComment>
  <threadedComment ref="G49" dT="2026-01-28T11:16:21.05" personId="{9CD26280-DD25-46DF-A708-6877D8A68AD8}" id="{A1B9CC12-DC46-488C-9BF3-3F8DFC23199D}">
    <text xml:space="preserve">DAE - gas engines 2020
</text>
  </threadedComment>
  <threadedComment ref="G50" dT="2026-01-28T11:17:46.06" personId="{9CD26280-DD25-46DF-A708-6877D8A68AD8}" id="{4E0E017D-BAC7-4AA8-B401-A7330F2C0996}">
    <text>DAE - Wood pellets, Medium 2020</text>
  </threadedComment>
  <threadedComment ref="O77" dT="2026-01-28T08:41:02.80" personId="{9CD26280-DD25-46DF-A708-6877D8A68AD8}" id="{1905391B-2A5F-4643-B2AC-720AD8410CDA}">
    <text>Frequency reserve</text>
  </threadedComment>
  <threadedComment ref="J80" dT="2026-01-27T14:26:51.36" personId="{9CD26280-DD25-46DF-A708-6877D8A68AD8}" id="{3057E3B1-7BF3-4718-B31B-0585028D4313}">
    <text>From 9,24 to 6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47CB67-FC18-43CA-8AA0-0CA09A11D4D8}">
  <dimension ref="B9:T17"/>
  <sheetViews>
    <sheetView workbookViewId="0">
      <selection activeCell="P19" sqref="P19"/>
    </sheetView>
  </sheetViews>
  <sheetFormatPr defaultRowHeight="14.5" x14ac:dyDescent="0.35"/>
  <cols>
    <col min="2" max="2" width="46.7265625" bestFit="1" customWidth="1"/>
    <col min="10" max="10" width="40.54296875" bestFit="1" customWidth="1"/>
    <col min="16" max="16" width="73.26953125" bestFit="1" customWidth="1"/>
  </cols>
  <sheetData>
    <row r="9" spans="2:20" x14ac:dyDescent="0.35">
      <c r="B9" t="s">
        <v>0</v>
      </c>
      <c r="N9" t="s">
        <v>62</v>
      </c>
    </row>
    <row r="10" spans="2:20" x14ac:dyDescent="0.35">
      <c r="B10" t="s">
        <v>1</v>
      </c>
      <c r="C10" t="s">
        <v>2</v>
      </c>
      <c r="D10" t="s">
        <v>3</v>
      </c>
      <c r="E10" t="s">
        <v>6</v>
      </c>
      <c r="F10" t="s">
        <v>7</v>
      </c>
      <c r="G10" t="s">
        <v>8</v>
      </c>
      <c r="H10" t="s">
        <v>9</v>
      </c>
      <c r="I10" t="s">
        <v>127</v>
      </c>
      <c r="J10" t="s">
        <v>128</v>
      </c>
      <c r="K10" t="s">
        <v>129</v>
      </c>
      <c r="L10" t="s">
        <v>10</v>
      </c>
      <c r="N10" t="s">
        <v>63</v>
      </c>
      <c r="O10" t="s">
        <v>1</v>
      </c>
      <c r="P10" t="s">
        <v>64</v>
      </c>
      <c r="Q10" t="s">
        <v>65</v>
      </c>
      <c r="R10" t="s">
        <v>66</v>
      </c>
      <c r="S10" t="s">
        <v>67</v>
      </c>
      <c r="T10" t="s">
        <v>68</v>
      </c>
    </row>
    <row r="13" spans="2:20" x14ac:dyDescent="0.35">
      <c r="B13" t="s">
        <v>130</v>
      </c>
      <c r="C13" t="s">
        <v>16</v>
      </c>
      <c r="D13" t="s">
        <v>14</v>
      </c>
      <c r="E13">
        <v>0.52272499999999988</v>
      </c>
      <c r="F13">
        <v>1365</v>
      </c>
      <c r="G13">
        <v>34.200000000000003</v>
      </c>
      <c r="H13">
        <v>3.75</v>
      </c>
      <c r="I13">
        <v>0.84455000000000002</v>
      </c>
      <c r="J13" t="s">
        <v>84</v>
      </c>
      <c r="K13">
        <v>1</v>
      </c>
      <c r="L13">
        <v>20</v>
      </c>
      <c r="N13" t="s">
        <v>69</v>
      </c>
      <c r="O13" t="s">
        <v>130</v>
      </c>
      <c r="P13" t="s">
        <v>135</v>
      </c>
      <c r="Q13" t="s">
        <v>71</v>
      </c>
      <c r="R13" t="s">
        <v>72</v>
      </c>
      <c r="S13" t="s">
        <v>73</v>
      </c>
      <c r="T13" t="s">
        <v>77</v>
      </c>
    </row>
    <row r="14" spans="2:20" x14ac:dyDescent="0.35">
      <c r="B14" t="s">
        <v>131</v>
      </c>
      <c r="C14" t="s">
        <v>16</v>
      </c>
      <c r="D14" t="s">
        <v>14</v>
      </c>
      <c r="E14">
        <v>0.52272499999999988</v>
      </c>
      <c r="F14">
        <v>1365</v>
      </c>
      <c r="G14">
        <v>34.200000000000003</v>
      </c>
      <c r="H14">
        <v>3.75</v>
      </c>
      <c r="I14">
        <v>0.84455000000000002</v>
      </c>
      <c r="J14" t="s">
        <v>85</v>
      </c>
      <c r="K14">
        <v>1</v>
      </c>
      <c r="L14">
        <v>20</v>
      </c>
      <c r="N14" t="s">
        <v>69</v>
      </c>
      <c r="O14" t="s">
        <v>131</v>
      </c>
      <c r="P14" t="s">
        <v>136</v>
      </c>
      <c r="Q14" t="s">
        <v>71</v>
      </c>
      <c r="R14" t="s">
        <v>72</v>
      </c>
      <c r="S14" t="s">
        <v>73</v>
      </c>
      <c r="T14" t="s">
        <v>77</v>
      </c>
    </row>
    <row r="15" spans="2:20" x14ac:dyDescent="0.35">
      <c r="B15" t="s">
        <v>132</v>
      </c>
      <c r="C15" t="s">
        <v>16</v>
      </c>
      <c r="D15" t="s">
        <v>14</v>
      </c>
      <c r="E15">
        <v>0.28982625000000001</v>
      </c>
      <c r="F15">
        <v>1365</v>
      </c>
      <c r="G15">
        <v>34.200000000000003</v>
      </c>
      <c r="H15">
        <v>3.75</v>
      </c>
      <c r="I15">
        <v>0.84455000000000002</v>
      </c>
      <c r="J15" t="s">
        <v>15</v>
      </c>
      <c r="K15">
        <v>1</v>
      </c>
      <c r="L15">
        <v>20</v>
      </c>
      <c r="N15" t="s">
        <v>69</v>
      </c>
      <c r="O15" t="s">
        <v>132</v>
      </c>
      <c r="P15" t="s">
        <v>137</v>
      </c>
      <c r="Q15" t="s">
        <v>71</v>
      </c>
      <c r="R15" t="s">
        <v>72</v>
      </c>
      <c r="S15" t="s">
        <v>73</v>
      </c>
      <c r="T15" t="s">
        <v>77</v>
      </c>
    </row>
    <row r="16" spans="2:20" x14ac:dyDescent="0.35">
      <c r="B16" t="s">
        <v>133</v>
      </c>
      <c r="C16" t="s">
        <v>16</v>
      </c>
      <c r="D16" t="s">
        <v>14</v>
      </c>
      <c r="E16">
        <v>0.38753750000000003</v>
      </c>
      <c r="F16">
        <v>1365</v>
      </c>
      <c r="G16">
        <v>34.200000000000003</v>
      </c>
      <c r="H16">
        <v>3.75</v>
      </c>
      <c r="I16">
        <v>0.84455000000000002</v>
      </c>
      <c r="J16" t="s">
        <v>17</v>
      </c>
      <c r="K16">
        <v>1</v>
      </c>
      <c r="L16">
        <v>20</v>
      </c>
      <c r="N16" t="s">
        <v>69</v>
      </c>
      <c r="O16" t="s">
        <v>133</v>
      </c>
      <c r="P16" t="s">
        <v>138</v>
      </c>
      <c r="Q16" t="s">
        <v>71</v>
      </c>
      <c r="R16" t="s">
        <v>72</v>
      </c>
      <c r="S16" t="s">
        <v>73</v>
      </c>
      <c r="T16" t="s">
        <v>77</v>
      </c>
    </row>
    <row r="17" spans="2:20" x14ac:dyDescent="0.35">
      <c r="B17" t="s">
        <v>134</v>
      </c>
      <c r="C17" t="s">
        <v>21</v>
      </c>
      <c r="D17" t="s">
        <v>14</v>
      </c>
      <c r="E17">
        <v>0.31543749999999998</v>
      </c>
      <c r="F17">
        <v>1365</v>
      </c>
      <c r="G17">
        <v>34.200000000000003</v>
      </c>
      <c r="H17">
        <v>3.75</v>
      </c>
      <c r="I17">
        <v>0.84455000000000002</v>
      </c>
      <c r="J17" t="s">
        <v>20</v>
      </c>
      <c r="K17">
        <v>1</v>
      </c>
      <c r="L17">
        <v>20</v>
      </c>
      <c r="N17" t="s">
        <v>69</v>
      </c>
      <c r="O17" t="s">
        <v>134</v>
      </c>
      <c r="P17" t="s">
        <v>139</v>
      </c>
      <c r="Q17" t="s">
        <v>71</v>
      </c>
      <c r="R17" t="s">
        <v>72</v>
      </c>
      <c r="S17" t="s">
        <v>73</v>
      </c>
      <c r="T17" t="s">
        <v>77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1A4FEF-80F2-457D-B441-6C3DD45005FF}">
  <dimension ref="B9:T30"/>
  <sheetViews>
    <sheetView tabSelected="1" topLeftCell="A6" workbookViewId="0">
      <selection activeCell="Q27" sqref="Q27"/>
    </sheetView>
  </sheetViews>
  <sheetFormatPr defaultRowHeight="14.5" x14ac:dyDescent="0.35"/>
  <cols>
    <col min="2" max="2" width="39.26953125" bestFit="1" customWidth="1"/>
    <col min="4" max="4" width="11.453125" bestFit="1" customWidth="1"/>
    <col min="15" max="15" width="39.26953125" bestFit="1" customWidth="1"/>
    <col min="16" max="16" width="48.1796875" bestFit="1" customWidth="1"/>
  </cols>
  <sheetData>
    <row r="9" spans="2:20" x14ac:dyDescent="0.35">
      <c r="B9" t="s">
        <v>0</v>
      </c>
      <c r="N9" t="s">
        <v>62</v>
      </c>
    </row>
    <row r="10" spans="2:20" x14ac:dyDescent="0.35">
      <c r="B10" t="s">
        <v>1</v>
      </c>
      <c r="C10" t="s">
        <v>2</v>
      </c>
      <c r="D10" t="s">
        <v>3</v>
      </c>
      <c r="E10" t="s">
        <v>82</v>
      </c>
      <c r="F10" t="s">
        <v>83</v>
      </c>
      <c r="G10" t="s">
        <v>6</v>
      </c>
      <c r="H10" t="s">
        <v>7</v>
      </c>
      <c r="I10" t="s">
        <v>8</v>
      </c>
      <c r="J10" t="s">
        <v>9</v>
      </c>
      <c r="K10" t="s">
        <v>10</v>
      </c>
      <c r="L10" t="s">
        <v>11</v>
      </c>
      <c r="N10" t="s">
        <v>63</v>
      </c>
      <c r="O10" t="s">
        <v>1</v>
      </c>
      <c r="P10" t="s">
        <v>64</v>
      </c>
      <c r="Q10" t="s">
        <v>65</v>
      </c>
      <c r="R10" t="s">
        <v>66</v>
      </c>
      <c r="S10" t="s">
        <v>67</v>
      </c>
      <c r="T10" t="s">
        <v>68</v>
      </c>
    </row>
    <row r="11" spans="2:20" x14ac:dyDescent="0.35">
      <c r="B11" t="s">
        <v>200</v>
      </c>
      <c r="C11" t="s">
        <v>192</v>
      </c>
      <c r="D11" t="s">
        <v>14</v>
      </c>
      <c r="E11">
        <v>2028</v>
      </c>
      <c r="F11">
        <v>0.1</v>
      </c>
      <c r="G11">
        <v>0.59739999999999993</v>
      </c>
      <c r="H11">
        <v>2150</v>
      </c>
      <c r="I11" s="3">
        <v>35.053609999999999</v>
      </c>
      <c r="J11">
        <v>3.28</v>
      </c>
      <c r="K11">
        <v>50</v>
      </c>
      <c r="N11" t="s">
        <v>69</v>
      </c>
      <c r="O11" t="s">
        <v>200</v>
      </c>
      <c r="P11" t="s">
        <v>108</v>
      </c>
      <c r="Q11" t="s">
        <v>71</v>
      </c>
      <c r="R11" t="s">
        <v>72</v>
      </c>
      <c r="S11" t="s">
        <v>73</v>
      </c>
      <c r="T11" t="s">
        <v>77</v>
      </c>
    </row>
    <row r="12" spans="2:20" x14ac:dyDescent="0.35">
      <c r="B12" t="s">
        <v>199</v>
      </c>
      <c r="C12" t="s">
        <v>192</v>
      </c>
      <c r="D12" t="s">
        <v>14</v>
      </c>
      <c r="E12">
        <v>2025</v>
      </c>
      <c r="F12">
        <v>0.2</v>
      </c>
      <c r="G12">
        <v>0.59739999999999993</v>
      </c>
      <c r="H12">
        <v>2150</v>
      </c>
      <c r="I12" s="3">
        <v>35.053609999999999</v>
      </c>
      <c r="J12">
        <v>3.28</v>
      </c>
      <c r="K12">
        <v>50</v>
      </c>
      <c r="N12" t="s">
        <v>69</v>
      </c>
      <c r="O12" t="s">
        <v>199</v>
      </c>
      <c r="P12" t="s">
        <v>109</v>
      </c>
      <c r="Q12" t="s">
        <v>71</v>
      </c>
      <c r="R12" t="s">
        <v>72</v>
      </c>
      <c r="S12" t="s">
        <v>73</v>
      </c>
      <c r="T12" t="s">
        <v>77</v>
      </c>
    </row>
    <row r="13" spans="2:20" x14ac:dyDescent="0.35">
      <c r="B13" t="s">
        <v>86</v>
      </c>
      <c r="C13" t="s">
        <v>87</v>
      </c>
      <c r="D13" t="s">
        <v>88</v>
      </c>
      <c r="E13">
        <v>2025</v>
      </c>
      <c r="F13">
        <v>0.14899999999999999</v>
      </c>
      <c r="G13">
        <v>1</v>
      </c>
      <c r="H13">
        <v>5060</v>
      </c>
      <c r="I13">
        <v>121.00000000000003</v>
      </c>
      <c r="J13">
        <v>3.4650000000000007</v>
      </c>
      <c r="K13">
        <v>30</v>
      </c>
      <c r="L13">
        <v>0.48487924617859812</v>
      </c>
      <c r="N13" t="s">
        <v>69</v>
      </c>
      <c r="O13" t="s">
        <v>86</v>
      </c>
      <c r="P13" t="s">
        <v>110</v>
      </c>
      <c r="Q13" t="s">
        <v>71</v>
      </c>
      <c r="R13" t="s">
        <v>72</v>
      </c>
      <c r="S13" t="s">
        <v>80</v>
      </c>
      <c r="T13" t="s">
        <v>74</v>
      </c>
    </row>
    <row r="14" spans="2:20" x14ac:dyDescent="0.35">
      <c r="B14" t="s">
        <v>89</v>
      </c>
      <c r="C14" t="s">
        <v>87</v>
      </c>
      <c r="D14" t="s">
        <v>90</v>
      </c>
      <c r="E14">
        <v>2032</v>
      </c>
      <c r="F14">
        <v>0.82</v>
      </c>
      <c r="G14">
        <v>1</v>
      </c>
      <c r="H14">
        <v>4400</v>
      </c>
      <c r="I14">
        <v>110.00000000000001</v>
      </c>
      <c r="J14">
        <v>3.1500000000000004</v>
      </c>
      <c r="K14">
        <v>30</v>
      </c>
      <c r="L14">
        <v>0.46120613336716743</v>
      </c>
      <c r="N14" t="s">
        <v>69</v>
      </c>
      <c r="O14" t="s">
        <v>89</v>
      </c>
      <c r="P14" t="s">
        <v>111</v>
      </c>
      <c r="Q14" t="s">
        <v>71</v>
      </c>
      <c r="R14" t="s">
        <v>72</v>
      </c>
      <c r="S14" t="s">
        <v>80</v>
      </c>
      <c r="T14" t="s">
        <v>77</v>
      </c>
    </row>
    <row r="15" spans="2:20" x14ac:dyDescent="0.35">
      <c r="B15" t="s">
        <v>91</v>
      </c>
      <c r="C15" t="s">
        <v>87</v>
      </c>
      <c r="D15" t="s">
        <v>92</v>
      </c>
      <c r="E15">
        <v>2035</v>
      </c>
      <c r="F15">
        <v>1.4</v>
      </c>
      <c r="G15">
        <v>1</v>
      </c>
      <c r="H15">
        <v>4400</v>
      </c>
      <c r="I15">
        <v>110.00000000000001</v>
      </c>
      <c r="J15">
        <v>3.1500000000000008</v>
      </c>
      <c r="K15">
        <v>30</v>
      </c>
      <c r="L15">
        <v>0.45368618559080531</v>
      </c>
      <c r="N15" t="s">
        <v>69</v>
      </c>
      <c r="O15" t="s">
        <v>91</v>
      </c>
      <c r="P15" t="s">
        <v>112</v>
      </c>
      <c r="Q15" t="s">
        <v>71</v>
      </c>
      <c r="R15" t="s">
        <v>72</v>
      </c>
      <c r="S15" t="s">
        <v>80</v>
      </c>
      <c r="T15" t="s">
        <v>77</v>
      </c>
    </row>
    <row r="16" spans="2:20" x14ac:dyDescent="0.35">
      <c r="B16" t="s">
        <v>93</v>
      </c>
      <c r="C16" t="s">
        <v>87</v>
      </c>
      <c r="D16" t="s">
        <v>92</v>
      </c>
      <c r="E16">
        <v>2035</v>
      </c>
      <c r="F16">
        <v>0.9</v>
      </c>
      <c r="G16">
        <v>1</v>
      </c>
      <c r="H16">
        <v>4400</v>
      </c>
      <c r="I16">
        <v>110.00000000000001</v>
      </c>
      <c r="J16">
        <v>3.1500000000000004</v>
      </c>
      <c r="K16">
        <v>30</v>
      </c>
      <c r="L16">
        <v>0.45368618559080531</v>
      </c>
      <c r="N16" t="s">
        <v>69</v>
      </c>
      <c r="O16" t="s">
        <v>93</v>
      </c>
      <c r="P16" t="s">
        <v>113</v>
      </c>
      <c r="Q16" t="s">
        <v>71</v>
      </c>
      <c r="R16" t="s">
        <v>72</v>
      </c>
      <c r="S16" t="s">
        <v>80</v>
      </c>
      <c r="T16" t="s">
        <v>77</v>
      </c>
    </row>
    <row r="17" spans="2:20" x14ac:dyDescent="0.35">
      <c r="B17" t="s">
        <v>94</v>
      </c>
      <c r="C17" t="s">
        <v>87</v>
      </c>
      <c r="D17" t="s">
        <v>88</v>
      </c>
      <c r="E17">
        <v>2025</v>
      </c>
      <c r="F17">
        <v>1.2</v>
      </c>
      <c r="G17">
        <v>1</v>
      </c>
      <c r="H17">
        <v>4400</v>
      </c>
      <c r="I17">
        <v>110.00000000000003</v>
      </c>
      <c r="J17">
        <v>3.1500000000000004</v>
      </c>
      <c r="K17">
        <v>30</v>
      </c>
      <c r="L17">
        <v>0.48487924617859807</v>
      </c>
      <c r="N17" t="s">
        <v>69</v>
      </c>
      <c r="O17" t="s">
        <v>94</v>
      </c>
      <c r="P17" t="s">
        <v>114</v>
      </c>
      <c r="Q17" t="s">
        <v>71</v>
      </c>
      <c r="R17" t="s">
        <v>72</v>
      </c>
      <c r="S17" t="s">
        <v>80</v>
      </c>
      <c r="T17" t="s">
        <v>77</v>
      </c>
    </row>
    <row r="18" spans="2:20" x14ac:dyDescent="0.35">
      <c r="B18" t="s">
        <v>95</v>
      </c>
      <c r="C18" t="s">
        <v>87</v>
      </c>
      <c r="D18" t="s">
        <v>88</v>
      </c>
      <c r="E18">
        <v>2025</v>
      </c>
      <c r="F18">
        <v>1.7</v>
      </c>
      <c r="G18">
        <v>1</v>
      </c>
      <c r="H18">
        <v>4400</v>
      </c>
      <c r="I18">
        <v>110.00000000000001</v>
      </c>
      <c r="J18">
        <v>3.1500000000000004</v>
      </c>
      <c r="K18">
        <v>30</v>
      </c>
      <c r="L18">
        <v>0.48487924617859812</v>
      </c>
      <c r="N18" t="s">
        <v>69</v>
      </c>
      <c r="O18" t="s">
        <v>95</v>
      </c>
      <c r="P18" t="s">
        <v>115</v>
      </c>
      <c r="Q18" t="s">
        <v>71</v>
      </c>
      <c r="R18" t="s">
        <v>72</v>
      </c>
      <c r="S18" t="s">
        <v>80</v>
      </c>
      <c r="T18" t="s">
        <v>77</v>
      </c>
    </row>
    <row r="19" spans="2:20" x14ac:dyDescent="0.35">
      <c r="B19" t="s">
        <v>96</v>
      </c>
      <c r="C19" t="s">
        <v>87</v>
      </c>
      <c r="D19" t="s">
        <v>88</v>
      </c>
      <c r="E19">
        <v>2025</v>
      </c>
      <c r="F19">
        <v>1.04</v>
      </c>
      <c r="G19">
        <v>1</v>
      </c>
      <c r="H19">
        <v>4400</v>
      </c>
      <c r="I19">
        <v>110.00000000000001</v>
      </c>
      <c r="J19">
        <v>3.1500000000000004</v>
      </c>
      <c r="K19">
        <v>30</v>
      </c>
      <c r="L19">
        <v>0.48487924617859812</v>
      </c>
      <c r="N19" t="s">
        <v>69</v>
      </c>
      <c r="O19" t="s">
        <v>96</v>
      </c>
      <c r="P19" t="s">
        <v>116</v>
      </c>
      <c r="Q19" t="s">
        <v>71</v>
      </c>
      <c r="R19" t="s">
        <v>72</v>
      </c>
      <c r="S19" t="s">
        <v>80</v>
      </c>
      <c r="T19" t="s">
        <v>77</v>
      </c>
    </row>
    <row r="20" spans="2:20" x14ac:dyDescent="0.35">
      <c r="B20" t="s">
        <v>97</v>
      </c>
      <c r="D20" t="s">
        <v>14</v>
      </c>
      <c r="E20">
        <v>2026</v>
      </c>
      <c r="F20">
        <v>0.22500000000000001</v>
      </c>
      <c r="G20">
        <v>1</v>
      </c>
      <c r="H20">
        <v>2277</v>
      </c>
      <c r="I20">
        <v>48.400000000000006</v>
      </c>
      <c r="J20">
        <v>1.7325000000000002</v>
      </c>
      <c r="K20">
        <v>100</v>
      </c>
      <c r="N20" t="s">
        <v>117</v>
      </c>
      <c r="O20" t="s">
        <v>97</v>
      </c>
      <c r="P20" t="s">
        <v>118</v>
      </c>
      <c r="Q20" t="s">
        <v>71</v>
      </c>
      <c r="R20" t="s">
        <v>72</v>
      </c>
      <c r="S20" t="s">
        <v>73</v>
      </c>
      <c r="T20" t="s">
        <v>77</v>
      </c>
    </row>
    <row r="21" spans="2:20" x14ac:dyDescent="0.35">
      <c r="B21" t="s">
        <v>98</v>
      </c>
      <c r="D21" t="s">
        <v>14</v>
      </c>
      <c r="E21">
        <v>2029</v>
      </c>
      <c r="F21">
        <v>0.55000000000000004</v>
      </c>
      <c r="G21">
        <v>1</v>
      </c>
      <c r="H21">
        <v>1980.0000000000005</v>
      </c>
      <c r="I21">
        <v>44</v>
      </c>
      <c r="J21">
        <v>1.5750000000000002</v>
      </c>
      <c r="K21">
        <v>100</v>
      </c>
      <c r="N21" t="s">
        <v>117</v>
      </c>
      <c r="O21" t="s">
        <v>98</v>
      </c>
      <c r="P21" t="s">
        <v>119</v>
      </c>
      <c r="Q21" t="s">
        <v>71</v>
      </c>
      <c r="R21" t="s">
        <v>72</v>
      </c>
      <c r="S21" t="s">
        <v>73</v>
      </c>
      <c r="T21" t="s">
        <v>77</v>
      </c>
    </row>
    <row r="22" spans="2:20" x14ac:dyDescent="0.35">
      <c r="B22" t="s">
        <v>99</v>
      </c>
      <c r="C22" t="s">
        <v>23</v>
      </c>
      <c r="D22" t="s">
        <v>26</v>
      </c>
      <c r="E22">
        <v>2025</v>
      </c>
      <c r="F22">
        <v>7.3999999999999996E-2</v>
      </c>
      <c r="G22">
        <v>1</v>
      </c>
      <c r="H22">
        <v>1138.5</v>
      </c>
      <c r="I22">
        <v>18.150000000000002</v>
      </c>
      <c r="J22">
        <v>0</v>
      </c>
      <c r="K22">
        <v>30</v>
      </c>
      <c r="L22">
        <v>0.15309859852159369</v>
      </c>
      <c r="N22" t="s">
        <v>69</v>
      </c>
      <c r="O22" t="s">
        <v>99</v>
      </c>
      <c r="P22" t="s">
        <v>120</v>
      </c>
      <c r="Q22" t="s">
        <v>71</v>
      </c>
      <c r="R22" t="s">
        <v>72</v>
      </c>
      <c r="S22" t="s">
        <v>80</v>
      </c>
      <c r="T22" t="s">
        <v>74</v>
      </c>
    </row>
    <row r="23" spans="2:20" x14ac:dyDescent="0.35">
      <c r="B23" t="s">
        <v>100</v>
      </c>
      <c r="C23" t="s">
        <v>87</v>
      </c>
      <c r="D23" t="s">
        <v>88</v>
      </c>
      <c r="E23">
        <v>2028</v>
      </c>
      <c r="F23">
        <v>1.4</v>
      </c>
      <c r="G23">
        <v>1</v>
      </c>
      <c r="H23">
        <v>4400</v>
      </c>
      <c r="I23">
        <v>110.00000000000001</v>
      </c>
      <c r="J23">
        <v>3.1500000000000008</v>
      </c>
      <c r="K23">
        <v>30</v>
      </c>
      <c r="L23">
        <v>0.48127681492517582</v>
      </c>
      <c r="N23" t="s">
        <v>69</v>
      </c>
      <c r="O23" t="s">
        <v>100</v>
      </c>
      <c r="P23" t="s">
        <v>121</v>
      </c>
      <c r="Q23" t="s">
        <v>71</v>
      </c>
      <c r="R23" t="s">
        <v>72</v>
      </c>
      <c r="S23" t="s">
        <v>80</v>
      </c>
      <c r="T23" t="s">
        <v>77</v>
      </c>
    </row>
    <row r="24" spans="2:20" x14ac:dyDescent="0.35">
      <c r="B24" t="s">
        <v>101</v>
      </c>
      <c r="C24" t="s">
        <v>87</v>
      </c>
      <c r="D24" t="s">
        <v>102</v>
      </c>
      <c r="E24">
        <v>2029</v>
      </c>
      <c r="F24">
        <v>1.1000000000000001</v>
      </c>
      <c r="G24">
        <v>1</v>
      </c>
      <c r="H24">
        <v>4400</v>
      </c>
      <c r="I24">
        <v>110.00000000000001</v>
      </c>
      <c r="J24">
        <v>3.1500000000000004</v>
      </c>
      <c r="K24">
        <v>30</v>
      </c>
      <c r="L24">
        <v>0.47369214016582101</v>
      </c>
      <c r="N24" t="s">
        <v>69</v>
      </c>
      <c r="O24" t="s">
        <v>101</v>
      </c>
      <c r="P24" t="s">
        <v>122</v>
      </c>
      <c r="Q24" t="s">
        <v>71</v>
      </c>
      <c r="R24" t="s">
        <v>72</v>
      </c>
      <c r="S24" t="s">
        <v>80</v>
      </c>
      <c r="T24" t="s">
        <v>77</v>
      </c>
    </row>
    <row r="25" spans="2:20" x14ac:dyDescent="0.35">
      <c r="B25" t="s">
        <v>103</v>
      </c>
      <c r="C25" t="s">
        <v>87</v>
      </c>
      <c r="D25" t="s">
        <v>104</v>
      </c>
      <c r="E25">
        <v>2030</v>
      </c>
      <c r="F25">
        <v>0.42499999999999999</v>
      </c>
      <c r="G25">
        <v>1</v>
      </c>
      <c r="H25">
        <v>4400</v>
      </c>
      <c r="I25">
        <v>110.00000000000001</v>
      </c>
      <c r="J25">
        <v>3.1500000000000004</v>
      </c>
      <c r="K25">
        <v>30</v>
      </c>
      <c r="L25">
        <v>0.46331764653839141</v>
      </c>
      <c r="N25" t="s">
        <v>69</v>
      </c>
      <c r="O25" t="s">
        <v>103</v>
      </c>
      <c r="P25" t="s">
        <v>123</v>
      </c>
      <c r="Q25" t="s">
        <v>71</v>
      </c>
      <c r="R25" t="s">
        <v>72</v>
      </c>
      <c r="S25" t="s">
        <v>80</v>
      </c>
      <c r="T25" t="s">
        <v>77</v>
      </c>
    </row>
    <row r="26" spans="2:20" x14ac:dyDescent="0.35">
      <c r="B26" t="s">
        <v>105</v>
      </c>
      <c r="C26" t="s">
        <v>87</v>
      </c>
      <c r="D26" t="s">
        <v>92</v>
      </c>
      <c r="E26">
        <v>2028</v>
      </c>
      <c r="F26">
        <v>1</v>
      </c>
      <c r="G26">
        <v>1</v>
      </c>
      <c r="H26">
        <v>4400</v>
      </c>
      <c r="I26">
        <v>110.00000000000001</v>
      </c>
      <c r="J26">
        <v>3.1500000000000004</v>
      </c>
      <c r="K26">
        <v>30</v>
      </c>
      <c r="L26">
        <v>0.45368618559080531</v>
      </c>
      <c r="N26" t="s">
        <v>69</v>
      </c>
      <c r="O26" t="s">
        <v>105</v>
      </c>
      <c r="P26" t="s">
        <v>124</v>
      </c>
      <c r="Q26" t="s">
        <v>71</v>
      </c>
      <c r="R26" t="s">
        <v>72</v>
      </c>
      <c r="S26" t="s">
        <v>80</v>
      </c>
      <c r="T26" t="s">
        <v>77</v>
      </c>
    </row>
    <row r="27" spans="2:20" x14ac:dyDescent="0.35">
      <c r="B27" t="s">
        <v>106</v>
      </c>
      <c r="C27" t="s">
        <v>87</v>
      </c>
      <c r="D27" t="s">
        <v>92</v>
      </c>
      <c r="E27">
        <v>2028</v>
      </c>
      <c r="F27">
        <v>1.2</v>
      </c>
      <c r="G27">
        <v>1</v>
      </c>
      <c r="H27">
        <v>4400</v>
      </c>
      <c r="I27">
        <v>110.00000000000003</v>
      </c>
      <c r="J27">
        <v>3.1500000000000004</v>
      </c>
      <c r="K27">
        <v>30</v>
      </c>
      <c r="L27">
        <v>0.45368618559080537</v>
      </c>
      <c r="N27" t="s">
        <v>69</v>
      </c>
      <c r="O27" t="s">
        <v>106</v>
      </c>
      <c r="P27" t="s">
        <v>125</v>
      </c>
      <c r="Q27" t="s">
        <v>71</v>
      </c>
      <c r="R27" t="s">
        <v>72</v>
      </c>
      <c r="S27" t="s">
        <v>80</v>
      </c>
      <c r="T27" t="s">
        <v>77</v>
      </c>
    </row>
    <row r="28" spans="2:20" x14ac:dyDescent="0.35">
      <c r="B28" t="s">
        <v>107</v>
      </c>
      <c r="C28" t="s">
        <v>87</v>
      </c>
      <c r="D28" t="s">
        <v>104</v>
      </c>
      <c r="E28">
        <v>2030</v>
      </c>
      <c r="F28">
        <v>0.42499999999999999</v>
      </c>
      <c r="G28">
        <v>1</v>
      </c>
      <c r="H28">
        <v>4400</v>
      </c>
      <c r="I28">
        <v>110.00000000000001</v>
      </c>
      <c r="J28">
        <v>3.1500000000000004</v>
      </c>
      <c r="K28">
        <v>30</v>
      </c>
      <c r="L28">
        <v>0.46331764653839141</v>
      </c>
      <c r="N28" t="s">
        <v>69</v>
      </c>
      <c r="O28" t="s">
        <v>107</v>
      </c>
      <c r="P28" t="s">
        <v>126</v>
      </c>
      <c r="Q28" t="s">
        <v>71</v>
      </c>
      <c r="R28" t="s">
        <v>72</v>
      </c>
      <c r="S28" t="s">
        <v>80</v>
      </c>
      <c r="T28" t="s">
        <v>77</v>
      </c>
    </row>
    <row r="30" spans="2:20" x14ac:dyDescent="0.35">
      <c r="B30" t="s">
        <v>201</v>
      </c>
      <c r="C30" t="s">
        <v>202</v>
      </c>
      <c r="D30" t="s">
        <v>14</v>
      </c>
      <c r="E30">
        <v>2035</v>
      </c>
      <c r="F30">
        <v>0.3</v>
      </c>
      <c r="G30">
        <v>0.35</v>
      </c>
      <c r="H30">
        <v>6000</v>
      </c>
      <c r="I30">
        <v>150</v>
      </c>
      <c r="J30">
        <v>2.5000000000000001E-2</v>
      </c>
      <c r="K30">
        <v>50</v>
      </c>
      <c r="N30" t="s">
        <v>69</v>
      </c>
      <c r="O30" t="s">
        <v>201</v>
      </c>
      <c r="P30" t="s">
        <v>203</v>
      </c>
      <c r="Q30" t="s">
        <v>71</v>
      </c>
      <c r="R30" t="s">
        <v>72</v>
      </c>
      <c r="S30" t="s">
        <v>80</v>
      </c>
      <c r="T30" t="s">
        <v>74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DDA4A-BC9F-4D47-BDC9-53442001A438}">
  <dimension ref="B9:U80"/>
  <sheetViews>
    <sheetView topLeftCell="A6" zoomScale="78" zoomScaleNormal="78" workbookViewId="0">
      <selection activeCell="H25" sqref="H25"/>
    </sheetView>
  </sheetViews>
  <sheetFormatPr defaultRowHeight="14.5" x14ac:dyDescent="0.35"/>
  <cols>
    <col min="2" max="2" width="40.54296875" bestFit="1" customWidth="1"/>
    <col min="3" max="3" width="12.81640625" customWidth="1"/>
    <col min="4" max="4" width="12.1796875" bestFit="1" customWidth="1"/>
    <col min="5" max="5" width="9.26953125" bestFit="1" customWidth="1"/>
    <col min="6" max="6" width="12.54296875" bestFit="1" customWidth="1"/>
    <col min="7" max="7" width="9.26953125" bestFit="1" customWidth="1"/>
    <col min="8" max="8" width="10.1796875" bestFit="1" customWidth="1"/>
    <col min="9" max="9" width="9.81640625" style="3" bestFit="1" customWidth="1"/>
    <col min="10" max="11" width="9.26953125" bestFit="1" customWidth="1"/>
    <col min="12" max="12" width="12" bestFit="1" customWidth="1"/>
    <col min="13" max="13" width="12" customWidth="1"/>
    <col min="14" max="14" width="12" bestFit="1" customWidth="1"/>
    <col min="16" max="16" width="40.54296875" bestFit="1" customWidth="1"/>
    <col min="17" max="17" width="64.453125" bestFit="1" customWidth="1"/>
  </cols>
  <sheetData>
    <row r="9" spans="2:21" x14ac:dyDescent="0.35">
      <c r="B9" t="s">
        <v>0</v>
      </c>
      <c r="O9" t="s">
        <v>62</v>
      </c>
    </row>
    <row r="10" spans="2:21" x14ac:dyDescent="0.35">
      <c r="B10" t="s">
        <v>1</v>
      </c>
      <c r="C10" t="s">
        <v>2</v>
      </c>
      <c r="D10" t="s">
        <v>3</v>
      </c>
      <c r="E10" t="s">
        <v>4</v>
      </c>
      <c r="F10" t="s">
        <v>5</v>
      </c>
      <c r="G10" t="s">
        <v>6</v>
      </c>
      <c r="H10" t="s">
        <v>7</v>
      </c>
      <c r="I10" s="3" t="s">
        <v>8</v>
      </c>
      <c r="J10" t="s">
        <v>9</v>
      </c>
      <c r="K10" t="s">
        <v>10</v>
      </c>
      <c r="L10" t="s">
        <v>11</v>
      </c>
      <c r="O10" t="s">
        <v>63</v>
      </c>
      <c r="P10" t="s">
        <v>1</v>
      </c>
      <c r="Q10" t="s">
        <v>64</v>
      </c>
      <c r="R10" t="s">
        <v>65</v>
      </c>
      <c r="S10" t="s">
        <v>66</v>
      </c>
      <c r="T10" t="s">
        <v>67</v>
      </c>
      <c r="U10" t="s">
        <v>68</v>
      </c>
    </row>
    <row r="11" spans="2:21" x14ac:dyDescent="0.35">
      <c r="B11" t="s">
        <v>17</v>
      </c>
      <c r="C11" t="s">
        <v>16</v>
      </c>
      <c r="D11" t="s">
        <v>14</v>
      </c>
      <c r="E11">
        <v>1982</v>
      </c>
      <c r="F11">
        <v>1.6999999999999999E-3</v>
      </c>
      <c r="G11">
        <v>0.44290000000000002</v>
      </c>
      <c r="H11">
        <v>1265</v>
      </c>
      <c r="I11" s="3">
        <v>36.300000000000004</v>
      </c>
      <c r="J11">
        <v>3.4650000000000007</v>
      </c>
      <c r="K11">
        <v>73</v>
      </c>
      <c r="O11" t="s">
        <v>69</v>
      </c>
      <c r="P11" t="s">
        <v>17</v>
      </c>
      <c r="Q11" t="s">
        <v>76</v>
      </c>
      <c r="R11" t="s">
        <v>71</v>
      </c>
      <c r="S11" t="s">
        <v>72</v>
      </c>
      <c r="T11" t="s">
        <v>73</v>
      </c>
      <c r="U11" t="s">
        <v>77</v>
      </c>
    </row>
    <row r="12" spans="2:21" x14ac:dyDescent="0.35">
      <c r="B12" t="s">
        <v>22</v>
      </c>
      <c r="C12" t="s">
        <v>23</v>
      </c>
      <c r="D12" t="s">
        <v>24</v>
      </c>
      <c r="E12">
        <v>2022</v>
      </c>
      <c r="F12">
        <v>4.3091615634383719E-2</v>
      </c>
      <c r="G12">
        <v>0.33123000000000002</v>
      </c>
      <c r="L12">
        <v>0.14986856628506873</v>
      </c>
      <c r="O12" t="s">
        <v>69</v>
      </c>
      <c r="P12" t="s">
        <v>22</v>
      </c>
      <c r="Q12" t="s">
        <v>78</v>
      </c>
      <c r="R12" t="s">
        <v>71</v>
      </c>
      <c r="S12" t="s">
        <v>72</v>
      </c>
      <c r="T12" t="s">
        <v>80</v>
      </c>
      <c r="U12" t="s">
        <v>74</v>
      </c>
    </row>
    <row r="13" spans="2:21" x14ac:dyDescent="0.35">
      <c r="B13" t="s">
        <v>25</v>
      </c>
      <c r="C13" t="s">
        <v>23</v>
      </c>
      <c r="D13" t="s">
        <v>26</v>
      </c>
      <c r="E13">
        <v>2022</v>
      </c>
      <c r="F13">
        <v>4.3344722222460344E-2</v>
      </c>
      <c r="G13">
        <v>0.33123000000000002</v>
      </c>
      <c r="L13">
        <v>0.14986856628506873</v>
      </c>
      <c r="O13" t="s">
        <v>69</v>
      </c>
      <c r="P13" t="s">
        <v>25</v>
      </c>
      <c r="Q13" t="s">
        <v>78</v>
      </c>
      <c r="R13" t="s">
        <v>71</v>
      </c>
      <c r="S13" t="s">
        <v>72</v>
      </c>
      <c r="T13" t="s">
        <v>80</v>
      </c>
      <c r="U13" t="s">
        <v>74</v>
      </c>
    </row>
    <row r="14" spans="2:21" x14ac:dyDescent="0.35">
      <c r="B14" t="s">
        <v>27</v>
      </c>
      <c r="C14" t="s">
        <v>23</v>
      </c>
      <c r="D14" t="s">
        <v>28</v>
      </c>
      <c r="E14">
        <v>2022</v>
      </c>
      <c r="F14">
        <v>3.9363662143155967E-2</v>
      </c>
      <c r="G14">
        <v>0.33123000000000002</v>
      </c>
      <c r="L14">
        <v>0.14986856628506873</v>
      </c>
      <c r="O14" t="s">
        <v>69</v>
      </c>
      <c r="P14" t="s">
        <v>27</v>
      </c>
      <c r="Q14" t="s">
        <v>78</v>
      </c>
      <c r="R14" t="s">
        <v>71</v>
      </c>
      <c r="S14" t="s">
        <v>72</v>
      </c>
      <c r="T14" t="s">
        <v>80</v>
      </c>
      <c r="U14" t="s">
        <v>74</v>
      </c>
    </row>
    <row r="15" spans="2:21" x14ac:dyDescent="0.35">
      <c r="B15" t="s">
        <v>29</v>
      </c>
      <c r="C15" t="s">
        <v>23</v>
      </c>
      <c r="D15" t="s">
        <v>24</v>
      </c>
      <c r="E15">
        <v>2015</v>
      </c>
      <c r="F15">
        <v>7.6700000000000004E-2</v>
      </c>
      <c r="G15">
        <v>1</v>
      </c>
      <c r="H15">
        <v>1336.4999999999998</v>
      </c>
      <c r="I15" s="3">
        <v>21.45</v>
      </c>
      <c r="J15">
        <v>0</v>
      </c>
      <c r="K15">
        <v>40</v>
      </c>
      <c r="L15">
        <v>0.1461854238754417</v>
      </c>
      <c r="O15" t="s">
        <v>69</v>
      </c>
      <c r="P15" t="s">
        <v>29</v>
      </c>
      <c r="Q15" t="s">
        <v>78</v>
      </c>
      <c r="R15" t="s">
        <v>71</v>
      </c>
      <c r="S15" t="s">
        <v>72</v>
      </c>
      <c r="T15" t="s">
        <v>80</v>
      </c>
      <c r="U15" t="s">
        <v>74</v>
      </c>
    </row>
    <row r="16" spans="2:21" x14ac:dyDescent="0.35">
      <c r="B16" t="s">
        <v>29</v>
      </c>
      <c r="C16" t="s">
        <v>23</v>
      </c>
      <c r="D16" t="s">
        <v>24</v>
      </c>
      <c r="E16">
        <v>2023</v>
      </c>
      <c r="F16">
        <v>3.2000000000000001E-2</v>
      </c>
      <c r="G16">
        <v>1</v>
      </c>
      <c r="H16">
        <v>1336.5</v>
      </c>
      <c r="I16" s="3">
        <v>21.450000000000003</v>
      </c>
      <c r="J16">
        <v>0</v>
      </c>
      <c r="K16">
        <v>32</v>
      </c>
      <c r="L16">
        <v>0.1461854238754417</v>
      </c>
      <c r="O16" t="s">
        <v>69</v>
      </c>
      <c r="P16" t="s">
        <v>30</v>
      </c>
      <c r="Q16" t="s">
        <v>78</v>
      </c>
      <c r="R16" t="s">
        <v>71</v>
      </c>
      <c r="S16" t="s">
        <v>72</v>
      </c>
      <c r="T16" t="s">
        <v>80</v>
      </c>
      <c r="U16" t="s">
        <v>74</v>
      </c>
    </row>
    <row r="17" spans="2:21" x14ac:dyDescent="0.35">
      <c r="B17" t="s">
        <v>30</v>
      </c>
      <c r="C17" t="s">
        <v>23</v>
      </c>
      <c r="D17" t="s">
        <v>31</v>
      </c>
      <c r="E17">
        <v>2015</v>
      </c>
      <c r="F17">
        <v>5.8200000000000002E-2</v>
      </c>
      <c r="G17">
        <v>1</v>
      </c>
      <c r="H17">
        <v>1336.5</v>
      </c>
      <c r="I17" s="3">
        <v>21.450000000000003</v>
      </c>
      <c r="J17">
        <v>0</v>
      </c>
      <c r="K17">
        <v>40</v>
      </c>
      <c r="L17">
        <v>0.14867925344692126</v>
      </c>
      <c r="O17" t="s">
        <v>69</v>
      </c>
      <c r="P17" t="s">
        <v>32</v>
      </c>
      <c r="Q17" t="s">
        <v>78</v>
      </c>
      <c r="R17" t="s">
        <v>71</v>
      </c>
      <c r="S17" t="s">
        <v>72</v>
      </c>
      <c r="T17" t="s">
        <v>80</v>
      </c>
      <c r="U17" t="s">
        <v>74</v>
      </c>
    </row>
    <row r="18" spans="2:21" x14ac:dyDescent="0.35">
      <c r="B18" t="s">
        <v>32</v>
      </c>
      <c r="C18" t="s">
        <v>23</v>
      </c>
      <c r="D18" t="s">
        <v>33</v>
      </c>
      <c r="E18">
        <v>2015</v>
      </c>
      <c r="F18">
        <v>2.9599999999999998E-2</v>
      </c>
      <c r="G18">
        <v>1</v>
      </c>
      <c r="H18">
        <v>1336.5000000000002</v>
      </c>
      <c r="I18" s="3">
        <v>21.450000000000003</v>
      </c>
      <c r="J18">
        <v>0</v>
      </c>
      <c r="K18">
        <v>40</v>
      </c>
      <c r="L18">
        <v>0.14701259708091721</v>
      </c>
      <c r="O18" t="s">
        <v>69</v>
      </c>
      <c r="P18" t="s">
        <v>34</v>
      </c>
      <c r="Q18" t="s">
        <v>78</v>
      </c>
      <c r="R18" t="s">
        <v>71</v>
      </c>
      <c r="S18" t="s">
        <v>72</v>
      </c>
      <c r="T18" t="s">
        <v>80</v>
      </c>
      <c r="U18" t="s">
        <v>74</v>
      </c>
    </row>
    <row r="19" spans="2:21" x14ac:dyDescent="0.35">
      <c r="B19" t="s">
        <v>34</v>
      </c>
      <c r="C19" t="s">
        <v>23</v>
      </c>
      <c r="D19" t="s">
        <v>26</v>
      </c>
      <c r="E19">
        <v>2015</v>
      </c>
      <c r="F19">
        <v>5.3800000000000008E-2</v>
      </c>
      <c r="G19">
        <v>1</v>
      </c>
      <c r="H19">
        <v>1336.4999999999998</v>
      </c>
      <c r="I19" s="3">
        <v>21.45</v>
      </c>
      <c r="J19">
        <v>0</v>
      </c>
      <c r="K19">
        <v>40</v>
      </c>
      <c r="L19">
        <v>0.15309859852159369</v>
      </c>
      <c r="O19" t="s">
        <v>69</v>
      </c>
      <c r="P19" t="s">
        <v>35</v>
      </c>
      <c r="Q19" t="s">
        <v>78</v>
      </c>
      <c r="R19" t="s">
        <v>71</v>
      </c>
      <c r="S19" t="s">
        <v>72</v>
      </c>
      <c r="T19" t="s">
        <v>80</v>
      </c>
      <c r="U19" t="s">
        <v>74</v>
      </c>
    </row>
    <row r="20" spans="2:21" x14ac:dyDescent="0.35">
      <c r="B20" t="s">
        <v>34</v>
      </c>
      <c r="C20" t="s">
        <v>23</v>
      </c>
      <c r="D20" t="s">
        <v>26</v>
      </c>
      <c r="E20">
        <v>2024</v>
      </c>
      <c r="F20">
        <v>7.0000000000000007E-2</v>
      </c>
      <c r="G20">
        <v>1</v>
      </c>
      <c r="H20">
        <v>1138.5</v>
      </c>
      <c r="I20" s="3">
        <v>18.150000000000002</v>
      </c>
      <c r="J20">
        <v>0</v>
      </c>
      <c r="K20">
        <v>31</v>
      </c>
      <c r="L20">
        <v>0.15309859852159369</v>
      </c>
      <c r="O20" t="s">
        <v>69</v>
      </c>
      <c r="P20" t="s">
        <v>37</v>
      </c>
      <c r="Q20" t="s">
        <v>78</v>
      </c>
      <c r="R20" t="s">
        <v>71</v>
      </c>
      <c r="S20" t="s">
        <v>72</v>
      </c>
      <c r="T20" t="s">
        <v>80</v>
      </c>
      <c r="U20" t="s">
        <v>74</v>
      </c>
    </row>
    <row r="21" spans="2:21" x14ac:dyDescent="0.35">
      <c r="B21" t="s">
        <v>35</v>
      </c>
      <c r="C21" t="s">
        <v>23</v>
      </c>
      <c r="D21" t="s">
        <v>36</v>
      </c>
      <c r="E21">
        <v>2015</v>
      </c>
      <c r="F21">
        <v>7.3000000000000009E-3</v>
      </c>
      <c r="G21">
        <v>1</v>
      </c>
      <c r="H21">
        <v>1336.5</v>
      </c>
      <c r="I21" s="3">
        <v>21.45</v>
      </c>
      <c r="J21">
        <v>0</v>
      </c>
      <c r="K21">
        <v>40</v>
      </c>
      <c r="L21">
        <v>0.15619560585976827</v>
      </c>
      <c r="O21" t="s">
        <v>69</v>
      </c>
      <c r="P21" t="s">
        <v>39</v>
      </c>
      <c r="Q21" t="s">
        <v>78</v>
      </c>
      <c r="R21" t="s">
        <v>71</v>
      </c>
      <c r="S21" t="s">
        <v>72</v>
      </c>
      <c r="T21" t="s">
        <v>80</v>
      </c>
      <c r="U21" t="s">
        <v>74</v>
      </c>
    </row>
    <row r="22" spans="2:21" x14ac:dyDescent="0.35">
      <c r="B22" t="s">
        <v>37</v>
      </c>
      <c r="C22" t="s">
        <v>23</v>
      </c>
      <c r="D22" t="s">
        <v>38</v>
      </c>
      <c r="E22">
        <v>2015</v>
      </c>
      <c r="F22">
        <v>2.81E-2</v>
      </c>
      <c r="G22">
        <v>1</v>
      </c>
      <c r="H22">
        <v>1336.5</v>
      </c>
      <c r="I22" s="3">
        <v>21.450000000000003</v>
      </c>
      <c r="J22">
        <v>0</v>
      </c>
      <c r="K22">
        <v>40</v>
      </c>
      <c r="L22">
        <v>0.14537310453496291</v>
      </c>
      <c r="O22" t="s">
        <v>69</v>
      </c>
      <c r="P22" t="s">
        <v>40</v>
      </c>
      <c r="Q22" t="s">
        <v>78</v>
      </c>
      <c r="R22" t="s">
        <v>71</v>
      </c>
      <c r="S22" t="s">
        <v>72</v>
      </c>
      <c r="T22" t="s">
        <v>80</v>
      </c>
      <c r="U22" t="s">
        <v>74</v>
      </c>
    </row>
    <row r="23" spans="2:21" x14ac:dyDescent="0.35">
      <c r="B23" t="s">
        <v>39</v>
      </c>
      <c r="C23" t="s">
        <v>23</v>
      </c>
      <c r="D23" t="s">
        <v>28</v>
      </c>
      <c r="E23">
        <v>2015</v>
      </c>
      <c r="F23">
        <v>8.4900000000000003E-2</v>
      </c>
      <c r="G23">
        <v>1</v>
      </c>
      <c r="H23">
        <v>1336.5</v>
      </c>
      <c r="I23" s="3">
        <v>21.450000000000003</v>
      </c>
      <c r="J23">
        <v>0</v>
      </c>
      <c r="K23">
        <v>40</v>
      </c>
      <c r="L23">
        <v>0.14763873655681015</v>
      </c>
      <c r="O23" t="s">
        <v>69</v>
      </c>
      <c r="P23" t="s">
        <v>42</v>
      </c>
      <c r="Q23" t="s">
        <v>78</v>
      </c>
      <c r="R23" t="s">
        <v>71</v>
      </c>
      <c r="S23" t="s">
        <v>72</v>
      </c>
      <c r="T23" t="s">
        <v>80</v>
      </c>
      <c r="U23" t="s">
        <v>74</v>
      </c>
    </row>
    <row r="24" spans="2:21" x14ac:dyDescent="0.35">
      <c r="B24" t="s">
        <v>40</v>
      </c>
      <c r="C24" t="s">
        <v>23</v>
      </c>
      <c r="D24" t="s">
        <v>41</v>
      </c>
      <c r="E24">
        <v>2015</v>
      </c>
      <c r="F24">
        <v>5.2399999999999995E-2</v>
      </c>
      <c r="G24">
        <v>1</v>
      </c>
      <c r="H24">
        <v>1336.5000000000002</v>
      </c>
      <c r="I24" s="3">
        <v>21.45</v>
      </c>
      <c r="J24">
        <v>0</v>
      </c>
      <c r="K24">
        <v>40</v>
      </c>
      <c r="L24">
        <v>0.1532628310027955</v>
      </c>
      <c r="O24" t="s">
        <v>69</v>
      </c>
      <c r="P24" t="s">
        <v>44</v>
      </c>
      <c r="Q24" t="s">
        <v>78</v>
      </c>
      <c r="R24" t="s">
        <v>71</v>
      </c>
      <c r="S24" t="s">
        <v>72</v>
      </c>
      <c r="T24" t="s">
        <v>80</v>
      </c>
      <c r="U24" t="s">
        <v>74</v>
      </c>
    </row>
    <row r="25" spans="2:21" x14ac:dyDescent="0.35">
      <c r="B25" t="s">
        <v>40</v>
      </c>
      <c r="C25" t="s">
        <v>23</v>
      </c>
      <c r="D25" t="s">
        <v>41</v>
      </c>
      <c r="E25">
        <v>2023</v>
      </c>
      <c r="F25">
        <v>0.02</v>
      </c>
      <c r="G25">
        <v>1</v>
      </c>
      <c r="H25">
        <v>1336.5</v>
      </c>
      <c r="I25" s="3">
        <v>21.450000000000003</v>
      </c>
      <c r="J25">
        <v>0</v>
      </c>
      <c r="K25">
        <v>32</v>
      </c>
      <c r="L25">
        <v>0.1532628310027955</v>
      </c>
      <c r="O25" t="s">
        <v>69</v>
      </c>
      <c r="P25" t="s">
        <v>47</v>
      </c>
      <c r="Q25" t="s">
        <v>78</v>
      </c>
      <c r="R25" t="s">
        <v>71</v>
      </c>
      <c r="S25" t="s">
        <v>72</v>
      </c>
      <c r="T25" t="s">
        <v>80</v>
      </c>
      <c r="U25" t="s">
        <v>74</v>
      </c>
    </row>
    <row r="26" spans="2:21" x14ac:dyDescent="0.35">
      <c r="B26" t="s">
        <v>42</v>
      </c>
      <c r="C26" t="s">
        <v>23</v>
      </c>
      <c r="D26" t="s">
        <v>43</v>
      </c>
      <c r="E26">
        <v>2015</v>
      </c>
      <c r="F26">
        <v>3.2000000000000002E-3</v>
      </c>
      <c r="G26">
        <v>1</v>
      </c>
      <c r="H26">
        <v>1336.5</v>
      </c>
      <c r="I26" s="3">
        <v>21.450000000000003</v>
      </c>
      <c r="J26">
        <v>0</v>
      </c>
      <c r="K26">
        <v>40</v>
      </c>
      <c r="L26">
        <v>0.1451997589052581</v>
      </c>
      <c r="O26" t="s">
        <v>69</v>
      </c>
      <c r="P26" t="s">
        <v>49</v>
      </c>
      <c r="Q26" t="s">
        <v>78</v>
      </c>
      <c r="R26" t="s">
        <v>71</v>
      </c>
      <c r="S26" t="s">
        <v>72</v>
      </c>
      <c r="T26" t="s">
        <v>80</v>
      </c>
      <c r="U26" t="s">
        <v>74</v>
      </c>
    </row>
    <row r="27" spans="2:21" x14ac:dyDescent="0.35">
      <c r="B27" t="s">
        <v>44</v>
      </c>
      <c r="C27" t="s">
        <v>45</v>
      </c>
      <c r="D27" t="s">
        <v>46</v>
      </c>
      <c r="E27">
        <v>2022</v>
      </c>
      <c r="F27">
        <v>1.5040605442498314E-2</v>
      </c>
      <c r="G27">
        <v>0.33123000000000002</v>
      </c>
      <c r="L27">
        <v>0.42012333946150526</v>
      </c>
      <c r="M27">
        <f>F27*L27*G27</f>
        <v>2.0930123559331545E-3</v>
      </c>
      <c r="O27" t="s">
        <v>69</v>
      </c>
      <c r="P27" t="s">
        <v>51</v>
      </c>
      <c r="Q27" t="s">
        <v>78</v>
      </c>
      <c r="R27" t="s">
        <v>71</v>
      </c>
      <c r="S27" t="s">
        <v>72</v>
      </c>
      <c r="T27" t="s">
        <v>80</v>
      </c>
      <c r="U27" t="s">
        <v>74</v>
      </c>
    </row>
    <row r="28" spans="2:21" x14ac:dyDescent="0.35">
      <c r="B28" t="s">
        <v>47</v>
      </c>
      <c r="C28" t="s">
        <v>45</v>
      </c>
      <c r="D28" t="s">
        <v>48</v>
      </c>
      <c r="E28">
        <v>2022</v>
      </c>
      <c r="F28">
        <v>1.5497656626156837E-2</v>
      </c>
      <c r="G28">
        <v>0.33123000000000002</v>
      </c>
      <c r="L28">
        <v>0.42012333946150526</v>
      </c>
      <c r="O28" t="s">
        <v>69</v>
      </c>
      <c r="P28" t="s">
        <v>53</v>
      </c>
      <c r="Q28" t="s">
        <v>78</v>
      </c>
      <c r="R28" t="s">
        <v>71</v>
      </c>
      <c r="S28" t="s">
        <v>72</v>
      </c>
      <c r="T28" t="s">
        <v>80</v>
      </c>
      <c r="U28" t="s">
        <v>74</v>
      </c>
    </row>
    <row r="29" spans="2:21" x14ac:dyDescent="0.35">
      <c r="B29" t="s">
        <v>49</v>
      </c>
      <c r="C29" t="s">
        <v>45</v>
      </c>
      <c r="D29" t="s">
        <v>50</v>
      </c>
      <c r="E29">
        <v>2022</v>
      </c>
      <c r="F29">
        <v>1.4461737931344828E-2</v>
      </c>
      <c r="G29">
        <v>0.33123000000000002</v>
      </c>
      <c r="L29">
        <v>0.42012333946150526</v>
      </c>
      <c r="O29" t="s">
        <v>69</v>
      </c>
      <c r="P29" t="s">
        <v>55</v>
      </c>
      <c r="Q29" t="s">
        <v>78</v>
      </c>
      <c r="R29" t="s">
        <v>71</v>
      </c>
      <c r="S29" t="s">
        <v>72</v>
      </c>
      <c r="T29" t="s">
        <v>80</v>
      </c>
      <c r="U29" t="s">
        <v>74</v>
      </c>
    </row>
    <row r="30" spans="2:21" x14ac:dyDescent="0.35">
      <c r="B30" t="s">
        <v>51</v>
      </c>
      <c r="C30" t="s">
        <v>45</v>
      </c>
      <c r="D30" t="s">
        <v>52</v>
      </c>
      <c r="E30">
        <v>2009</v>
      </c>
      <c r="F30">
        <v>3.9E-2</v>
      </c>
      <c r="G30">
        <v>1</v>
      </c>
      <c r="H30">
        <v>2376</v>
      </c>
      <c r="I30" s="3">
        <v>57.2</v>
      </c>
      <c r="J30">
        <v>2.52</v>
      </c>
      <c r="K30">
        <v>46</v>
      </c>
      <c r="L30">
        <v>0.47763777043344691</v>
      </c>
      <c r="O30" t="s">
        <v>69</v>
      </c>
      <c r="P30" t="s">
        <v>57</v>
      </c>
      <c r="Q30" t="s">
        <v>78</v>
      </c>
      <c r="R30" t="s">
        <v>71</v>
      </c>
      <c r="S30" t="s">
        <v>72</v>
      </c>
      <c r="T30" t="s">
        <v>80</v>
      </c>
      <c r="U30" t="s">
        <v>74</v>
      </c>
    </row>
    <row r="31" spans="2:21" x14ac:dyDescent="0.35">
      <c r="B31" t="s">
        <v>53</v>
      </c>
      <c r="C31" t="s">
        <v>45</v>
      </c>
      <c r="D31" t="s">
        <v>54</v>
      </c>
      <c r="E31">
        <v>2010</v>
      </c>
      <c r="F31">
        <v>1.6E-2</v>
      </c>
      <c r="G31">
        <v>1</v>
      </c>
      <c r="H31">
        <v>2376</v>
      </c>
      <c r="I31" s="3">
        <v>57.2</v>
      </c>
      <c r="J31">
        <v>2.52</v>
      </c>
      <c r="K31">
        <v>45</v>
      </c>
      <c r="L31">
        <v>0.47814004703314078</v>
      </c>
      <c r="O31" t="s">
        <v>69</v>
      </c>
      <c r="P31" t="s">
        <v>59</v>
      </c>
      <c r="Q31" t="s">
        <v>78</v>
      </c>
      <c r="R31" t="s">
        <v>71</v>
      </c>
      <c r="S31" t="s">
        <v>72</v>
      </c>
      <c r="T31" t="s">
        <v>80</v>
      </c>
      <c r="U31" t="s">
        <v>74</v>
      </c>
    </row>
    <row r="32" spans="2:21" x14ac:dyDescent="0.35">
      <c r="B32" t="s">
        <v>53</v>
      </c>
      <c r="C32" t="s">
        <v>45</v>
      </c>
      <c r="D32" t="s">
        <v>54</v>
      </c>
      <c r="E32">
        <v>2015</v>
      </c>
      <c r="F32">
        <v>1.7999999999999999E-2</v>
      </c>
      <c r="G32">
        <v>1</v>
      </c>
      <c r="H32">
        <v>2376</v>
      </c>
      <c r="I32" s="3">
        <v>57.20000000000001</v>
      </c>
      <c r="J32">
        <v>2.52</v>
      </c>
      <c r="K32">
        <v>40</v>
      </c>
      <c r="L32">
        <v>0.47814004703314084</v>
      </c>
      <c r="O32" t="s">
        <v>69</v>
      </c>
      <c r="P32" t="s">
        <v>61</v>
      </c>
      <c r="Q32" t="s">
        <v>81</v>
      </c>
      <c r="R32" t="s">
        <v>71</v>
      </c>
      <c r="S32" t="s">
        <v>72</v>
      </c>
      <c r="T32" t="s">
        <v>80</v>
      </c>
      <c r="U32" t="s">
        <v>77</v>
      </c>
    </row>
    <row r="33" spans="2:21" x14ac:dyDescent="0.35">
      <c r="B33" t="s">
        <v>53</v>
      </c>
      <c r="C33" t="s">
        <v>45</v>
      </c>
      <c r="D33" t="s">
        <v>54</v>
      </c>
      <c r="E33">
        <v>2020</v>
      </c>
      <c r="F33">
        <v>1.2E-2</v>
      </c>
      <c r="G33">
        <v>1</v>
      </c>
      <c r="H33">
        <v>2376</v>
      </c>
      <c r="I33" s="3">
        <v>57.20000000000001</v>
      </c>
      <c r="J33">
        <v>2.52</v>
      </c>
      <c r="K33">
        <v>35</v>
      </c>
      <c r="L33">
        <v>0.47814004703314078</v>
      </c>
      <c r="O33" t="s">
        <v>140</v>
      </c>
      <c r="P33" s="1" t="s">
        <v>141</v>
      </c>
    </row>
    <row r="34" spans="2:21" x14ac:dyDescent="0.35">
      <c r="B34" t="s">
        <v>55</v>
      </c>
      <c r="C34" t="s">
        <v>45</v>
      </c>
      <c r="D34" t="s">
        <v>56</v>
      </c>
      <c r="E34">
        <v>2007</v>
      </c>
      <c r="F34">
        <v>2.1000000000000001E-2</v>
      </c>
      <c r="G34">
        <v>1</v>
      </c>
      <c r="H34">
        <v>2376</v>
      </c>
      <c r="I34" s="3">
        <v>57.2</v>
      </c>
      <c r="J34">
        <v>2.52</v>
      </c>
      <c r="K34">
        <v>48</v>
      </c>
      <c r="L34">
        <v>0.40144059976798208</v>
      </c>
      <c r="O34" t="s">
        <v>69</v>
      </c>
      <c r="P34" t="s">
        <v>194</v>
      </c>
      <c r="Q34" t="s">
        <v>163</v>
      </c>
      <c r="R34" t="s">
        <v>71</v>
      </c>
      <c r="S34" t="s">
        <v>72</v>
      </c>
      <c r="T34" t="s">
        <v>80</v>
      </c>
      <c r="U34" t="s">
        <v>74</v>
      </c>
    </row>
    <row r="35" spans="2:21" x14ac:dyDescent="0.35">
      <c r="B35" t="s">
        <v>55</v>
      </c>
      <c r="C35" t="s">
        <v>45</v>
      </c>
      <c r="D35" t="s">
        <v>56</v>
      </c>
      <c r="E35">
        <v>2011</v>
      </c>
      <c r="F35">
        <v>2.4E-2</v>
      </c>
      <c r="G35">
        <v>1</v>
      </c>
      <c r="H35">
        <v>2376</v>
      </c>
      <c r="I35" s="3">
        <v>57.20000000000001</v>
      </c>
      <c r="J35">
        <v>2.52</v>
      </c>
      <c r="K35">
        <v>44</v>
      </c>
      <c r="L35">
        <v>0.40144059976798202</v>
      </c>
      <c r="O35" t="s">
        <v>69</v>
      </c>
      <c r="P35" t="s">
        <v>193</v>
      </c>
      <c r="Q35" t="s">
        <v>148</v>
      </c>
      <c r="R35" t="s">
        <v>71</v>
      </c>
      <c r="S35" t="s">
        <v>72</v>
      </c>
      <c r="T35" t="s">
        <v>80</v>
      </c>
      <c r="U35" t="s">
        <v>74</v>
      </c>
    </row>
    <row r="36" spans="2:21" x14ac:dyDescent="0.35">
      <c r="B36" t="s">
        <v>55</v>
      </c>
      <c r="C36" t="s">
        <v>45</v>
      </c>
      <c r="D36" t="s">
        <v>56</v>
      </c>
      <c r="E36">
        <v>2012</v>
      </c>
      <c r="F36">
        <v>7.9000000000000001E-2</v>
      </c>
      <c r="G36">
        <v>1</v>
      </c>
      <c r="H36">
        <v>2376</v>
      </c>
      <c r="I36" s="3">
        <v>57.2</v>
      </c>
      <c r="J36">
        <v>2.52</v>
      </c>
      <c r="K36">
        <v>43</v>
      </c>
      <c r="L36">
        <v>0.40144059976798202</v>
      </c>
      <c r="O36" t="s">
        <v>69</v>
      </c>
      <c r="P36" t="s">
        <v>195</v>
      </c>
      <c r="Q36" t="s">
        <v>149</v>
      </c>
      <c r="R36" t="s">
        <v>71</v>
      </c>
      <c r="S36" t="s">
        <v>72</v>
      </c>
      <c r="T36" t="s">
        <v>80</v>
      </c>
      <c r="U36" t="s">
        <v>74</v>
      </c>
    </row>
    <row r="37" spans="2:21" x14ac:dyDescent="0.35">
      <c r="B37" t="s">
        <v>55</v>
      </c>
      <c r="C37" t="s">
        <v>45</v>
      </c>
      <c r="D37" t="s">
        <v>56</v>
      </c>
      <c r="E37">
        <v>2023</v>
      </c>
      <c r="F37">
        <v>2.1000000000000001E-2</v>
      </c>
      <c r="G37">
        <v>1</v>
      </c>
      <c r="H37">
        <v>2376</v>
      </c>
      <c r="I37" s="3">
        <v>57.2</v>
      </c>
      <c r="J37">
        <v>2.52</v>
      </c>
      <c r="K37">
        <v>32</v>
      </c>
      <c r="L37">
        <v>0.40144059976798208</v>
      </c>
      <c r="O37" t="s">
        <v>69</v>
      </c>
      <c r="P37" t="s">
        <v>196</v>
      </c>
      <c r="Q37" t="s">
        <v>150</v>
      </c>
      <c r="R37" t="s">
        <v>71</v>
      </c>
      <c r="S37" t="s">
        <v>72</v>
      </c>
      <c r="T37" t="s">
        <v>80</v>
      </c>
      <c r="U37" t="s">
        <v>74</v>
      </c>
    </row>
    <row r="38" spans="2:21" x14ac:dyDescent="0.35">
      <c r="B38" t="s">
        <v>55</v>
      </c>
      <c r="C38" t="s">
        <v>45</v>
      </c>
      <c r="D38" t="s">
        <v>56</v>
      </c>
      <c r="E38">
        <v>2024</v>
      </c>
      <c r="F38">
        <v>0.10199999999999999</v>
      </c>
      <c r="G38">
        <v>1</v>
      </c>
      <c r="H38">
        <v>2024</v>
      </c>
      <c r="I38" s="3">
        <v>48.4</v>
      </c>
      <c r="J38">
        <v>2.3100000000000005</v>
      </c>
      <c r="K38">
        <v>31</v>
      </c>
      <c r="L38">
        <v>0.40144059976798202</v>
      </c>
      <c r="O38" t="s">
        <v>69</v>
      </c>
      <c r="P38" t="s">
        <v>142</v>
      </c>
      <c r="Q38" t="s">
        <v>161</v>
      </c>
      <c r="R38" t="s">
        <v>71</v>
      </c>
      <c r="S38" t="s">
        <v>72</v>
      </c>
      <c r="T38" t="s">
        <v>80</v>
      </c>
      <c r="U38" t="s">
        <v>74</v>
      </c>
    </row>
    <row r="39" spans="2:21" x14ac:dyDescent="0.35">
      <c r="B39" t="s">
        <v>57</v>
      </c>
      <c r="C39" t="s">
        <v>45</v>
      </c>
      <c r="D39" t="s">
        <v>58</v>
      </c>
      <c r="E39">
        <v>2023</v>
      </c>
      <c r="F39">
        <v>3.9E-2</v>
      </c>
      <c r="G39">
        <v>1</v>
      </c>
      <c r="H39">
        <v>2376</v>
      </c>
      <c r="I39" s="3">
        <v>57.2</v>
      </c>
      <c r="J39">
        <v>2.52</v>
      </c>
      <c r="K39">
        <v>32</v>
      </c>
      <c r="L39">
        <v>0.365520596150406</v>
      </c>
      <c r="O39" t="s">
        <v>69</v>
      </c>
      <c r="P39" t="s">
        <v>143</v>
      </c>
      <c r="Q39" t="s">
        <v>151</v>
      </c>
      <c r="R39" t="s">
        <v>71</v>
      </c>
      <c r="S39" t="s">
        <v>72</v>
      </c>
      <c r="T39" t="s">
        <v>80</v>
      </c>
      <c r="U39" t="s">
        <v>74</v>
      </c>
    </row>
    <row r="40" spans="2:21" x14ac:dyDescent="0.35">
      <c r="B40" t="s">
        <v>59</v>
      </c>
      <c r="C40" t="s">
        <v>45</v>
      </c>
      <c r="D40" t="s">
        <v>60</v>
      </c>
      <c r="E40">
        <v>2005</v>
      </c>
      <c r="F40">
        <v>1.7999999999999999E-2</v>
      </c>
      <c r="G40">
        <v>1</v>
      </c>
      <c r="H40">
        <v>2376</v>
      </c>
      <c r="I40" s="3">
        <v>57.20000000000001</v>
      </c>
      <c r="J40">
        <v>2.52</v>
      </c>
      <c r="K40">
        <v>50</v>
      </c>
      <c r="L40">
        <v>0.41047488326249421</v>
      </c>
      <c r="O40" t="s">
        <v>69</v>
      </c>
      <c r="P40" t="s">
        <v>144</v>
      </c>
      <c r="Q40" t="s">
        <v>152</v>
      </c>
      <c r="R40" t="s">
        <v>71</v>
      </c>
      <c r="S40" t="s">
        <v>72</v>
      </c>
      <c r="T40" t="s">
        <v>80</v>
      </c>
      <c r="U40" t="s">
        <v>74</v>
      </c>
    </row>
    <row r="41" spans="2:21" x14ac:dyDescent="0.35">
      <c r="B41" t="s">
        <v>59</v>
      </c>
      <c r="C41" t="s">
        <v>45</v>
      </c>
      <c r="D41" t="s">
        <v>60</v>
      </c>
      <c r="E41">
        <v>2012</v>
      </c>
      <c r="F41">
        <v>2.1999999999999999E-2</v>
      </c>
      <c r="G41">
        <v>1</v>
      </c>
      <c r="H41">
        <v>2376</v>
      </c>
      <c r="I41" s="3">
        <v>57.2</v>
      </c>
      <c r="J41">
        <v>2.52</v>
      </c>
      <c r="K41">
        <v>43</v>
      </c>
      <c r="L41">
        <v>0.41047488326249421</v>
      </c>
      <c r="O41" t="s">
        <v>69</v>
      </c>
      <c r="P41" t="s">
        <v>145</v>
      </c>
      <c r="Q41" t="s">
        <v>153</v>
      </c>
      <c r="R41" t="s">
        <v>71</v>
      </c>
      <c r="S41" t="s">
        <v>72</v>
      </c>
      <c r="T41" t="s">
        <v>80</v>
      </c>
      <c r="U41" t="s">
        <v>74</v>
      </c>
    </row>
    <row r="42" spans="2:21" x14ac:dyDescent="0.35">
      <c r="B42" t="s">
        <v>59</v>
      </c>
      <c r="C42" t="s">
        <v>45</v>
      </c>
      <c r="D42" t="s">
        <v>60</v>
      </c>
      <c r="E42">
        <v>2013</v>
      </c>
      <c r="F42">
        <v>2.1999999999999999E-2</v>
      </c>
      <c r="G42">
        <v>1</v>
      </c>
      <c r="H42">
        <v>2376</v>
      </c>
      <c r="I42" s="3">
        <v>57.2</v>
      </c>
      <c r="J42">
        <v>2.52</v>
      </c>
      <c r="K42">
        <v>42</v>
      </c>
      <c r="L42">
        <v>0.41047488326249421</v>
      </c>
      <c r="O42" t="s">
        <v>69</v>
      </c>
      <c r="P42" t="s">
        <v>146</v>
      </c>
      <c r="Q42" t="s">
        <v>147</v>
      </c>
      <c r="R42" t="s">
        <v>71</v>
      </c>
      <c r="S42" t="s">
        <v>72</v>
      </c>
      <c r="T42" t="s">
        <v>80</v>
      </c>
      <c r="U42" t="s">
        <v>74</v>
      </c>
    </row>
    <row r="43" spans="2:21" x14ac:dyDescent="0.35">
      <c r="B43" t="s">
        <v>61</v>
      </c>
      <c r="C43" t="s">
        <v>45</v>
      </c>
      <c r="D43" t="s">
        <v>58</v>
      </c>
      <c r="E43">
        <v>2024</v>
      </c>
      <c r="F43">
        <v>0.255</v>
      </c>
      <c r="G43">
        <v>1</v>
      </c>
      <c r="H43">
        <v>2024</v>
      </c>
      <c r="I43" s="3">
        <v>48.400000000000006</v>
      </c>
      <c r="J43">
        <v>2.3100000000000005</v>
      </c>
      <c r="K43">
        <v>31</v>
      </c>
      <c r="L43">
        <v>0.365520596150406</v>
      </c>
      <c r="O43" t="s">
        <v>69</v>
      </c>
      <c r="P43" t="s">
        <v>197</v>
      </c>
      <c r="Q43" t="s">
        <v>162</v>
      </c>
      <c r="R43" t="s">
        <v>71</v>
      </c>
      <c r="S43" t="s">
        <v>72</v>
      </c>
      <c r="T43" t="s">
        <v>80</v>
      </c>
      <c r="U43" t="s">
        <v>74</v>
      </c>
    </row>
    <row r="44" spans="2:21" x14ac:dyDescent="0.35">
      <c r="B44" t="s">
        <v>140</v>
      </c>
      <c r="C44" s="1" t="s">
        <v>141</v>
      </c>
      <c r="O44" t="s">
        <v>69</v>
      </c>
      <c r="P44" t="s">
        <v>154</v>
      </c>
      <c r="Q44" t="s">
        <v>155</v>
      </c>
      <c r="R44" t="s">
        <v>71</v>
      </c>
      <c r="S44" t="s">
        <v>72</v>
      </c>
      <c r="T44" t="s">
        <v>80</v>
      </c>
      <c r="U44" t="s">
        <v>74</v>
      </c>
    </row>
    <row r="45" spans="2:21" x14ac:dyDescent="0.35">
      <c r="B45" t="s">
        <v>196</v>
      </c>
      <c r="C45" t="s">
        <v>192</v>
      </c>
      <c r="D45" t="s">
        <v>14</v>
      </c>
      <c r="E45">
        <v>2021</v>
      </c>
      <c r="F45">
        <v>0.77</v>
      </c>
      <c r="G45">
        <v>0.49</v>
      </c>
      <c r="H45">
        <v>2150</v>
      </c>
      <c r="I45" s="3">
        <v>35.053609999999999</v>
      </c>
      <c r="J45">
        <v>3.28</v>
      </c>
      <c r="K45">
        <v>40</v>
      </c>
      <c r="O45" t="s">
        <v>69</v>
      </c>
      <c r="P45" t="s">
        <v>156</v>
      </c>
      <c r="Q45" t="s">
        <v>157</v>
      </c>
      <c r="R45" t="s">
        <v>71</v>
      </c>
      <c r="S45" t="s">
        <v>72</v>
      </c>
      <c r="T45" t="s">
        <v>80</v>
      </c>
      <c r="U45" t="s">
        <v>74</v>
      </c>
    </row>
    <row r="46" spans="2:21" x14ac:dyDescent="0.35">
      <c r="B46" t="s">
        <v>194</v>
      </c>
      <c r="C46" t="s">
        <v>192</v>
      </c>
      <c r="D46" t="s">
        <v>14</v>
      </c>
      <c r="E46">
        <v>2021</v>
      </c>
      <c r="F46">
        <v>0.26</v>
      </c>
      <c r="G46">
        <v>0.49</v>
      </c>
      <c r="H46">
        <v>2150</v>
      </c>
      <c r="I46" s="3">
        <v>35.053609999999999</v>
      </c>
      <c r="J46">
        <v>3.28</v>
      </c>
      <c r="K46">
        <v>40</v>
      </c>
      <c r="O46" t="s">
        <v>69</v>
      </c>
      <c r="P46" t="s">
        <v>170</v>
      </c>
      <c r="Q46" t="s">
        <v>171</v>
      </c>
      <c r="R46" t="s">
        <v>71</v>
      </c>
      <c r="S46" t="s">
        <v>72</v>
      </c>
      <c r="T46" t="s">
        <v>80</v>
      </c>
      <c r="U46" t="s">
        <v>74</v>
      </c>
    </row>
    <row r="47" spans="2:21" x14ac:dyDescent="0.35">
      <c r="B47" t="s">
        <v>193</v>
      </c>
      <c r="C47" t="s">
        <v>192</v>
      </c>
      <c r="D47" t="s">
        <v>14</v>
      </c>
      <c r="E47">
        <v>2021</v>
      </c>
      <c r="F47">
        <v>0.185</v>
      </c>
      <c r="G47">
        <v>0.49</v>
      </c>
      <c r="H47">
        <v>2150</v>
      </c>
      <c r="I47" s="3">
        <v>35.053609999999999</v>
      </c>
      <c r="J47">
        <v>3.28</v>
      </c>
      <c r="K47">
        <v>40</v>
      </c>
      <c r="O47" t="s">
        <v>69</v>
      </c>
      <c r="P47" t="s">
        <v>158</v>
      </c>
      <c r="Q47" t="s">
        <v>159</v>
      </c>
      <c r="R47" t="s">
        <v>71</v>
      </c>
      <c r="S47" t="s">
        <v>72</v>
      </c>
      <c r="T47" t="s">
        <v>80</v>
      </c>
      <c r="U47" t="s">
        <v>74</v>
      </c>
    </row>
    <row r="48" spans="2:21" x14ac:dyDescent="0.35">
      <c r="B48" t="s">
        <v>195</v>
      </c>
      <c r="C48" t="s">
        <v>192</v>
      </c>
      <c r="D48" t="s">
        <v>14</v>
      </c>
      <c r="E48">
        <v>2021</v>
      </c>
      <c r="F48">
        <v>0.01</v>
      </c>
      <c r="G48">
        <v>0.49</v>
      </c>
      <c r="H48">
        <v>2150</v>
      </c>
      <c r="I48" s="3">
        <v>35.053609999999999</v>
      </c>
      <c r="J48">
        <v>3.28</v>
      </c>
      <c r="K48">
        <v>40</v>
      </c>
      <c r="O48" t="s">
        <v>69</v>
      </c>
      <c r="P48" t="s">
        <v>169</v>
      </c>
      <c r="Q48" t="s">
        <v>160</v>
      </c>
      <c r="R48" t="s">
        <v>71</v>
      </c>
      <c r="S48" t="s">
        <v>72</v>
      </c>
      <c r="T48" t="s">
        <v>80</v>
      </c>
      <c r="U48" t="s">
        <v>74</v>
      </c>
    </row>
    <row r="49" spans="2:21" x14ac:dyDescent="0.35">
      <c r="B49" t="s">
        <v>142</v>
      </c>
      <c r="C49" t="s">
        <v>16</v>
      </c>
      <c r="D49" t="s">
        <v>14</v>
      </c>
      <c r="E49">
        <v>2021</v>
      </c>
      <c r="F49">
        <v>7.6999999999999999E-2</v>
      </c>
      <c r="G49">
        <v>0.41</v>
      </c>
      <c r="H49">
        <v>360</v>
      </c>
      <c r="I49" s="3">
        <v>9.3576800000000002</v>
      </c>
      <c r="J49">
        <v>6.38</v>
      </c>
      <c r="K49">
        <v>40</v>
      </c>
      <c r="O49" t="s">
        <v>69</v>
      </c>
      <c r="P49" t="s">
        <v>164</v>
      </c>
      <c r="Q49" t="s">
        <v>165</v>
      </c>
      <c r="R49" t="s">
        <v>71</v>
      </c>
      <c r="S49" t="s">
        <v>72</v>
      </c>
      <c r="T49" t="s">
        <v>80</v>
      </c>
      <c r="U49" t="s">
        <v>74</v>
      </c>
    </row>
    <row r="50" spans="2:21" x14ac:dyDescent="0.35">
      <c r="B50" t="s">
        <v>143</v>
      </c>
      <c r="C50" t="s">
        <v>13</v>
      </c>
      <c r="D50" t="s">
        <v>14</v>
      </c>
      <c r="E50">
        <v>2021</v>
      </c>
      <c r="F50">
        <v>3.9E-2</v>
      </c>
      <c r="G50">
        <v>0.28999999999999998</v>
      </c>
      <c r="H50" s="2">
        <v>3200.7518811800001</v>
      </c>
      <c r="I50" s="3">
        <v>131.85821703200003</v>
      </c>
      <c r="J50" s="4">
        <v>1.9778732554800003</v>
      </c>
      <c r="K50">
        <v>40</v>
      </c>
      <c r="O50" t="s">
        <v>69</v>
      </c>
      <c r="P50" t="s">
        <v>168</v>
      </c>
      <c r="Q50" t="s">
        <v>166</v>
      </c>
      <c r="R50" t="s">
        <v>71</v>
      </c>
      <c r="S50" t="s">
        <v>72</v>
      </c>
      <c r="T50" t="s">
        <v>80</v>
      </c>
      <c r="U50" t="s">
        <v>74</v>
      </c>
    </row>
    <row r="51" spans="2:21" x14ac:dyDescent="0.35">
      <c r="B51" t="s">
        <v>144</v>
      </c>
      <c r="C51" t="s">
        <v>13</v>
      </c>
      <c r="D51" t="s">
        <v>14</v>
      </c>
      <c r="E51">
        <v>2021</v>
      </c>
      <c r="F51">
        <v>2.2100000000000002E-2</v>
      </c>
      <c r="G51">
        <v>0.28999999999999998</v>
      </c>
      <c r="H51" s="2">
        <v>3200.7518811800001</v>
      </c>
      <c r="I51" s="3">
        <v>131.85821703200003</v>
      </c>
      <c r="J51" s="4">
        <v>1.9778732554800003</v>
      </c>
      <c r="K51">
        <v>40</v>
      </c>
      <c r="O51" t="s">
        <v>69</v>
      </c>
      <c r="P51" t="s">
        <v>198</v>
      </c>
      <c r="Q51" t="s">
        <v>167</v>
      </c>
      <c r="R51" t="s">
        <v>71</v>
      </c>
      <c r="S51" t="s">
        <v>72</v>
      </c>
      <c r="T51" t="s">
        <v>80</v>
      </c>
      <c r="U51" t="s">
        <v>74</v>
      </c>
    </row>
    <row r="52" spans="2:21" x14ac:dyDescent="0.35">
      <c r="B52" t="s">
        <v>145</v>
      </c>
      <c r="C52" t="s">
        <v>13</v>
      </c>
      <c r="D52" t="s">
        <v>14</v>
      </c>
      <c r="E52">
        <v>2021</v>
      </c>
      <c r="F52">
        <v>2.0500000000000001E-2</v>
      </c>
      <c r="G52">
        <v>0.28999999999999998</v>
      </c>
      <c r="H52" s="2">
        <v>3200.7518811800001</v>
      </c>
      <c r="I52" s="3">
        <v>131.85821703200003</v>
      </c>
      <c r="J52" s="4">
        <v>1.9778732554800003</v>
      </c>
      <c r="K52">
        <v>40</v>
      </c>
      <c r="O52" t="s">
        <v>69</v>
      </c>
      <c r="P52" t="s">
        <v>172</v>
      </c>
      <c r="Q52" t="s">
        <v>173</v>
      </c>
      <c r="R52" t="s">
        <v>71</v>
      </c>
      <c r="S52" t="s">
        <v>72</v>
      </c>
      <c r="T52" t="s">
        <v>80</v>
      </c>
      <c r="U52" t="s">
        <v>74</v>
      </c>
    </row>
    <row r="53" spans="2:21" x14ac:dyDescent="0.35">
      <c r="B53" t="s">
        <v>146</v>
      </c>
      <c r="C53" t="s">
        <v>13</v>
      </c>
      <c r="D53" t="s">
        <v>14</v>
      </c>
      <c r="E53">
        <v>2021</v>
      </c>
      <c r="F53">
        <v>1.3900000000000001E-2</v>
      </c>
      <c r="G53">
        <v>0.28999999999999998</v>
      </c>
      <c r="H53" s="2">
        <v>3200.7518811800001</v>
      </c>
      <c r="I53" s="3">
        <v>131.85821703200003</v>
      </c>
      <c r="J53" s="4">
        <v>1.9778732554800003</v>
      </c>
      <c r="K53">
        <v>40</v>
      </c>
      <c r="O53" t="s">
        <v>69</v>
      </c>
      <c r="P53" t="s">
        <v>174</v>
      </c>
      <c r="Q53" t="s">
        <v>175</v>
      </c>
      <c r="R53" t="s">
        <v>71</v>
      </c>
      <c r="S53" t="s">
        <v>72</v>
      </c>
      <c r="T53" t="s">
        <v>80</v>
      </c>
      <c r="U53" t="s">
        <v>74</v>
      </c>
    </row>
    <row r="54" spans="2:21" x14ac:dyDescent="0.35">
      <c r="B54" t="s">
        <v>197</v>
      </c>
      <c r="C54" t="s">
        <v>192</v>
      </c>
      <c r="D54" t="s">
        <v>14</v>
      </c>
      <c r="E54">
        <v>2021</v>
      </c>
      <c r="F54">
        <v>0.01</v>
      </c>
      <c r="G54">
        <v>0.49</v>
      </c>
      <c r="H54" s="2">
        <v>2150</v>
      </c>
      <c r="I54" s="3">
        <v>35.053609999999999</v>
      </c>
      <c r="J54" s="4">
        <v>3.28</v>
      </c>
      <c r="K54">
        <v>40</v>
      </c>
      <c r="O54" t="s">
        <v>69</v>
      </c>
      <c r="P54" t="s">
        <v>176</v>
      </c>
      <c r="Q54" t="s">
        <v>177</v>
      </c>
      <c r="R54" t="s">
        <v>71</v>
      </c>
      <c r="S54" t="s">
        <v>72</v>
      </c>
      <c r="T54" t="s">
        <v>80</v>
      </c>
      <c r="U54" t="s">
        <v>74</v>
      </c>
    </row>
    <row r="55" spans="2:21" x14ac:dyDescent="0.35">
      <c r="B55" t="s">
        <v>154</v>
      </c>
      <c r="C55" t="s">
        <v>13</v>
      </c>
      <c r="D55" t="s">
        <v>14</v>
      </c>
      <c r="E55">
        <v>2021</v>
      </c>
      <c r="F55">
        <v>0.01</v>
      </c>
      <c r="G55">
        <v>0.28999999999999998</v>
      </c>
      <c r="H55" s="2">
        <v>3200.7518811800001</v>
      </c>
      <c r="I55" s="3">
        <v>131.85821703200003</v>
      </c>
      <c r="J55" s="4">
        <v>1.9778732554800003</v>
      </c>
      <c r="K55">
        <v>40</v>
      </c>
      <c r="O55" t="s">
        <v>69</v>
      </c>
      <c r="P55" t="s">
        <v>178</v>
      </c>
      <c r="Q55" t="s">
        <v>179</v>
      </c>
      <c r="R55" t="s">
        <v>71</v>
      </c>
      <c r="S55" t="s">
        <v>72</v>
      </c>
      <c r="T55" t="s">
        <v>80</v>
      </c>
      <c r="U55" t="s">
        <v>74</v>
      </c>
    </row>
    <row r="56" spans="2:21" x14ac:dyDescent="0.35">
      <c r="B56" t="s">
        <v>156</v>
      </c>
      <c r="C56" t="s">
        <v>13</v>
      </c>
      <c r="D56" t="s">
        <v>14</v>
      </c>
      <c r="E56">
        <v>2021</v>
      </c>
      <c r="F56">
        <v>0.01</v>
      </c>
      <c r="G56">
        <v>0.28999999999999998</v>
      </c>
      <c r="H56" s="2">
        <v>3200.7518811800001</v>
      </c>
      <c r="I56" s="3">
        <v>131.85821703200003</v>
      </c>
      <c r="J56" s="4">
        <v>1.9778732554800003</v>
      </c>
      <c r="K56">
        <v>40</v>
      </c>
      <c r="O56" t="s">
        <v>69</v>
      </c>
      <c r="P56" t="s">
        <v>180</v>
      </c>
      <c r="Q56" t="s">
        <v>181</v>
      </c>
      <c r="R56" t="s">
        <v>71</v>
      </c>
      <c r="S56" t="s">
        <v>72</v>
      </c>
      <c r="T56" t="s">
        <v>80</v>
      </c>
      <c r="U56" t="s">
        <v>74</v>
      </c>
    </row>
    <row r="57" spans="2:21" x14ac:dyDescent="0.35">
      <c r="B57" t="s">
        <v>170</v>
      </c>
      <c r="C57" t="s">
        <v>13</v>
      </c>
      <c r="D57" t="s">
        <v>14</v>
      </c>
      <c r="E57">
        <v>2021</v>
      </c>
      <c r="F57">
        <v>9.300000000000001E-3</v>
      </c>
      <c r="G57">
        <v>0.28999999999999998</v>
      </c>
      <c r="H57" s="2">
        <v>3200.7518811800001</v>
      </c>
      <c r="I57" s="3">
        <v>131.85821703200003</v>
      </c>
      <c r="J57" s="4">
        <v>1.9778732554800003</v>
      </c>
      <c r="K57">
        <v>40</v>
      </c>
      <c r="O57" t="s">
        <v>69</v>
      </c>
      <c r="P57" t="s">
        <v>182</v>
      </c>
      <c r="Q57" t="s">
        <v>183</v>
      </c>
      <c r="R57" t="s">
        <v>71</v>
      </c>
      <c r="S57" t="s">
        <v>72</v>
      </c>
      <c r="T57" t="s">
        <v>80</v>
      </c>
      <c r="U57" t="s">
        <v>74</v>
      </c>
    </row>
    <row r="58" spans="2:21" x14ac:dyDescent="0.35">
      <c r="B58" t="s">
        <v>158</v>
      </c>
      <c r="C58" t="s">
        <v>13</v>
      </c>
      <c r="D58" t="s">
        <v>14</v>
      </c>
      <c r="E58">
        <v>2021</v>
      </c>
      <c r="F58">
        <v>7.0999999999999995E-3</v>
      </c>
      <c r="G58">
        <v>0.28999999999999998</v>
      </c>
      <c r="H58" s="2">
        <v>3200.7518811800001</v>
      </c>
      <c r="I58" s="3">
        <v>131.85821703200003</v>
      </c>
      <c r="J58" s="4">
        <v>1.9778732554800003</v>
      </c>
      <c r="K58">
        <v>40</v>
      </c>
      <c r="O58" t="s">
        <v>69</v>
      </c>
      <c r="P58" t="s">
        <v>184</v>
      </c>
      <c r="Q58" t="s">
        <v>185</v>
      </c>
      <c r="R58" t="s">
        <v>71</v>
      </c>
      <c r="S58" t="s">
        <v>72</v>
      </c>
      <c r="T58" t="s">
        <v>80</v>
      </c>
      <c r="U58" t="s">
        <v>74</v>
      </c>
    </row>
    <row r="59" spans="2:21" x14ac:dyDescent="0.35">
      <c r="B59" t="s">
        <v>169</v>
      </c>
      <c r="C59" t="s">
        <v>16</v>
      </c>
      <c r="D59" t="s">
        <v>14</v>
      </c>
      <c r="E59">
        <v>2021</v>
      </c>
      <c r="F59">
        <v>5.7999999999999996E-3</v>
      </c>
      <c r="G59">
        <v>0.41</v>
      </c>
      <c r="H59" s="2">
        <v>521.0526318200001</v>
      </c>
      <c r="I59" s="3">
        <v>6.9119226670000007</v>
      </c>
      <c r="J59" s="4">
        <v>6.38</v>
      </c>
      <c r="K59">
        <v>40</v>
      </c>
      <c r="O59" t="s">
        <v>69</v>
      </c>
      <c r="P59" t="s">
        <v>186</v>
      </c>
      <c r="Q59" t="s">
        <v>188</v>
      </c>
      <c r="R59" t="s">
        <v>71</v>
      </c>
      <c r="S59" t="s">
        <v>72</v>
      </c>
      <c r="T59" t="s">
        <v>80</v>
      </c>
      <c r="U59" t="s">
        <v>74</v>
      </c>
    </row>
    <row r="60" spans="2:21" x14ac:dyDescent="0.35">
      <c r="B60" t="s">
        <v>164</v>
      </c>
      <c r="C60" t="s">
        <v>13</v>
      </c>
      <c r="D60" t="s">
        <v>14</v>
      </c>
      <c r="E60">
        <v>2021</v>
      </c>
      <c r="F60">
        <v>6.4999999999999997E-3</v>
      </c>
      <c r="G60">
        <v>0.28999999999999998</v>
      </c>
      <c r="H60" s="2">
        <v>3200.7518811800001</v>
      </c>
      <c r="I60" s="3">
        <v>131.85821703200003</v>
      </c>
      <c r="J60" s="4">
        <v>1.9778732554800003</v>
      </c>
      <c r="K60">
        <v>40</v>
      </c>
      <c r="O60" t="s">
        <v>69</v>
      </c>
      <c r="P60" t="s">
        <v>187</v>
      </c>
      <c r="Q60" t="s">
        <v>189</v>
      </c>
      <c r="R60" t="s">
        <v>71</v>
      </c>
      <c r="S60" t="s">
        <v>72</v>
      </c>
      <c r="T60" t="s">
        <v>80</v>
      </c>
      <c r="U60" t="s">
        <v>74</v>
      </c>
    </row>
    <row r="61" spans="2:21" x14ac:dyDescent="0.35">
      <c r="B61" t="s">
        <v>168</v>
      </c>
      <c r="C61" t="s">
        <v>16</v>
      </c>
      <c r="D61" t="s">
        <v>14</v>
      </c>
      <c r="E61">
        <v>2021</v>
      </c>
      <c r="F61">
        <v>4.0999999999999995E-3</v>
      </c>
      <c r="G61">
        <v>0.41</v>
      </c>
      <c r="H61" s="2">
        <v>521.0526318200001</v>
      </c>
      <c r="I61" s="3">
        <v>6.9119226670000007</v>
      </c>
      <c r="J61" s="4">
        <v>6.38</v>
      </c>
      <c r="K61">
        <v>40</v>
      </c>
      <c r="O61" t="s">
        <v>69</v>
      </c>
      <c r="P61" t="s">
        <v>190</v>
      </c>
      <c r="Q61" t="s">
        <v>191</v>
      </c>
      <c r="R61" t="s">
        <v>71</v>
      </c>
      <c r="S61" t="s">
        <v>72</v>
      </c>
      <c r="T61" t="s">
        <v>80</v>
      </c>
      <c r="U61" t="s">
        <v>74</v>
      </c>
    </row>
    <row r="62" spans="2:21" x14ac:dyDescent="0.35">
      <c r="B62" t="s">
        <v>198</v>
      </c>
      <c r="C62" t="s">
        <v>192</v>
      </c>
      <c r="D62" t="s">
        <v>14</v>
      </c>
      <c r="E62">
        <v>2021</v>
      </c>
      <c r="F62">
        <v>1.4E-3</v>
      </c>
      <c r="G62">
        <v>0.49</v>
      </c>
      <c r="H62" s="2">
        <v>2150</v>
      </c>
      <c r="I62" s="3">
        <v>35.053609999999999</v>
      </c>
      <c r="J62" s="4">
        <v>3.28</v>
      </c>
      <c r="K62">
        <v>40</v>
      </c>
    </row>
    <row r="63" spans="2:21" x14ac:dyDescent="0.35">
      <c r="B63" t="s">
        <v>172</v>
      </c>
      <c r="C63" t="s">
        <v>13</v>
      </c>
      <c r="D63" t="s">
        <v>14</v>
      </c>
      <c r="E63">
        <v>2021</v>
      </c>
      <c r="F63">
        <v>1.8E-3</v>
      </c>
      <c r="G63">
        <v>0.28999999999999998</v>
      </c>
      <c r="H63" s="2">
        <v>6444.0386710800003</v>
      </c>
      <c r="I63" s="3">
        <v>288.17400657800005</v>
      </c>
      <c r="J63" s="4">
        <v>4.1365198730200001</v>
      </c>
      <c r="K63">
        <v>40</v>
      </c>
    </row>
    <row r="64" spans="2:21" x14ac:dyDescent="0.35">
      <c r="B64" t="s">
        <v>174</v>
      </c>
      <c r="C64" t="s">
        <v>13</v>
      </c>
      <c r="D64" t="s">
        <v>14</v>
      </c>
      <c r="E64">
        <v>2021</v>
      </c>
      <c r="F64">
        <v>1.6999999999999999E-3</v>
      </c>
      <c r="G64">
        <v>0.28999999999999998</v>
      </c>
      <c r="H64" s="2">
        <v>6444.0386710800003</v>
      </c>
      <c r="I64" s="3">
        <v>288.17400657800005</v>
      </c>
      <c r="J64" s="4">
        <v>4.1365198730200001</v>
      </c>
      <c r="K64">
        <v>40</v>
      </c>
    </row>
    <row r="65" spans="2:21" x14ac:dyDescent="0.35">
      <c r="B65" t="s">
        <v>176</v>
      </c>
      <c r="C65" t="s">
        <v>16</v>
      </c>
      <c r="D65" t="s">
        <v>14</v>
      </c>
      <c r="E65">
        <v>2021</v>
      </c>
      <c r="F65">
        <v>1.8E-3</v>
      </c>
      <c r="G65">
        <v>0.41</v>
      </c>
      <c r="H65" s="2">
        <v>521.0526318200001</v>
      </c>
      <c r="I65" s="3">
        <v>6.9119226670000007</v>
      </c>
      <c r="J65" s="4">
        <v>6.38</v>
      </c>
      <c r="K65">
        <v>40</v>
      </c>
    </row>
    <row r="66" spans="2:21" x14ac:dyDescent="0.35">
      <c r="B66" t="s">
        <v>178</v>
      </c>
      <c r="C66" t="s">
        <v>16</v>
      </c>
      <c r="D66" t="s">
        <v>14</v>
      </c>
      <c r="E66">
        <v>2021</v>
      </c>
      <c r="F66">
        <v>1.8E-3</v>
      </c>
      <c r="G66">
        <v>0.41</v>
      </c>
      <c r="H66" s="2">
        <v>521.0526318200001</v>
      </c>
      <c r="I66" s="3">
        <v>6.9119226670000007</v>
      </c>
      <c r="J66" s="4">
        <v>6.38</v>
      </c>
      <c r="K66">
        <v>40</v>
      </c>
    </row>
    <row r="67" spans="2:21" x14ac:dyDescent="0.35">
      <c r="B67" t="s">
        <v>180</v>
      </c>
      <c r="C67" t="s">
        <v>13</v>
      </c>
      <c r="D67" t="s">
        <v>14</v>
      </c>
      <c r="E67">
        <v>2021</v>
      </c>
      <c r="F67">
        <v>1.5E-3</v>
      </c>
      <c r="G67">
        <v>0.28999999999999998</v>
      </c>
      <c r="H67" s="2">
        <v>1010.2040821000001</v>
      </c>
      <c r="I67" s="3">
        <v>10.3678840005</v>
      </c>
      <c r="J67" s="4">
        <v>7.9752953850000008</v>
      </c>
      <c r="K67">
        <v>40</v>
      </c>
    </row>
    <row r="68" spans="2:21" x14ac:dyDescent="0.35">
      <c r="B68" t="s">
        <v>182</v>
      </c>
      <c r="C68" t="s">
        <v>13</v>
      </c>
      <c r="D68" t="s">
        <v>14</v>
      </c>
      <c r="E68">
        <v>2021</v>
      </c>
      <c r="F68">
        <v>1.4E-3</v>
      </c>
      <c r="G68">
        <v>0.28999999999999998</v>
      </c>
      <c r="H68" s="2">
        <v>1010.2040821000001</v>
      </c>
      <c r="I68" s="3">
        <v>10.3678840005</v>
      </c>
      <c r="J68" s="4">
        <v>7.9752953850000008</v>
      </c>
      <c r="K68">
        <v>40</v>
      </c>
    </row>
    <row r="69" spans="2:21" x14ac:dyDescent="0.35">
      <c r="B69" t="s">
        <v>184</v>
      </c>
      <c r="C69" t="s">
        <v>13</v>
      </c>
      <c r="D69" t="s">
        <v>14</v>
      </c>
      <c r="E69">
        <v>2021</v>
      </c>
      <c r="F69">
        <v>1.1999999999999999E-3</v>
      </c>
      <c r="G69">
        <v>0.28999999999999998</v>
      </c>
      <c r="H69" s="2">
        <v>1010.2040821000001</v>
      </c>
      <c r="I69" s="3">
        <v>10.3678840005</v>
      </c>
      <c r="J69" s="4">
        <v>7.9752953850000008</v>
      </c>
      <c r="K69">
        <v>40</v>
      </c>
    </row>
    <row r="70" spans="2:21" x14ac:dyDescent="0.35">
      <c r="B70" t="s">
        <v>186</v>
      </c>
      <c r="C70" t="s">
        <v>13</v>
      </c>
      <c r="D70" t="s">
        <v>14</v>
      </c>
      <c r="E70">
        <v>2021</v>
      </c>
      <c r="F70">
        <v>1.9E-3</v>
      </c>
      <c r="G70">
        <v>0.28999999999999998</v>
      </c>
      <c r="H70" s="2">
        <v>11048.442540020002</v>
      </c>
      <c r="I70" s="3">
        <v>437.04618709800002</v>
      </c>
      <c r="J70" s="4">
        <v>27.520085941840001</v>
      </c>
      <c r="K70">
        <v>40</v>
      </c>
    </row>
    <row r="71" spans="2:21" x14ac:dyDescent="0.35">
      <c r="B71" t="s">
        <v>187</v>
      </c>
      <c r="C71" t="s">
        <v>13</v>
      </c>
      <c r="D71" t="s">
        <v>14</v>
      </c>
      <c r="E71">
        <v>2021</v>
      </c>
      <c r="F71">
        <v>8.9999999999999998E-4</v>
      </c>
      <c r="G71">
        <v>0.28999999999999998</v>
      </c>
      <c r="H71" s="2">
        <v>6444.0386710800003</v>
      </c>
      <c r="I71" s="3">
        <v>288.17400657800005</v>
      </c>
      <c r="J71" s="4">
        <v>4.1365198730200001</v>
      </c>
      <c r="K71">
        <v>40</v>
      </c>
    </row>
    <row r="72" spans="2:21" x14ac:dyDescent="0.35">
      <c r="B72" t="s">
        <v>190</v>
      </c>
      <c r="C72" t="s">
        <v>13</v>
      </c>
      <c r="D72" t="s">
        <v>14</v>
      </c>
      <c r="E72">
        <v>2021</v>
      </c>
      <c r="F72">
        <v>5.0000000000000001E-4</v>
      </c>
      <c r="G72">
        <v>0.28999999999999998</v>
      </c>
      <c r="H72" s="2">
        <v>11048.442540020002</v>
      </c>
      <c r="I72" s="3">
        <v>437.04618709800002</v>
      </c>
      <c r="J72" s="4">
        <v>27.520085941840001</v>
      </c>
      <c r="K72">
        <v>40</v>
      </c>
    </row>
    <row r="77" spans="2:21" x14ac:dyDescent="0.35">
      <c r="B77" t="s">
        <v>20</v>
      </c>
      <c r="C77" t="s">
        <v>21</v>
      </c>
      <c r="D77" t="s">
        <v>14</v>
      </c>
      <c r="E77">
        <v>2013</v>
      </c>
      <c r="F77">
        <v>0.25109999999999999</v>
      </c>
      <c r="G77">
        <v>0.36049999999999999</v>
      </c>
      <c r="H77">
        <v>1265</v>
      </c>
      <c r="I77" s="3">
        <v>48.400000000000006</v>
      </c>
      <c r="J77">
        <v>7.5075000000000003</v>
      </c>
      <c r="K77">
        <v>42</v>
      </c>
      <c r="O77" t="s">
        <v>69</v>
      </c>
      <c r="P77" t="s">
        <v>20</v>
      </c>
      <c r="Q77" t="s">
        <v>79</v>
      </c>
      <c r="R77" t="s">
        <v>71</v>
      </c>
      <c r="S77" t="s">
        <v>72</v>
      </c>
      <c r="T77" t="s">
        <v>73</v>
      </c>
      <c r="U77" t="s">
        <v>77</v>
      </c>
    </row>
    <row r="78" spans="2:21" x14ac:dyDescent="0.35">
      <c r="B78" t="s">
        <v>15</v>
      </c>
      <c r="C78" t="s">
        <v>16</v>
      </c>
      <c r="D78" t="s">
        <v>14</v>
      </c>
      <c r="E78">
        <v>2022</v>
      </c>
      <c r="F78">
        <v>0.21299999999999999</v>
      </c>
      <c r="G78">
        <v>0.33123000000000002</v>
      </c>
      <c r="O78" t="s">
        <v>69</v>
      </c>
      <c r="P78" t="s">
        <v>15</v>
      </c>
      <c r="Q78" t="s">
        <v>75</v>
      </c>
      <c r="R78" t="s">
        <v>71</v>
      </c>
      <c r="S78" t="s">
        <v>72</v>
      </c>
      <c r="T78" t="s">
        <v>73</v>
      </c>
      <c r="U78" t="s">
        <v>74</v>
      </c>
    </row>
    <row r="79" spans="2:21" x14ac:dyDescent="0.35">
      <c r="B79" t="s">
        <v>18</v>
      </c>
      <c r="C79" t="s">
        <v>19</v>
      </c>
      <c r="D79" t="s">
        <v>14</v>
      </c>
      <c r="E79">
        <v>2022</v>
      </c>
      <c r="F79">
        <v>8.0000000000000002E-3</v>
      </c>
      <c r="G79">
        <v>0.33123000000000002</v>
      </c>
      <c r="O79" t="s">
        <v>69</v>
      </c>
      <c r="P79" t="s">
        <v>18</v>
      </c>
      <c r="Q79" t="s">
        <v>78</v>
      </c>
      <c r="R79" t="s">
        <v>71</v>
      </c>
      <c r="S79" t="s">
        <v>72</v>
      </c>
      <c r="T79" t="s">
        <v>73</v>
      </c>
      <c r="U79" t="s">
        <v>74</v>
      </c>
    </row>
    <row r="80" spans="2:21" x14ac:dyDescent="0.35">
      <c r="B80" t="s">
        <v>12</v>
      </c>
      <c r="C80" t="s">
        <v>13</v>
      </c>
      <c r="D80" t="s">
        <v>14</v>
      </c>
      <c r="E80">
        <v>2022</v>
      </c>
      <c r="F80">
        <v>0.3</v>
      </c>
      <c r="G80">
        <v>0.33990000000000004</v>
      </c>
      <c r="H80">
        <v>4427.5</v>
      </c>
      <c r="I80" s="3">
        <v>157.30000000000001</v>
      </c>
      <c r="J80">
        <v>9.24</v>
      </c>
      <c r="K80">
        <v>50</v>
      </c>
      <c r="O80" t="s">
        <v>69</v>
      </c>
      <c r="P80" t="s">
        <v>12</v>
      </c>
      <c r="Q80" t="s">
        <v>70</v>
      </c>
      <c r="R80" t="s">
        <v>71</v>
      </c>
      <c r="S80" t="s">
        <v>72</v>
      </c>
      <c r="T80" t="s">
        <v>73</v>
      </c>
      <c r="U80" t="s">
        <v>74</v>
      </c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EAB3BD-FD82-4128-8F02-FA58B77D374D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ccs_retrofits</vt:lpstr>
      <vt:lpstr>new_options</vt:lpstr>
      <vt:lpstr>existing_stock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Kristopher Raik</cp:lastModifiedBy>
  <dcterms:created xsi:type="dcterms:W3CDTF">2025-09-25T11:16:12Z</dcterms:created>
  <dcterms:modified xsi:type="dcterms:W3CDTF">2026-02-18T12:39:44Z</dcterms:modified>
</cp:coreProperties>
</file>