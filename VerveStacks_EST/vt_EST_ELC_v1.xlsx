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B151CA3A-D3EC-469B-97E4-E571A5E30242}" xr6:coauthVersionLast="47" xr6:coauthVersionMax="47" xr10:uidLastSave="{00000000-0000-0000-0000-000000000000}"/>
  <bookViews>
    <workbookView xWindow="-38520" yWindow="-5220" windowWidth="38640" windowHeight="211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" i="2" l="1"/>
  <c r="P20" i="2" s="1"/>
  <c r="P24" i="2" l="1"/>
  <c r="J33" i="2" l="1"/>
  <c r="I33" i="2"/>
  <c r="F33" i="2"/>
  <c r="G52" i="2"/>
  <c r="G51" i="2"/>
  <c r="G48" i="2"/>
  <c r="G47" i="2"/>
  <c r="G45" i="2"/>
  <c r="G40" i="2"/>
  <c r="G36" i="2"/>
  <c r="G35" i="2"/>
  <c r="G32" i="2"/>
  <c r="G34" i="2"/>
  <c r="G31" i="2"/>
  <c r="G30" i="2"/>
  <c r="J54" i="2"/>
  <c r="J55" i="2"/>
  <c r="J56" i="2"/>
  <c r="J57" i="2"/>
  <c r="J58" i="2"/>
  <c r="J53" i="2"/>
  <c r="J52" i="2"/>
  <c r="J51" i="2"/>
  <c r="J50" i="2"/>
  <c r="J49" i="2"/>
  <c r="J47" i="2"/>
  <c r="J46" i="2"/>
  <c r="J45" i="2"/>
  <c r="J42" i="2"/>
  <c r="J43" i="2"/>
  <c r="J44" i="2"/>
  <c r="J41" i="2"/>
  <c r="J40" i="2"/>
  <c r="J37" i="2"/>
  <c r="J38" i="2"/>
  <c r="J39" i="2"/>
  <c r="J36" i="2"/>
  <c r="J35" i="2"/>
  <c r="J48" i="2"/>
  <c r="J32" i="2"/>
  <c r="J34" i="2"/>
  <c r="J31" i="2"/>
  <c r="J30" i="2"/>
  <c r="H58" i="2"/>
  <c r="I58" i="2" s="1"/>
  <c r="H57" i="2"/>
  <c r="I57" i="2" s="1"/>
  <c r="H56" i="2"/>
  <c r="I56" i="2" s="1"/>
  <c r="H55" i="2"/>
  <c r="I55" i="2" s="1"/>
  <c r="H54" i="2"/>
  <c r="I54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2" i="2"/>
  <c r="I42" i="2" s="1"/>
  <c r="H43" i="2"/>
  <c r="I43" i="2" s="1"/>
  <c r="H44" i="2"/>
  <c r="I44" i="2" s="1"/>
  <c r="H41" i="2"/>
  <c r="I41" i="2" s="1"/>
  <c r="H40" i="2"/>
  <c r="I40" i="2" s="1"/>
  <c r="H37" i="2"/>
  <c r="H38" i="2"/>
  <c r="H39" i="2"/>
  <c r="H36" i="2"/>
  <c r="H35" i="2"/>
  <c r="I35" i="2" l="1"/>
  <c r="I30" i="2"/>
  <c r="I37" i="2"/>
  <c r="I38" i="2"/>
  <c r="I39" i="2"/>
  <c r="I34" i="2"/>
  <c r="I32" i="2"/>
  <c r="I31" i="2"/>
  <c r="I36" i="2"/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tc={1905391B-2A5F-4643-B2AC-720AD8410CDA}</author>
    <author>tc={3057E3B1-7BF3-4718-B31B-0585028D4313}</author>
  </authors>
  <commentList>
    <comment ref="Y11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0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1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9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N43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Q47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T84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5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<sst xmlns="http://schemas.openxmlformats.org/spreadsheetml/2006/main" count="911" uniqueCount="219">
  <si>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</si>
  <si>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</si>
  <si>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</si>
  <si>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</si>
  <si>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</si>
  <si>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</si>
  <si>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</si>
  <si>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</si>
  <si>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</si>
  <si>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</si>
  <si>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</si>
  <si>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</si>
  <si>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</si>
  <si>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</si>
  <si>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</si>
  <si>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</si>
  <si>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</si>
  <si>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</si>
  <si>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</si>
  <si>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</si>
  <si>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</si>
  <si>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</si>
  <si>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</si>
  <si>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</si>
  <si>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</si>
  <si>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</si>
  <si>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</si>
  <si>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</si>
  <si>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</si>
  <si>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</si>
  <si>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</si>
  <si>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</si>
  <si>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</si>
  <si>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</si>
  <si>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</si>
  <si>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</si>
  <si>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</si>
  <si>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</si>
  <si>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</si>
  <si>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</si>
  <si>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</si>
  <si>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</si>
  <si>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</si>
  <si>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</si>
  <si>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</si>
  <si>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</si>
  <si>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</si>
  <si>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</si>
  <si>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</si>
  <si>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</si>
  <si>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</si>
  <si>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</si>
  <si>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</si>
  <si>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</si>
  <si>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</si>
  <si>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</si>
  <si>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</si>
  <si>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</si>
  <si>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</si>
  <si>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</si>
  <si>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</si>
  <si>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</si>
  <si>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</si>
  <si>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</si>
  <si>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</si>
  <si>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</si>
  <si>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</si>
  <si>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</si>
  <si>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</si>
  <si>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</si>
  <si>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</si>
  <si>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</si>
  <si>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</si>
  <si>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</si>
  <si>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</si>
  <si>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</si>
  <si>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</si>
  <si>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</si>
  <si>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</si>
  <si>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</si>
  <si>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</si>
  <si>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</si>
  <si>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</si>
  <si>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</si>
  <si>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</si>
  <si>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</si>
  <si>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</si>
  <si>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</si>
  <si>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</si>
  <si>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</si>
  <si>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</si>
  <si>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</si>
  <si>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</si>
  <si>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</si>
  <si>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</si>
  <si>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</si>
  <si>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</si>
  <si>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</si>
  <si>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</si>
  <si>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</si>
  <si>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</si>
  <si>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</si>
  <si>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</si>
  <si>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</si>
  <si>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</si>
  <si>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</si>
  <si>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</si>
  <si>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</si>
  <si>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</si>
  <si>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</si>
  <si>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</si>
  <si>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</si>
  <si>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</si>
  <si>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</si>
  <si>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</si>
  <si>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</si>
  <si>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</si>
  <si>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</si>
  <si>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</si>
  <si>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</si>
  <si>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</si>
  <si>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</si>
  <si>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</si>
  <si>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</si>
  <si>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</si>
  <si>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</si>
  <si>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</si>
  <si>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</si>
  <si>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</si>
  <si>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</si>
  <si>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</si>
  <si>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</si>
  <si>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</si>
  <si>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</si>
  <si>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</si>
  <si>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</si>
  <si>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</si>
  <si>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</si>
  <si>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</si>
  <si>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</si>
  <si>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</si>
  <si>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</si>
  <si>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</si>
  <si>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</si>
  <si>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</si>
  <si>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</si>
  <si>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</si>
  <si>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</si>
  <si>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</si>
  <si>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</si>
  <si>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</si>
  <si>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</si>
  <si>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</si>
  <si>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</si>
  <si>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</si>
  <si>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</si>
  <si>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</si>
  <si>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</si>
  <si>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</si>
  <si>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</si>
  <si>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</si>
  <si>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</si>
  <si>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</si>
  <si>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</si>
  <si>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</si>
  <si>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</si>
  <si>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</si>
  <si>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</si>
  <si>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</si>
  <si>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</si>
  <si>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</si>
  <si>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</si>
  <si>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</si>
  <si>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</si>
  <si>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</si>
  <si>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</si>
  <si>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</si>
  <si>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</si>
  <si>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</si>
  <si>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</si>
  <si>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</si>
  <si>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</si>
  <si>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</si>
  <si>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</si>
  <si>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</si>
  <si>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</si>
  <si>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</si>
  <si>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</si>
  <si>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</si>
  <si>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</si>
  <si>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</si>
  <si>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</si>
  <si>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</si>
  <si>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</si>
  <si>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</si>
  <si>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</si>
  <si>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</si>
  <si>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</si>
  <si>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</si>
  <si>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</si>
  <si>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</si>
  <si>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</si>
  <si>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</si>
  <si>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</si>
  <si>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</si>
  <si>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</si>
  <si>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</si>
  <si>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</si>
  <si>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</si>
  <si>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</si>
  <si>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</si>
  <si>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</si>
  <si>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</si>
  <si>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</si>
  <si>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</si>
  <si>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</si>
  <si>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</si>
  <si>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</si>
  <si>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Aggregated Plant of windon except sopi plants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</si>
</sst>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Y11" dT="2026-03-05T12:47:49.66" personId="{9CD26280-DD25-46DF-A708-6877D8A68AD8}" id="{D3B26940-5207-4925-84BA-C36AB3766D74}">
    <text>Miks daynite (hydro samuti)</text>
  </threadedComment>
  <threadedComment ref="F30" dT="2026-01-22T14:00:05.64" personId="{9CD26280-DD25-46DF-A708-6877D8A68AD8}" id="{E45DD652-654C-4828-8A13-679EDDC53E65}">
    <text>Iru produces only 17 MW in 2025 not 0.207 GW</text>
  </threadedComment>
  <threadedComment ref="B31" dT="2026-02-02T06:49:06.81" personId="{9CD26280-DD25-46DF-A708-6877D8A68AD8}" id="{5D0B02A9-24B3-4F36-8683-2AD26D1E0821}">
    <text>TODO: set their actual start date and then add how much they produce in 2025</text>
  </threadedComment>
  <threadedComment ref="E39" dT="2026-03-04T15:33:22.35" personId="{9CD26280-DD25-46DF-A708-6877D8A68AD8}" id="{D6875D25-4560-414C-93D8-31A6498B8282}">
    <text xml:space="preserve">Ei tea
</text>
  </threadedComment>
  <threadedComment ref="N43" dT="2026-03-05T12:22:32.07" personId="{9CD26280-DD25-46DF-A708-6877D8A68AD8}" id="{C9FF73F0-A53F-4E15-A8C5-00DAE5061F13}">
    <text xml:space="preserve">NCAP_FOM (currency/GW-yr)=100/1.31​×NCAP_COST (currency/GW)
</text>
  </threadedComment>
  <threadedComment ref="Q47" dT="2026-03-05T12:58:31.38" personId="{9CD26280-DD25-46DF-A708-6877D8A68AD8}" id="{C2CA05C3-E9FD-442F-962C-5D4E7F1ADE70}">
    <text>Took same as chp</text>
  </threadedComment>
  <threadedComment ref="T84" dT="2026-01-28T08:41:02.80" personId="{9CD26280-DD25-46DF-A708-6877D8A68AD8}" id="{1905391B-2A5F-4643-B2AC-720AD8410CDA}">
    <text>Frequency reserve</text>
  </threadedComment>
  <threadedComment ref="J85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C11" sqref="C11:L1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Z105"/>
  <sheetViews>
    <sheetView tabSelected="1" topLeftCell="A9" zoomScale="76" zoomScaleNormal="78" workbookViewId="0">
      <pane ySplit="2" topLeftCell="A11" activePane="bottomLeft" state="frozen"/>
      <selection activeCell="A9" sqref="A9"/>
      <selection pane="bottomLeft" activeCell="S32" sqref="S32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7.28515625" bestFit="1" customWidth="1"/>
    <col min="14" max="14" width="12" bestFit="1" customWidth="1"/>
    <col min="16" max="16" width="40.5703125" bestFit="1" customWidth="1"/>
    <col min="17" max="17" width="64.42578125" bestFit="1" customWidth="1"/>
    <col min="18" max="18" width="41.42578125" bestFit="1" customWidth="1"/>
    <col min="19" max="19" width="64.42578125" bestFit="1" customWidth="1"/>
    <col min="21" max="21" width="41.42578125" bestFit="1" customWidth="1"/>
    <col min="22" max="22" width="64.42578125" bestFit="1" customWidth="1"/>
  </cols>
  <sheetData>
    <row r="9" spans="2:26" x14ac:dyDescent="0.25">
      <c r="B9" t="s">
        <v>0</v>
      </c>
      <c r="T9" t="s">
        <v>62</v>
      </c>
    </row>
    <row r="10" spans="2:26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T10" t="s">
        <v>63</v>
      </c>
      <c r="U10" t="s">
        <v>1</v>
      </c>
      <c r="V10" t="s">
        <v>64</v>
      </c>
      <c r="W10" t="s">
        <v>65</v>
      </c>
      <c r="X10" t="s">
        <v>66</v>
      </c>
      <c r="Y10" t="s">
        <v>67</v>
      </c>
      <c r="Z10" t="s">
        <v>68</v>
      </c>
    </row>
    <row r="11" spans="2:26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T11" t="s">
        <v>69</v>
      </c>
      <c r="U11" t="s">
        <v>17</v>
      </c>
      <c r="V11" t="s">
        <v>76</v>
      </c>
      <c r="W11" t="s">
        <v>71</v>
      </c>
      <c r="X11" t="s">
        <v>72</v>
      </c>
      <c r="Y11" t="s">
        <v>73</v>
      </c>
      <c r="Z11" t="s">
        <v>74</v>
      </c>
    </row>
    <row r="12" spans="2:26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T12" t="s">
        <v>69</v>
      </c>
      <c r="U12" t="s">
        <v>61</v>
      </c>
      <c r="V12" t="s">
        <v>81</v>
      </c>
      <c r="W12" t="s">
        <v>71</v>
      </c>
      <c r="X12" t="s">
        <v>72</v>
      </c>
      <c r="Y12" t="s">
        <v>80</v>
      </c>
      <c r="Z12" t="s">
        <v>74</v>
      </c>
    </row>
    <row r="13" spans="2:26" x14ac:dyDescent="0.25">
      <c r="B13" t="s">
        <v>27</v>
      </c>
      <c r="C13" t="s">
        <v>23</v>
      </c>
      <c r="D13" t="s">
        <v>28</v>
      </c>
      <c r="E13">
        <v>2022</v>
      </c>
      <c r="F13">
        <v>0.3269999999999999</v>
      </c>
      <c r="G13">
        <v>0.33123000000000002</v>
      </c>
      <c r="L13">
        <v>0.14986856628506873</v>
      </c>
      <c r="T13" t="s">
        <v>69</v>
      </c>
      <c r="U13" t="s">
        <v>216</v>
      </c>
      <c r="V13" t="s">
        <v>81</v>
      </c>
      <c r="W13" t="s">
        <v>71</v>
      </c>
      <c r="X13" t="s">
        <v>72</v>
      </c>
      <c r="Y13" t="s">
        <v>80</v>
      </c>
      <c r="Z13" t="s">
        <v>74</v>
      </c>
    </row>
    <row r="14" spans="2:26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T14" t="s">
        <v>69</v>
      </c>
      <c r="U14" t="s">
        <v>217</v>
      </c>
      <c r="V14" t="s">
        <v>218</v>
      </c>
      <c r="W14" t="s">
        <v>71</v>
      </c>
      <c r="X14" t="s">
        <v>72</v>
      </c>
      <c r="Y14" t="s">
        <v>80</v>
      </c>
      <c r="Z14" t="s">
        <v>77</v>
      </c>
    </row>
    <row r="15" spans="2:26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T15" t="s">
        <v>140</v>
      </c>
      <c r="U15" s="1" t="s">
        <v>141</v>
      </c>
    </row>
    <row r="16" spans="2:26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T16" t="s">
        <v>69</v>
      </c>
      <c r="U16" t="s">
        <v>194</v>
      </c>
      <c r="V16" t="s">
        <v>163</v>
      </c>
      <c r="W16" t="s">
        <v>71</v>
      </c>
      <c r="X16" t="s">
        <v>72</v>
      </c>
      <c r="Y16" t="s">
        <v>80</v>
      </c>
      <c r="Z16" t="s">
        <v>74</v>
      </c>
    </row>
    <row r="17" spans="2:26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T17" t="s">
        <v>69</v>
      </c>
      <c r="U17" t="s">
        <v>193</v>
      </c>
      <c r="V17" t="s">
        <v>148</v>
      </c>
      <c r="W17" t="s">
        <v>71</v>
      </c>
      <c r="X17" t="s">
        <v>72</v>
      </c>
      <c r="Y17" t="s">
        <v>80</v>
      </c>
      <c r="Z17" t="s">
        <v>74</v>
      </c>
    </row>
    <row r="18" spans="2:26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O18">
        <v>3.9363662143155967E-2</v>
      </c>
      <c r="P18">
        <v>0.28763633785684395</v>
      </c>
      <c r="T18" t="s">
        <v>69</v>
      </c>
      <c r="U18" t="s">
        <v>195</v>
      </c>
      <c r="V18" t="s">
        <v>149</v>
      </c>
      <c r="W18" t="s">
        <v>71</v>
      </c>
      <c r="X18" t="s">
        <v>72</v>
      </c>
      <c r="Y18" t="s">
        <v>80</v>
      </c>
      <c r="Z18" t="s">
        <v>74</v>
      </c>
    </row>
    <row r="19" spans="2:26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T19" t="s">
        <v>69</v>
      </c>
      <c r="U19" t="s">
        <v>196</v>
      </c>
      <c r="V19" t="s">
        <v>150</v>
      </c>
      <c r="W19" t="s">
        <v>71</v>
      </c>
      <c r="X19" t="s">
        <v>72</v>
      </c>
      <c r="Y19" t="s">
        <v>80</v>
      </c>
      <c r="Z19" t="s">
        <v>74</v>
      </c>
    </row>
    <row r="20" spans="2:26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O20">
        <f>SUM(F11:F25)</f>
        <v>0.92963633785684396</v>
      </c>
      <c r="P20">
        <f>0.969-F13-O20</f>
        <v>-0.28763633785684384</v>
      </c>
      <c r="T20" t="s">
        <v>69</v>
      </c>
      <c r="U20" t="s">
        <v>142</v>
      </c>
      <c r="V20" t="s">
        <v>161</v>
      </c>
      <c r="W20" t="s">
        <v>71</v>
      </c>
      <c r="X20" t="s">
        <v>72</v>
      </c>
      <c r="Y20" t="s">
        <v>80</v>
      </c>
      <c r="Z20" t="s">
        <v>74</v>
      </c>
    </row>
    <row r="21" spans="2:26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T21" t="s">
        <v>69</v>
      </c>
      <c r="U21" t="s">
        <v>143</v>
      </c>
      <c r="V21" t="s">
        <v>151</v>
      </c>
      <c r="W21" t="s">
        <v>71</v>
      </c>
      <c r="X21" t="s">
        <v>72</v>
      </c>
      <c r="Y21" t="s">
        <v>80</v>
      </c>
      <c r="Z21" t="s">
        <v>74</v>
      </c>
    </row>
    <row r="22" spans="2:26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T22" t="s">
        <v>69</v>
      </c>
      <c r="U22" t="s">
        <v>144</v>
      </c>
      <c r="V22" t="s">
        <v>152</v>
      </c>
      <c r="W22" t="s">
        <v>71</v>
      </c>
      <c r="X22" t="s">
        <v>72</v>
      </c>
      <c r="Y22" t="s">
        <v>80</v>
      </c>
      <c r="Z22" t="s">
        <v>74</v>
      </c>
    </row>
    <row r="23" spans="2:26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T23" t="s">
        <v>69</v>
      </c>
      <c r="U23" t="s">
        <v>145</v>
      </c>
      <c r="V23" t="s">
        <v>153</v>
      </c>
      <c r="W23" t="s">
        <v>71</v>
      </c>
      <c r="X23" t="s">
        <v>72</v>
      </c>
      <c r="Y23" t="s">
        <v>80</v>
      </c>
      <c r="Z23" t="s">
        <v>74</v>
      </c>
    </row>
    <row r="24" spans="2:26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P24">
        <f>SUM(O20:P20)+F13</f>
        <v>0.96900000000000008</v>
      </c>
      <c r="T24" t="s">
        <v>69</v>
      </c>
      <c r="U24" t="s">
        <v>146</v>
      </c>
      <c r="V24" t="s">
        <v>147</v>
      </c>
      <c r="W24" t="s">
        <v>71</v>
      </c>
      <c r="X24" t="s">
        <v>72</v>
      </c>
      <c r="Y24" t="s">
        <v>80</v>
      </c>
      <c r="Z24" t="s">
        <v>74</v>
      </c>
    </row>
    <row r="25" spans="2:26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T25" t="s">
        <v>69</v>
      </c>
      <c r="U25" t="s">
        <v>197</v>
      </c>
      <c r="V25" t="s">
        <v>162</v>
      </c>
      <c r="W25" t="s">
        <v>71</v>
      </c>
      <c r="X25" t="s">
        <v>72</v>
      </c>
      <c r="Y25" t="s">
        <v>80</v>
      </c>
      <c r="Z25" t="s">
        <v>74</v>
      </c>
    </row>
    <row r="26" spans="2:26" x14ac:dyDescent="0.25">
      <c r="B26" t="s">
        <v>61</v>
      </c>
      <c r="C26" t="s">
        <v>45</v>
      </c>
      <c r="D26" t="s">
        <v>58</v>
      </c>
      <c r="E26">
        <v>2024</v>
      </c>
      <c r="F26">
        <v>7.9699999999999993E-2</v>
      </c>
      <c r="G26">
        <v>1</v>
      </c>
      <c r="H26">
        <v>2024</v>
      </c>
      <c r="I26" s="3">
        <v>48.400000000000006</v>
      </c>
      <c r="J26">
        <v>2.3100000000000005</v>
      </c>
      <c r="K26">
        <v>31</v>
      </c>
      <c r="L26">
        <v>0.365520596150406</v>
      </c>
      <c r="T26" t="s">
        <v>69</v>
      </c>
      <c r="U26" t="s">
        <v>154</v>
      </c>
      <c r="V26" t="s">
        <v>155</v>
      </c>
      <c r="W26" t="s">
        <v>71</v>
      </c>
      <c r="X26" t="s">
        <v>72</v>
      </c>
      <c r="Y26" t="s">
        <v>80</v>
      </c>
      <c r="Z26" t="s">
        <v>74</v>
      </c>
    </row>
    <row r="27" spans="2:26" x14ac:dyDescent="0.25">
      <c r="B27" t="s">
        <v>216</v>
      </c>
      <c r="C27" t="s">
        <v>45</v>
      </c>
      <c r="D27" t="s">
        <v>58</v>
      </c>
      <c r="E27">
        <v>2025</v>
      </c>
      <c r="F27">
        <v>0.17519999999999999</v>
      </c>
      <c r="G27">
        <v>1</v>
      </c>
      <c r="H27">
        <v>2024</v>
      </c>
      <c r="I27" s="3">
        <v>48.4</v>
      </c>
      <c r="J27">
        <v>2.3100000000000005</v>
      </c>
      <c r="K27">
        <v>30</v>
      </c>
      <c r="L27">
        <v>0.365520596150406</v>
      </c>
      <c r="M27">
        <f>F90*L90*G90</f>
        <v>2.0930123559331545E-3</v>
      </c>
      <c r="T27" t="s">
        <v>69</v>
      </c>
      <c r="U27" t="s">
        <v>156</v>
      </c>
      <c r="V27" t="s">
        <v>157</v>
      </c>
      <c r="W27" t="s">
        <v>71</v>
      </c>
      <c r="X27" t="s">
        <v>72</v>
      </c>
      <c r="Y27" t="s">
        <v>80</v>
      </c>
      <c r="Z27" t="s">
        <v>74</v>
      </c>
    </row>
    <row r="28" spans="2:26" x14ac:dyDescent="0.25">
      <c r="B28" t="s">
        <v>217</v>
      </c>
      <c r="C28" t="s">
        <v>45</v>
      </c>
      <c r="D28" t="s">
        <v>52</v>
      </c>
      <c r="E28">
        <v>2015</v>
      </c>
      <c r="F28">
        <v>0.439</v>
      </c>
      <c r="G28">
        <v>1</v>
      </c>
      <c r="H28">
        <v>2376</v>
      </c>
      <c r="I28" s="3">
        <v>57.20000000000001</v>
      </c>
      <c r="J28">
        <v>2.52</v>
      </c>
      <c r="K28">
        <v>50</v>
      </c>
      <c r="L28">
        <v>0.41047488326249421</v>
      </c>
      <c r="T28" t="s">
        <v>69</v>
      </c>
      <c r="U28" t="s">
        <v>170</v>
      </c>
      <c r="V28" t="s">
        <v>171</v>
      </c>
      <c r="W28" t="s">
        <v>71</v>
      </c>
      <c r="X28" t="s">
        <v>72</v>
      </c>
      <c r="Y28" t="s">
        <v>80</v>
      </c>
      <c r="Z28" t="s">
        <v>74</v>
      </c>
    </row>
    <row r="29" spans="2:26" x14ac:dyDescent="0.25">
      <c r="B29" t="s">
        <v>140</v>
      </c>
      <c r="C29" s="1" t="s">
        <v>141</v>
      </c>
      <c r="T29" t="s">
        <v>69</v>
      </c>
      <c r="U29" t="s">
        <v>158</v>
      </c>
      <c r="V29" t="s">
        <v>159</v>
      </c>
      <c r="W29" t="s">
        <v>71</v>
      </c>
      <c r="X29" t="s">
        <v>72</v>
      </c>
      <c r="Y29" t="s">
        <v>80</v>
      </c>
      <c r="Z29" t="s">
        <v>74</v>
      </c>
    </row>
    <row r="30" spans="2:26" x14ac:dyDescent="0.25">
      <c r="B30" t="s">
        <v>17</v>
      </c>
      <c r="C30" t="s">
        <v>13</v>
      </c>
      <c r="D30" t="s">
        <v>14</v>
      </c>
      <c r="E30">
        <v>1982</v>
      </c>
      <c r="F30">
        <v>1.7000000000000001E-2</v>
      </c>
      <c r="G30">
        <f>P45</f>
        <v>0.56000000000000005</v>
      </c>
      <c r="H30" s="2">
        <v>1175.5066999999999</v>
      </c>
      <c r="I30" s="3">
        <f>(N45/100)*H31</f>
        <v>160.216352398</v>
      </c>
      <c r="J30">
        <f>Q45</f>
        <v>5.8775000000000004</v>
      </c>
      <c r="K30">
        <v>53</v>
      </c>
      <c r="T30" t="s">
        <v>69</v>
      </c>
      <c r="U30" t="s">
        <v>169</v>
      </c>
      <c r="V30" t="s">
        <v>160</v>
      </c>
      <c r="W30" t="s">
        <v>71</v>
      </c>
      <c r="X30" t="s">
        <v>72</v>
      </c>
      <c r="Y30" t="s">
        <v>80</v>
      </c>
      <c r="Z30" t="s">
        <v>74</v>
      </c>
    </row>
    <row r="31" spans="2:26" x14ac:dyDescent="0.25">
      <c r="B31" t="s">
        <v>196</v>
      </c>
      <c r="C31" t="s">
        <v>192</v>
      </c>
      <c r="D31" t="s">
        <v>14</v>
      </c>
      <c r="E31">
        <v>1965</v>
      </c>
      <c r="F31">
        <v>0.77</v>
      </c>
      <c r="G31">
        <f>$P$44</f>
        <v>0.33</v>
      </c>
      <c r="H31" s="2">
        <v>4812.0244000000002</v>
      </c>
      <c r="I31" s="3">
        <f>(1.31/100)*H31</f>
        <v>63.037519640000006</v>
      </c>
      <c r="J31">
        <f>$Q$44</f>
        <v>4.1005000000000003</v>
      </c>
      <c r="K31">
        <v>70</v>
      </c>
      <c r="T31" t="s">
        <v>69</v>
      </c>
      <c r="U31" t="s">
        <v>164</v>
      </c>
      <c r="V31" t="s">
        <v>165</v>
      </c>
      <c r="W31" t="s">
        <v>71</v>
      </c>
      <c r="X31" t="s">
        <v>72</v>
      </c>
      <c r="Y31" t="s">
        <v>80</v>
      </c>
      <c r="Z31" t="s">
        <v>74</v>
      </c>
    </row>
    <row r="32" spans="2:26" x14ac:dyDescent="0.25">
      <c r="B32" t="s">
        <v>194</v>
      </c>
      <c r="C32" t="s">
        <v>192</v>
      </c>
      <c r="D32" t="s">
        <v>14</v>
      </c>
      <c r="E32">
        <v>2015</v>
      </c>
      <c r="F32">
        <v>0.26</v>
      </c>
      <c r="G32">
        <f t="shared" ref="G32:G34" si="0">$P$44</f>
        <v>0.33</v>
      </c>
      <c r="H32" s="2">
        <v>4812.0244000000002</v>
      </c>
      <c r="I32" s="3">
        <f>(1.31/100)*H32</f>
        <v>63.037519640000006</v>
      </c>
      <c r="J32">
        <f t="shared" ref="J32:J48" si="1">$Q$44</f>
        <v>4.1005000000000003</v>
      </c>
      <c r="K32">
        <v>40</v>
      </c>
      <c r="T32" t="s">
        <v>69</v>
      </c>
      <c r="U32" t="s">
        <v>168</v>
      </c>
      <c r="V32" t="s">
        <v>166</v>
      </c>
      <c r="W32" t="s">
        <v>71</v>
      </c>
      <c r="X32" t="s">
        <v>72</v>
      </c>
      <c r="Y32" t="s">
        <v>80</v>
      </c>
      <c r="Z32" t="s">
        <v>74</v>
      </c>
    </row>
    <row r="33" spans="2:26" x14ac:dyDescent="0.25">
      <c r="B33" t="s">
        <v>195</v>
      </c>
      <c r="C33" t="s">
        <v>192</v>
      </c>
      <c r="D33" t="s">
        <v>14</v>
      </c>
      <c r="E33">
        <v>2025</v>
      </c>
      <c r="F33">
        <f>0.01</f>
        <v>0.01</v>
      </c>
      <c r="G33">
        <v>0.33</v>
      </c>
      <c r="H33" s="2">
        <v>4812.0244000000002</v>
      </c>
      <c r="I33" s="3">
        <f>(1.31/100)*H33</f>
        <v>63.037519640000006</v>
      </c>
      <c r="J33">
        <f>$Q$44</f>
        <v>4.1005000000000003</v>
      </c>
      <c r="K33">
        <v>40</v>
      </c>
      <c r="T33" t="s">
        <v>69</v>
      </c>
      <c r="U33" t="s">
        <v>198</v>
      </c>
      <c r="V33" t="s">
        <v>167</v>
      </c>
      <c r="W33" t="s">
        <v>71</v>
      </c>
      <c r="X33" t="s">
        <v>72</v>
      </c>
      <c r="Y33" t="s">
        <v>80</v>
      </c>
      <c r="Z33" t="s">
        <v>74</v>
      </c>
    </row>
    <row r="34" spans="2:26" x14ac:dyDescent="0.25">
      <c r="B34" t="s">
        <v>193</v>
      </c>
      <c r="C34" t="s">
        <v>192</v>
      </c>
      <c r="D34" t="s">
        <v>14</v>
      </c>
      <c r="E34">
        <v>1956</v>
      </c>
      <c r="F34">
        <v>0.185</v>
      </c>
      <c r="G34">
        <f t="shared" si="0"/>
        <v>0.33</v>
      </c>
      <c r="H34" s="2">
        <v>4812.0244000000002</v>
      </c>
      <c r="I34" s="3">
        <f>(1.31/100)*H34</f>
        <v>63.037519640000006</v>
      </c>
      <c r="J34">
        <f t="shared" si="1"/>
        <v>4.1005000000000003</v>
      </c>
      <c r="K34">
        <v>73</v>
      </c>
      <c r="T34" t="s">
        <v>69</v>
      </c>
      <c r="U34" t="s">
        <v>172</v>
      </c>
      <c r="V34" t="s">
        <v>173</v>
      </c>
      <c r="W34" t="s">
        <v>71</v>
      </c>
      <c r="X34" t="s">
        <v>72</v>
      </c>
      <c r="Y34" t="s">
        <v>80</v>
      </c>
      <c r="Z34" t="s">
        <v>74</v>
      </c>
    </row>
    <row r="35" spans="2:26" x14ac:dyDescent="0.25">
      <c r="B35" t="s">
        <v>142</v>
      </c>
      <c r="C35" t="s">
        <v>16</v>
      </c>
      <c r="D35" t="s">
        <v>14</v>
      </c>
      <c r="E35">
        <v>2021</v>
      </c>
      <c r="F35">
        <v>7.6999999999999999E-2</v>
      </c>
      <c r="G35">
        <f>P45</f>
        <v>0.56000000000000005</v>
      </c>
      <c r="H35" s="2">
        <f>O45</f>
        <v>1175.5066999999999</v>
      </c>
      <c r="I35" s="3">
        <f>(N45/100)*H35</f>
        <v>39.138495576499992</v>
      </c>
      <c r="J35">
        <f>$Q$45</f>
        <v>5.8775000000000004</v>
      </c>
      <c r="K35">
        <v>40</v>
      </c>
      <c r="T35" t="s">
        <v>69</v>
      </c>
      <c r="U35" t="s">
        <v>174</v>
      </c>
      <c r="V35" t="s">
        <v>175</v>
      </c>
      <c r="W35" t="s">
        <v>71</v>
      </c>
      <c r="X35" t="s">
        <v>72</v>
      </c>
      <c r="Y35" t="s">
        <v>80</v>
      </c>
      <c r="Z35" t="s">
        <v>74</v>
      </c>
    </row>
    <row r="36" spans="2:26" x14ac:dyDescent="0.25">
      <c r="B36" t="s">
        <v>143</v>
      </c>
      <c r="C36" t="s">
        <v>13</v>
      </c>
      <c r="D36" t="s">
        <v>14</v>
      </c>
      <c r="E36">
        <v>2018</v>
      </c>
      <c r="F36">
        <v>3.9E-2</v>
      </c>
      <c r="G36">
        <f>P47</f>
        <v>0.46800000000000003</v>
      </c>
      <c r="H36" s="2">
        <f>$O$47</f>
        <v>2950.7891</v>
      </c>
      <c r="I36" s="3">
        <f>(4.5269/100)*H36</f>
        <v>133.5792717679</v>
      </c>
      <c r="J36">
        <f>$Q$47</f>
        <v>2.8138000000000001</v>
      </c>
      <c r="K36">
        <v>40</v>
      </c>
      <c r="T36" t="s">
        <v>69</v>
      </c>
      <c r="U36" t="s">
        <v>176</v>
      </c>
      <c r="V36" t="s">
        <v>177</v>
      </c>
      <c r="W36" t="s">
        <v>71</v>
      </c>
      <c r="X36" t="s">
        <v>72</v>
      </c>
      <c r="Y36" t="s">
        <v>80</v>
      </c>
      <c r="Z36" t="s">
        <v>74</v>
      </c>
    </row>
    <row r="37" spans="2:26" x14ac:dyDescent="0.25">
      <c r="B37" t="s">
        <v>144</v>
      </c>
      <c r="C37" t="s">
        <v>13</v>
      </c>
      <c r="D37" t="s">
        <v>14</v>
      </c>
      <c r="E37">
        <v>2009</v>
      </c>
      <c r="F37">
        <v>2.2100000000000002E-2</v>
      </c>
      <c r="G37">
        <v>0.46800000000000003</v>
      </c>
      <c r="H37" s="2">
        <f t="shared" ref="H37:H39" si="2">$O$47</f>
        <v>2950.7891</v>
      </c>
      <c r="I37" s="3">
        <f t="shared" ref="I37:I39" si="3">(4.5269/100)*H37</f>
        <v>133.5792717679</v>
      </c>
      <c r="J37">
        <f t="shared" ref="J37:J39" si="4">$Q$47</f>
        <v>2.8138000000000001</v>
      </c>
      <c r="K37">
        <v>40</v>
      </c>
      <c r="T37" t="s">
        <v>69</v>
      </c>
      <c r="U37" t="s">
        <v>178</v>
      </c>
      <c r="V37" t="s">
        <v>179</v>
      </c>
      <c r="W37" t="s">
        <v>71</v>
      </c>
      <c r="X37" t="s">
        <v>72</v>
      </c>
      <c r="Y37" t="s">
        <v>80</v>
      </c>
      <c r="Z37" t="s">
        <v>74</v>
      </c>
    </row>
    <row r="38" spans="2:26" x14ac:dyDescent="0.25">
      <c r="B38" t="s">
        <v>145</v>
      </c>
      <c r="C38" t="s">
        <v>13</v>
      </c>
      <c r="D38" t="s">
        <v>14</v>
      </c>
      <c r="E38">
        <v>2011</v>
      </c>
      <c r="F38">
        <v>2.0500000000000001E-2</v>
      </c>
      <c r="G38">
        <v>0.46800000000000003</v>
      </c>
      <c r="H38" s="2">
        <f t="shared" si="2"/>
        <v>2950.7891</v>
      </c>
      <c r="I38" s="3">
        <f t="shared" si="3"/>
        <v>133.5792717679</v>
      </c>
      <c r="J38">
        <f t="shared" si="4"/>
        <v>2.8138000000000001</v>
      </c>
      <c r="K38">
        <v>40</v>
      </c>
      <c r="T38" t="s">
        <v>69</v>
      </c>
      <c r="U38" t="s">
        <v>180</v>
      </c>
      <c r="V38" t="s">
        <v>181</v>
      </c>
      <c r="W38" t="s">
        <v>71</v>
      </c>
      <c r="X38" t="s">
        <v>72</v>
      </c>
      <c r="Y38" t="s">
        <v>80</v>
      </c>
      <c r="Z38" t="s">
        <v>74</v>
      </c>
    </row>
    <row r="39" spans="2:26" x14ac:dyDescent="0.25">
      <c r="B39" t="s">
        <v>146</v>
      </c>
      <c r="C39" t="s">
        <v>13</v>
      </c>
      <c r="D39" t="s">
        <v>14</v>
      </c>
      <c r="E39">
        <v>2010</v>
      </c>
      <c r="F39">
        <v>1.3900000000000001E-2</v>
      </c>
      <c r="G39">
        <v>0.46800000000000003</v>
      </c>
      <c r="H39" s="2">
        <f t="shared" si="2"/>
        <v>2950.7891</v>
      </c>
      <c r="I39" s="3">
        <f t="shared" si="3"/>
        <v>133.5792717679</v>
      </c>
      <c r="J39">
        <f t="shared" si="4"/>
        <v>2.8138000000000001</v>
      </c>
      <c r="K39">
        <v>40</v>
      </c>
      <c r="T39" t="s">
        <v>69</v>
      </c>
      <c r="U39" t="s">
        <v>182</v>
      </c>
      <c r="V39" t="s">
        <v>183</v>
      </c>
      <c r="W39" t="s">
        <v>71</v>
      </c>
      <c r="X39" t="s">
        <v>72</v>
      </c>
      <c r="Y39" t="s">
        <v>80</v>
      </c>
      <c r="Z39" t="s">
        <v>74</v>
      </c>
    </row>
    <row r="40" spans="2:26" x14ac:dyDescent="0.25">
      <c r="B40" t="s">
        <v>197</v>
      </c>
      <c r="C40" t="s">
        <v>192</v>
      </c>
      <c r="D40" t="s">
        <v>14</v>
      </c>
      <c r="E40">
        <v>1997</v>
      </c>
      <c r="F40">
        <v>0.01</v>
      </c>
      <c r="G40">
        <f>P44</f>
        <v>0.33</v>
      </c>
      <c r="H40" s="2">
        <f>O44</f>
        <v>4812.0244000000002</v>
      </c>
      <c r="I40" s="3">
        <f>($N$44/100)*H40</f>
        <v>63.037519640000006</v>
      </c>
      <c r="J40">
        <f>$Q$44</f>
        <v>4.1005000000000003</v>
      </c>
      <c r="K40">
        <v>40</v>
      </c>
      <c r="T40" t="s">
        <v>69</v>
      </c>
      <c r="U40" t="s">
        <v>184</v>
      </c>
      <c r="V40" t="s">
        <v>185</v>
      </c>
      <c r="W40" t="s">
        <v>71</v>
      </c>
      <c r="X40" t="s">
        <v>72</v>
      </c>
      <c r="Y40" t="s">
        <v>80</v>
      </c>
      <c r="Z40" t="s">
        <v>74</v>
      </c>
    </row>
    <row r="41" spans="2:26" x14ac:dyDescent="0.25">
      <c r="B41" t="s">
        <v>154</v>
      </c>
      <c r="C41" t="s">
        <v>13</v>
      </c>
      <c r="D41" t="s">
        <v>14</v>
      </c>
      <c r="E41">
        <v>2016</v>
      </c>
      <c r="F41">
        <v>0.01</v>
      </c>
      <c r="G41">
        <v>0.28999999999999998</v>
      </c>
      <c r="H41" s="2">
        <f>$O$48</f>
        <v>4516.7133000000003</v>
      </c>
      <c r="I41" s="3">
        <f>($N$48/100)*H41</f>
        <v>162.96753257730003</v>
      </c>
      <c r="J41">
        <f>$Q$48</f>
        <v>2.8138000000000001</v>
      </c>
      <c r="K41">
        <v>40</v>
      </c>
      <c r="T41" t="s">
        <v>69</v>
      </c>
      <c r="U41" t="s">
        <v>186</v>
      </c>
      <c r="V41" t="s">
        <v>188</v>
      </c>
      <c r="W41" t="s">
        <v>71</v>
      </c>
      <c r="X41" t="s">
        <v>72</v>
      </c>
      <c r="Y41" t="s">
        <v>80</v>
      </c>
      <c r="Z41" t="s">
        <v>74</v>
      </c>
    </row>
    <row r="42" spans="2:26" x14ac:dyDescent="0.25">
      <c r="B42" t="s">
        <v>156</v>
      </c>
      <c r="C42" t="s">
        <v>13</v>
      </c>
      <c r="D42" t="s">
        <v>14</v>
      </c>
      <c r="E42">
        <v>2017</v>
      </c>
      <c r="F42">
        <v>0.01</v>
      </c>
      <c r="G42">
        <v>0.28999999999999998</v>
      </c>
      <c r="H42" s="2">
        <f t="shared" ref="H42:H44" si="5">$O$48</f>
        <v>4516.7133000000003</v>
      </c>
      <c r="I42" s="3">
        <f t="shared" ref="I42:I44" si="6">($N$48/100)*H42</f>
        <v>162.96753257730003</v>
      </c>
      <c r="J42">
        <f t="shared" ref="J42:J44" si="7">$Q$48</f>
        <v>2.8138000000000001</v>
      </c>
      <c r="K42">
        <v>40</v>
      </c>
      <c r="T42" t="s">
        <v>69</v>
      </c>
      <c r="U42" t="s">
        <v>187</v>
      </c>
      <c r="V42" t="s">
        <v>189</v>
      </c>
      <c r="W42" t="s">
        <v>71</v>
      </c>
      <c r="X42" t="s">
        <v>72</v>
      </c>
      <c r="Y42" t="s">
        <v>80</v>
      </c>
      <c r="Z42" t="s">
        <v>74</v>
      </c>
    </row>
    <row r="43" spans="2:26" x14ac:dyDescent="0.25">
      <c r="B43" t="s">
        <v>170</v>
      </c>
      <c r="C43" t="s">
        <v>13</v>
      </c>
      <c r="D43" t="s">
        <v>14</v>
      </c>
      <c r="E43">
        <v>2019</v>
      </c>
      <c r="F43">
        <v>9.300000000000001E-3</v>
      </c>
      <c r="G43">
        <v>0.28999999999999998</v>
      </c>
      <c r="H43" s="2">
        <f t="shared" si="5"/>
        <v>4516.7133000000003</v>
      </c>
      <c r="I43" s="3">
        <f t="shared" si="6"/>
        <v>162.96753257730003</v>
      </c>
      <c r="J43">
        <f t="shared" si="7"/>
        <v>2.8138000000000001</v>
      </c>
      <c r="K43">
        <v>40</v>
      </c>
      <c r="N43" t="s">
        <v>206</v>
      </c>
      <c r="O43" t="s">
        <v>213</v>
      </c>
      <c r="P43" t="s">
        <v>214</v>
      </c>
      <c r="Q43" t="s">
        <v>215</v>
      </c>
      <c r="T43" t="s">
        <v>69</v>
      </c>
      <c r="U43" t="s">
        <v>190</v>
      </c>
      <c r="V43" t="s">
        <v>191</v>
      </c>
      <c r="W43" t="s">
        <v>71</v>
      </c>
      <c r="X43" t="s">
        <v>72</v>
      </c>
      <c r="Y43" t="s">
        <v>80</v>
      </c>
      <c r="Z43" t="s">
        <v>74</v>
      </c>
    </row>
    <row r="44" spans="2:26" x14ac:dyDescent="0.25">
      <c r="B44" t="s">
        <v>158</v>
      </c>
      <c r="C44" t="s">
        <v>13</v>
      </c>
      <c r="D44" t="s">
        <v>14</v>
      </c>
      <c r="E44">
        <v>1963</v>
      </c>
      <c r="F44">
        <v>7.0999999999999995E-3</v>
      </c>
      <c r="G44">
        <v>0.28999999999999998</v>
      </c>
      <c r="H44" s="2">
        <f t="shared" si="5"/>
        <v>4516.7133000000003</v>
      </c>
      <c r="I44" s="3">
        <f t="shared" si="6"/>
        <v>162.96753257730003</v>
      </c>
      <c r="J44">
        <f t="shared" si="7"/>
        <v>2.8138000000000001</v>
      </c>
      <c r="K44">
        <v>72</v>
      </c>
      <c r="M44" t="s">
        <v>192</v>
      </c>
      <c r="N44" s="4">
        <v>1.31</v>
      </c>
      <c r="O44" s="2">
        <v>4812.0244000000002</v>
      </c>
      <c r="P44">
        <v>0.33</v>
      </c>
      <c r="Q44">
        <v>4.1005000000000003</v>
      </c>
      <c r="T44" t="s">
        <v>69</v>
      </c>
      <c r="U44" t="s">
        <v>18</v>
      </c>
      <c r="V44" t="s">
        <v>78</v>
      </c>
      <c r="W44" t="s">
        <v>71</v>
      </c>
      <c r="X44" t="s">
        <v>72</v>
      </c>
      <c r="Y44" t="s">
        <v>73</v>
      </c>
      <c r="Z44" t="s">
        <v>77</v>
      </c>
    </row>
    <row r="45" spans="2:26" x14ac:dyDescent="0.25">
      <c r="B45" t="s">
        <v>169</v>
      </c>
      <c r="C45" t="s">
        <v>16</v>
      </c>
      <c r="D45" t="s">
        <v>14</v>
      </c>
      <c r="E45">
        <v>2020</v>
      </c>
      <c r="F45">
        <v>5.7999999999999996E-3</v>
      </c>
      <c r="G45">
        <f>P45</f>
        <v>0.56000000000000005</v>
      </c>
      <c r="H45" s="2">
        <f>O45</f>
        <v>1175.5066999999999</v>
      </c>
      <c r="I45" s="3">
        <f>($N$45/100)*H45</f>
        <v>39.138495576499992</v>
      </c>
      <c r="J45">
        <f>$Q$45</f>
        <v>5.8775000000000004</v>
      </c>
      <c r="K45">
        <v>40</v>
      </c>
      <c r="M45" t="s">
        <v>211</v>
      </c>
      <c r="N45" s="4">
        <v>3.3294999999999999</v>
      </c>
      <c r="O45" s="2">
        <v>1175.5066999999999</v>
      </c>
      <c r="P45">
        <v>0.56000000000000005</v>
      </c>
      <c r="Q45">
        <v>5.8775000000000004</v>
      </c>
    </row>
    <row r="46" spans="2:26" x14ac:dyDescent="0.25">
      <c r="B46" t="s">
        <v>164</v>
      </c>
      <c r="C46" t="s">
        <v>13</v>
      </c>
      <c r="D46" t="s">
        <v>14</v>
      </c>
      <c r="E46">
        <v>2013</v>
      </c>
      <c r="F46">
        <v>6.4999999999999997E-3</v>
      </c>
      <c r="G46">
        <v>0.28999999999999998</v>
      </c>
      <c r="H46" s="2">
        <f>O48</f>
        <v>4516.7133000000003</v>
      </c>
      <c r="I46" s="3">
        <f>($N$48/100)*H46</f>
        <v>162.96753257730003</v>
      </c>
      <c r="J46">
        <f>$Q$48</f>
        <v>2.8138000000000001</v>
      </c>
      <c r="K46">
        <v>40</v>
      </c>
      <c r="M46" t="s">
        <v>212</v>
      </c>
      <c r="N46" s="4"/>
      <c r="O46" s="2"/>
    </row>
    <row r="47" spans="2:26" x14ac:dyDescent="0.25">
      <c r="B47" t="s">
        <v>168</v>
      </c>
      <c r="C47" t="s">
        <v>16</v>
      </c>
      <c r="D47" t="s">
        <v>14</v>
      </c>
      <c r="E47">
        <v>2015</v>
      </c>
      <c r="F47">
        <v>4.0999999999999995E-3</v>
      </c>
      <c r="G47">
        <f>P45</f>
        <v>0.56000000000000005</v>
      </c>
      <c r="H47" s="2">
        <f>O45</f>
        <v>1175.5066999999999</v>
      </c>
      <c r="I47" s="3">
        <f>($N$45/100)*H47</f>
        <v>39.138495576499992</v>
      </c>
      <c r="J47">
        <f>$Q$45</f>
        <v>5.8775000000000004</v>
      </c>
      <c r="K47">
        <v>40</v>
      </c>
      <c r="M47" t="s">
        <v>209</v>
      </c>
      <c r="N47">
        <v>4.5269000000000004</v>
      </c>
      <c r="O47" s="2">
        <v>2950.7891</v>
      </c>
      <c r="P47">
        <v>0.46800000000000003</v>
      </c>
      <c r="Q47">
        <v>2.8138000000000001</v>
      </c>
    </row>
    <row r="48" spans="2:26" x14ac:dyDescent="0.25">
      <c r="B48" t="s">
        <v>198</v>
      </c>
      <c r="C48" t="s">
        <v>192</v>
      </c>
      <c r="D48" t="s">
        <v>14</v>
      </c>
      <c r="E48">
        <v>2012</v>
      </c>
      <c r="F48">
        <v>1.4E-3</v>
      </c>
      <c r="G48">
        <f>P44</f>
        <v>0.33</v>
      </c>
      <c r="H48" s="2">
        <f>O44</f>
        <v>4812.0244000000002</v>
      </c>
      <c r="I48" s="3">
        <f>($N$48/100)*H48</f>
        <v>173.62265237640003</v>
      </c>
      <c r="J48">
        <f t="shared" si="1"/>
        <v>4.1005000000000003</v>
      </c>
      <c r="K48">
        <v>40</v>
      </c>
      <c r="M48" t="s">
        <v>210</v>
      </c>
      <c r="N48">
        <v>3.6080999999999999</v>
      </c>
      <c r="O48" s="2">
        <v>4516.7133000000003</v>
      </c>
      <c r="P48">
        <v>0.2994</v>
      </c>
      <c r="Q48">
        <v>2.8138000000000001</v>
      </c>
    </row>
    <row r="49" spans="2:26" x14ac:dyDescent="0.25">
      <c r="B49" t="s">
        <v>172</v>
      </c>
      <c r="C49" t="s">
        <v>13</v>
      </c>
      <c r="D49" t="s">
        <v>14</v>
      </c>
      <c r="E49">
        <v>2013</v>
      </c>
      <c r="F49">
        <v>1.8E-3</v>
      </c>
      <c r="G49">
        <v>0.28999999999999998</v>
      </c>
      <c r="H49" s="2">
        <f>O48</f>
        <v>4516.7133000000003</v>
      </c>
      <c r="I49" s="3">
        <f>($N$48/100)*H49</f>
        <v>162.96753257730003</v>
      </c>
      <c r="J49">
        <f>$Q$48</f>
        <v>2.8138000000000001</v>
      </c>
      <c r="K49">
        <v>40</v>
      </c>
      <c r="N49" s="3"/>
      <c r="O49" s="4"/>
    </row>
    <row r="50" spans="2:26" x14ac:dyDescent="0.25">
      <c r="B50" t="s">
        <v>174</v>
      </c>
      <c r="C50" t="s">
        <v>13</v>
      </c>
      <c r="D50" t="s">
        <v>14</v>
      </c>
      <c r="E50">
        <v>2015</v>
      </c>
      <c r="F50">
        <v>1.6999999999999999E-3</v>
      </c>
      <c r="G50">
        <v>0.28999999999999998</v>
      </c>
      <c r="H50" s="2">
        <f>O48</f>
        <v>4516.7133000000003</v>
      </c>
      <c r="I50" s="3">
        <f>($N$48/100)*H50</f>
        <v>162.96753257730003</v>
      </c>
      <c r="J50">
        <f>$Q$48</f>
        <v>2.8138000000000001</v>
      </c>
      <c r="K50">
        <v>40</v>
      </c>
      <c r="N50" s="3"/>
      <c r="O50" s="4"/>
    </row>
    <row r="51" spans="2:26" x14ac:dyDescent="0.25">
      <c r="B51" t="s">
        <v>176</v>
      </c>
      <c r="C51" t="s">
        <v>16</v>
      </c>
      <c r="D51" t="s">
        <v>14</v>
      </c>
      <c r="E51">
        <v>2009</v>
      </c>
      <c r="F51">
        <v>1.8E-3</v>
      </c>
      <c r="G51">
        <f>P45</f>
        <v>0.56000000000000005</v>
      </c>
      <c r="H51" s="2">
        <f>O45</f>
        <v>1175.5066999999999</v>
      </c>
      <c r="I51" s="3">
        <f t="shared" ref="I51:I52" si="8">($N$45/100)*H51</f>
        <v>39.138495576499992</v>
      </c>
      <c r="J51">
        <f>$Q$45</f>
        <v>5.8775000000000004</v>
      </c>
      <c r="K51">
        <v>40</v>
      </c>
      <c r="N51" s="3"/>
      <c r="O51" s="4"/>
    </row>
    <row r="52" spans="2:26" x14ac:dyDescent="0.25">
      <c r="B52" t="s">
        <v>178</v>
      </c>
      <c r="C52" t="s">
        <v>16</v>
      </c>
      <c r="D52" t="s">
        <v>14</v>
      </c>
      <c r="E52">
        <v>2015</v>
      </c>
      <c r="F52">
        <v>1.8E-3</v>
      </c>
      <c r="G52">
        <f>P45</f>
        <v>0.56000000000000005</v>
      </c>
      <c r="H52" s="2">
        <f>O45</f>
        <v>1175.5066999999999</v>
      </c>
      <c r="I52" s="3">
        <f t="shared" si="8"/>
        <v>39.138495576499992</v>
      </c>
      <c r="J52">
        <f>$Q$45</f>
        <v>5.8775000000000004</v>
      </c>
      <c r="K52">
        <v>40</v>
      </c>
      <c r="N52" s="3"/>
      <c r="O52" s="4"/>
    </row>
    <row r="53" spans="2:26" x14ac:dyDescent="0.25">
      <c r="B53" t="s">
        <v>180</v>
      </c>
      <c r="C53" t="s">
        <v>13</v>
      </c>
      <c r="D53" t="s">
        <v>14</v>
      </c>
      <c r="E53">
        <v>2022</v>
      </c>
      <c r="F53">
        <v>1.5E-3</v>
      </c>
      <c r="G53">
        <v>0.28999999999999998</v>
      </c>
      <c r="H53" s="2">
        <f>O48</f>
        <v>4516.7133000000003</v>
      </c>
      <c r="I53" s="3">
        <f>($N$48/100)*H53</f>
        <v>162.96753257730003</v>
      </c>
      <c r="J53">
        <f>$Q$48</f>
        <v>2.8138000000000001</v>
      </c>
      <c r="K53">
        <v>40</v>
      </c>
    </row>
    <row r="54" spans="2:26" x14ac:dyDescent="0.25">
      <c r="B54" t="s">
        <v>182</v>
      </c>
      <c r="C54" t="s">
        <v>13</v>
      </c>
      <c r="D54" t="s">
        <v>14</v>
      </c>
      <c r="E54">
        <v>2013</v>
      </c>
      <c r="F54">
        <v>1.4E-3</v>
      </c>
      <c r="G54">
        <v>0.28999999999999998</v>
      </c>
      <c r="H54" s="2">
        <f>$O$48</f>
        <v>4516.7133000000003</v>
      </c>
      <c r="I54" s="3">
        <f t="shared" ref="I54:I58" si="9">($N$48/100)*H54</f>
        <v>162.96753257730003</v>
      </c>
      <c r="J54">
        <f t="shared" ref="J54:J58" si="10">$Q$48</f>
        <v>2.8138000000000001</v>
      </c>
      <c r="K54">
        <v>40</v>
      </c>
    </row>
    <row r="55" spans="2:26" x14ac:dyDescent="0.25">
      <c r="B55" t="s">
        <v>184</v>
      </c>
      <c r="C55" t="s">
        <v>13</v>
      </c>
      <c r="D55" t="s">
        <v>14</v>
      </c>
      <c r="E55">
        <v>2016</v>
      </c>
      <c r="F55">
        <v>1.1999999999999999E-3</v>
      </c>
      <c r="G55">
        <v>0.28999999999999998</v>
      </c>
      <c r="H55" s="2">
        <f>$O$48</f>
        <v>4516.7133000000003</v>
      </c>
      <c r="I55" s="3">
        <f t="shared" si="9"/>
        <v>162.96753257730003</v>
      </c>
      <c r="J55">
        <f t="shared" si="10"/>
        <v>2.8138000000000001</v>
      </c>
      <c r="K55">
        <v>40</v>
      </c>
    </row>
    <row r="56" spans="2:26" x14ac:dyDescent="0.25">
      <c r="B56" t="s">
        <v>186</v>
      </c>
      <c r="C56" t="s">
        <v>13</v>
      </c>
      <c r="D56" t="s">
        <v>14</v>
      </c>
      <c r="E56">
        <v>2009</v>
      </c>
      <c r="F56">
        <v>1.9E-3</v>
      </c>
      <c r="G56">
        <v>0.28999999999999998</v>
      </c>
      <c r="H56" s="2">
        <f>O48</f>
        <v>4516.7133000000003</v>
      </c>
      <c r="I56" s="3">
        <f t="shared" si="9"/>
        <v>162.96753257730003</v>
      </c>
      <c r="J56">
        <f t="shared" si="10"/>
        <v>2.8138000000000001</v>
      </c>
      <c r="K56">
        <v>40</v>
      </c>
    </row>
    <row r="57" spans="2:26" x14ac:dyDescent="0.25">
      <c r="B57" t="s">
        <v>187</v>
      </c>
      <c r="C57" t="s">
        <v>13</v>
      </c>
      <c r="D57" t="s">
        <v>14</v>
      </c>
      <c r="E57">
        <v>2012</v>
      </c>
      <c r="F57">
        <v>8.9999999999999998E-4</v>
      </c>
      <c r="G57">
        <v>0.28999999999999998</v>
      </c>
      <c r="H57" s="2">
        <f>O48</f>
        <v>4516.7133000000003</v>
      </c>
      <c r="I57" s="3">
        <f t="shared" si="9"/>
        <v>162.96753257730003</v>
      </c>
      <c r="J57">
        <f t="shared" si="10"/>
        <v>2.8138000000000001</v>
      </c>
      <c r="K57">
        <v>40</v>
      </c>
    </row>
    <row r="58" spans="2:26" x14ac:dyDescent="0.25">
      <c r="B58" t="s">
        <v>190</v>
      </c>
      <c r="C58" t="s">
        <v>13</v>
      </c>
      <c r="D58" t="s">
        <v>14</v>
      </c>
      <c r="E58">
        <v>2015</v>
      </c>
      <c r="F58">
        <v>5.0000000000000001E-4</v>
      </c>
      <c r="G58">
        <v>0.28999999999999998</v>
      </c>
      <c r="H58" s="2">
        <f>O48</f>
        <v>4516.7133000000003</v>
      </c>
      <c r="I58" s="3">
        <f t="shared" si="9"/>
        <v>162.96753257730003</v>
      </c>
      <c r="J58">
        <f t="shared" si="10"/>
        <v>2.8138000000000001</v>
      </c>
      <c r="K58">
        <v>40</v>
      </c>
    </row>
    <row r="63" spans="2:26" x14ac:dyDescent="0.25">
      <c r="T63" t="s">
        <v>69</v>
      </c>
      <c r="U63" t="s">
        <v>22</v>
      </c>
      <c r="V63" t="s">
        <v>78</v>
      </c>
      <c r="W63" t="s">
        <v>71</v>
      </c>
      <c r="X63" t="s">
        <v>72</v>
      </c>
      <c r="Y63" t="s">
        <v>80</v>
      </c>
      <c r="Z63" t="s">
        <v>74</v>
      </c>
    </row>
    <row r="64" spans="2:26" x14ac:dyDescent="0.25">
      <c r="T64" t="s">
        <v>69</v>
      </c>
      <c r="U64" t="s">
        <v>25</v>
      </c>
      <c r="V64" t="s">
        <v>78</v>
      </c>
      <c r="W64" t="s">
        <v>71</v>
      </c>
      <c r="X64" t="s">
        <v>72</v>
      </c>
      <c r="Y64" t="s">
        <v>80</v>
      </c>
      <c r="Z64" t="s">
        <v>74</v>
      </c>
    </row>
    <row r="65" spans="2:26" x14ac:dyDescent="0.25">
      <c r="T65" t="s">
        <v>69</v>
      </c>
      <c r="U65" t="s">
        <v>27</v>
      </c>
      <c r="V65" t="s">
        <v>78</v>
      </c>
      <c r="W65" t="s">
        <v>71</v>
      </c>
      <c r="X65" t="s">
        <v>72</v>
      </c>
      <c r="Y65" t="s">
        <v>80</v>
      </c>
      <c r="Z65" t="s">
        <v>74</v>
      </c>
    </row>
    <row r="66" spans="2:26" x14ac:dyDescent="0.25">
      <c r="T66" t="s">
        <v>69</v>
      </c>
      <c r="U66" t="s">
        <v>29</v>
      </c>
      <c r="V66" t="s">
        <v>78</v>
      </c>
      <c r="W66" t="s">
        <v>71</v>
      </c>
      <c r="X66" t="s">
        <v>72</v>
      </c>
      <c r="Y66" t="s">
        <v>80</v>
      </c>
      <c r="Z66" t="s">
        <v>74</v>
      </c>
    </row>
    <row r="67" spans="2:26" x14ac:dyDescent="0.25">
      <c r="T67" t="s">
        <v>69</v>
      </c>
      <c r="U67" t="s">
        <v>30</v>
      </c>
      <c r="V67" t="s">
        <v>78</v>
      </c>
      <c r="W67" t="s">
        <v>71</v>
      </c>
      <c r="X67" t="s">
        <v>72</v>
      </c>
      <c r="Y67" t="s">
        <v>80</v>
      </c>
      <c r="Z67" t="s">
        <v>74</v>
      </c>
    </row>
    <row r="68" spans="2:26" x14ac:dyDescent="0.25">
      <c r="T68" t="s">
        <v>69</v>
      </c>
      <c r="U68" t="s">
        <v>32</v>
      </c>
      <c r="V68" t="s">
        <v>78</v>
      </c>
      <c r="W68" t="s">
        <v>71</v>
      </c>
      <c r="X68" t="s">
        <v>72</v>
      </c>
      <c r="Y68" t="s">
        <v>80</v>
      </c>
      <c r="Z68" t="s">
        <v>74</v>
      </c>
    </row>
    <row r="69" spans="2:26" x14ac:dyDescent="0.25">
      <c r="T69" t="s">
        <v>69</v>
      </c>
      <c r="U69" t="s">
        <v>34</v>
      </c>
      <c r="V69" t="s">
        <v>78</v>
      </c>
      <c r="W69" t="s">
        <v>71</v>
      </c>
      <c r="X69" t="s">
        <v>72</v>
      </c>
      <c r="Y69" t="s">
        <v>80</v>
      </c>
      <c r="Z69" t="s">
        <v>74</v>
      </c>
    </row>
    <row r="70" spans="2:26" x14ac:dyDescent="0.25">
      <c r="T70" t="s">
        <v>69</v>
      </c>
      <c r="U70" t="s">
        <v>35</v>
      </c>
      <c r="V70" t="s">
        <v>78</v>
      </c>
      <c r="W70" t="s">
        <v>71</v>
      </c>
      <c r="X70" t="s">
        <v>72</v>
      </c>
      <c r="Y70" t="s">
        <v>80</v>
      </c>
      <c r="Z70" t="s">
        <v>74</v>
      </c>
    </row>
    <row r="71" spans="2:26" x14ac:dyDescent="0.25">
      <c r="T71" t="s">
        <v>69</v>
      </c>
      <c r="U71" t="s">
        <v>37</v>
      </c>
      <c r="V71" t="s">
        <v>78</v>
      </c>
      <c r="W71" t="s">
        <v>71</v>
      </c>
      <c r="X71" t="s">
        <v>72</v>
      </c>
      <c r="Y71" t="s">
        <v>80</v>
      </c>
      <c r="Z71" t="s">
        <v>74</v>
      </c>
    </row>
    <row r="72" spans="2:26" x14ac:dyDescent="0.25">
      <c r="T72" t="s">
        <v>69</v>
      </c>
      <c r="U72" t="s">
        <v>39</v>
      </c>
      <c r="V72" t="s">
        <v>78</v>
      </c>
      <c r="W72" t="s">
        <v>71</v>
      </c>
      <c r="X72" t="s">
        <v>72</v>
      </c>
      <c r="Y72" t="s">
        <v>80</v>
      </c>
      <c r="Z72" t="s">
        <v>74</v>
      </c>
    </row>
    <row r="73" spans="2:26" x14ac:dyDescent="0.25">
      <c r="T73" t="s">
        <v>69</v>
      </c>
      <c r="U73" t="s">
        <v>40</v>
      </c>
      <c r="V73" t="s">
        <v>78</v>
      </c>
      <c r="W73" t="s">
        <v>71</v>
      </c>
      <c r="X73" t="s">
        <v>72</v>
      </c>
      <c r="Y73" t="s">
        <v>80</v>
      </c>
      <c r="Z73" t="s">
        <v>74</v>
      </c>
    </row>
    <row r="74" spans="2:26" x14ac:dyDescent="0.25">
      <c r="T74" t="s">
        <v>69</v>
      </c>
      <c r="U74" t="s">
        <v>42</v>
      </c>
      <c r="V74" t="s">
        <v>78</v>
      </c>
      <c r="W74" t="s">
        <v>71</v>
      </c>
      <c r="X74" t="s">
        <v>72</v>
      </c>
      <c r="Y74" t="s">
        <v>80</v>
      </c>
      <c r="Z74" t="s">
        <v>74</v>
      </c>
    </row>
    <row r="75" spans="2:26" x14ac:dyDescent="0.25">
      <c r="U75" t="s">
        <v>207</v>
      </c>
    </row>
    <row r="76" spans="2:26" x14ac:dyDescent="0.25">
      <c r="T76" t="s">
        <v>69</v>
      </c>
      <c r="U76" t="s">
        <v>44</v>
      </c>
      <c r="V76" t="s">
        <v>78</v>
      </c>
      <c r="W76" t="s">
        <v>71</v>
      </c>
      <c r="X76" t="s">
        <v>72</v>
      </c>
      <c r="Y76" t="s">
        <v>80</v>
      </c>
      <c r="Z76" t="s">
        <v>74</v>
      </c>
    </row>
    <row r="77" spans="2:26" x14ac:dyDescent="0.25">
      <c r="T77" t="s">
        <v>69</v>
      </c>
      <c r="U77" t="s">
        <v>47</v>
      </c>
      <c r="V77" t="s">
        <v>78</v>
      </c>
      <c r="W77" t="s">
        <v>71</v>
      </c>
      <c r="X77" t="s">
        <v>72</v>
      </c>
      <c r="Y77" t="s">
        <v>80</v>
      </c>
      <c r="Z77" t="s">
        <v>74</v>
      </c>
    </row>
    <row r="78" spans="2:26" x14ac:dyDescent="0.25">
      <c r="B78" t="s">
        <v>18</v>
      </c>
      <c r="C78" t="s">
        <v>19</v>
      </c>
      <c r="D78" t="s">
        <v>14</v>
      </c>
      <c r="E78">
        <v>2022</v>
      </c>
      <c r="F78">
        <v>8.0000000000000002E-3</v>
      </c>
      <c r="G78">
        <v>0.33123000000000002</v>
      </c>
      <c r="T78" t="s">
        <v>69</v>
      </c>
      <c r="U78" t="s">
        <v>49</v>
      </c>
      <c r="V78" t="s">
        <v>78</v>
      </c>
      <c r="W78" t="s">
        <v>71</v>
      </c>
      <c r="X78" t="s">
        <v>72</v>
      </c>
      <c r="Y78" t="s">
        <v>80</v>
      </c>
      <c r="Z78" t="s">
        <v>74</v>
      </c>
    </row>
    <row r="79" spans="2:26" x14ac:dyDescent="0.25">
      <c r="T79" t="s">
        <v>69</v>
      </c>
      <c r="U79" t="s">
        <v>51</v>
      </c>
      <c r="V79" t="s">
        <v>78</v>
      </c>
      <c r="W79" t="s">
        <v>71</v>
      </c>
      <c r="X79" t="s">
        <v>72</v>
      </c>
      <c r="Y79" t="s">
        <v>80</v>
      </c>
      <c r="Z79" t="s">
        <v>74</v>
      </c>
    </row>
    <row r="80" spans="2:26" x14ac:dyDescent="0.25">
      <c r="T80" t="s">
        <v>69</v>
      </c>
      <c r="U80" t="s">
        <v>53</v>
      </c>
      <c r="V80" t="s">
        <v>78</v>
      </c>
      <c r="W80" t="s">
        <v>71</v>
      </c>
      <c r="X80" t="s">
        <v>72</v>
      </c>
      <c r="Y80" t="s">
        <v>80</v>
      </c>
      <c r="Z80" t="s">
        <v>74</v>
      </c>
    </row>
    <row r="81" spans="2:26" x14ac:dyDescent="0.25">
      <c r="T81" t="s">
        <v>69</v>
      </c>
      <c r="U81" t="s">
        <v>55</v>
      </c>
      <c r="V81" t="s">
        <v>78</v>
      </c>
      <c r="W81" t="s">
        <v>71</v>
      </c>
      <c r="X81" t="s">
        <v>72</v>
      </c>
      <c r="Y81" t="s">
        <v>80</v>
      </c>
      <c r="Z81" t="s">
        <v>74</v>
      </c>
    </row>
    <row r="82" spans="2:26" x14ac:dyDescent="0.25">
      <c r="B82" t="s">
        <v>20</v>
      </c>
      <c r="C82" t="s">
        <v>21</v>
      </c>
      <c r="D82" t="s">
        <v>14</v>
      </c>
      <c r="E82">
        <v>2013</v>
      </c>
      <c r="F82">
        <v>0.25109999999999999</v>
      </c>
      <c r="G82">
        <v>0.36049999999999999</v>
      </c>
      <c r="H82">
        <v>1265</v>
      </c>
      <c r="I82" s="3">
        <v>48.400000000000006</v>
      </c>
      <c r="J82">
        <v>7.5075000000000003</v>
      </c>
      <c r="K82">
        <v>42</v>
      </c>
      <c r="T82" t="s">
        <v>69</v>
      </c>
      <c r="U82" t="s">
        <v>57</v>
      </c>
      <c r="V82" t="s">
        <v>78</v>
      </c>
      <c r="W82" t="s">
        <v>71</v>
      </c>
      <c r="X82" t="s">
        <v>72</v>
      </c>
      <c r="Y82" t="s">
        <v>80</v>
      </c>
      <c r="Z82" t="s">
        <v>74</v>
      </c>
    </row>
    <row r="83" spans="2:26" x14ac:dyDescent="0.25">
      <c r="B83" t="s">
        <v>15</v>
      </c>
      <c r="C83" t="s">
        <v>16</v>
      </c>
      <c r="D83" t="s">
        <v>14</v>
      </c>
      <c r="E83">
        <v>2022</v>
      </c>
      <c r="F83">
        <v>0.21299999999999999</v>
      </c>
      <c r="G83">
        <v>0.33123000000000002</v>
      </c>
      <c r="T83" t="s">
        <v>69</v>
      </c>
      <c r="U83" t="s">
        <v>59</v>
      </c>
      <c r="V83" t="s">
        <v>78</v>
      </c>
      <c r="W83" t="s">
        <v>71</v>
      </c>
      <c r="X83" t="s">
        <v>72</v>
      </c>
      <c r="Y83" t="s">
        <v>80</v>
      </c>
      <c r="Z83" t="s">
        <v>74</v>
      </c>
    </row>
    <row r="84" spans="2:26" x14ac:dyDescent="0.25">
      <c r="T84" t="s">
        <v>69</v>
      </c>
      <c r="U84" t="s">
        <v>20</v>
      </c>
      <c r="V84" t="s">
        <v>79</v>
      </c>
      <c r="W84" t="s">
        <v>71</v>
      </c>
      <c r="X84" t="s">
        <v>72</v>
      </c>
      <c r="Y84" t="s">
        <v>73</v>
      </c>
      <c r="Z84" t="s">
        <v>77</v>
      </c>
    </row>
    <row r="85" spans="2:26" x14ac:dyDescent="0.25">
      <c r="B85" t="s">
        <v>12</v>
      </c>
      <c r="C85" t="s">
        <v>13</v>
      </c>
      <c r="D85" t="s">
        <v>14</v>
      </c>
      <c r="E85">
        <v>2022</v>
      </c>
      <c r="F85">
        <v>0.3</v>
      </c>
      <c r="G85">
        <v>0.33990000000000004</v>
      </c>
      <c r="H85">
        <v>4427.5</v>
      </c>
      <c r="I85" s="3">
        <v>157.30000000000001</v>
      </c>
      <c r="J85">
        <v>9.24</v>
      </c>
      <c r="K85">
        <v>50</v>
      </c>
      <c r="T85" t="s">
        <v>69</v>
      </c>
      <c r="U85" t="s">
        <v>15</v>
      </c>
      <c r="V85" t="s">
        <v>75</v>
      </c>
      <c r="W85" t="s">
        <v>71</v>
      </c>
      <c r="X85" t="s">
        <v>72</v>
      </c>
      <c r="Y85" t="s">
        <v>73</v>
      </c>
      <c r="Z85" t="s">
        <v>74</v>
      </c>
    </row>
    <row r="87" spans="2:26" x14ac:dyDescent="0.25">
      <c r="T87" t="s">
        <v>69</v>
      </c>
      <c r="U87" t="s">
        <v>12</v>
      </c>
      <c r="V87" t="s">
        <v>70</v>
      </c>
      <c r="W87" t="s">
        <v>71</v>
      </c>
      <c r="X87" t="s">
        <v>72</v>
      </c>
      <c r="Y87" t="s">
        <v>73</v>
      </c>
      <c r="Z87" t="s">
        <v>74</v>
      </c>
    </row>
    <row r="90" spans="2:26" x14ac:dyDescent="0.25">
      <c r="B90" t="s">
        <v>44</v>
      </c>
      <c r="C90" t="s">
        <v>45</v>
      </c>
      <c r="D90" t="s">
        <v>46</v>
      </c>
      <c r="E90">
        <v>2022</v>
      </c>
      <c r="F90">
        <v>1.5040605442498314E-2</v>
      </c>
      <c r="G90">
        <v>0.33123000000000002</v>
      </c>
      <c r="L90">
        <v>0.42012333946150526</v>
      </c>
      <c r="P90" t="s">
        <v>208</v>
      </c>
    </row>
    <row r="91" spans="2:26" x14ac:dyDescent="0.25">
      <c r="B91" t="s">
        <v>47</v>
      </c>
      <c r="C91" t="s">
        <v>45</v>
      </c>
      <c r="D91" t="s">
        <v>48</v>
      </c>
      <c r="E91">
        <v>2022</v>
      </c>
      <c r="F91">
        <v>1.5497656626156837E-2</v>
      </c>
      <c r="G91">
        <v>0.33123000000000002</v>
      </c>
      <c r="L91">
        <v>0.42012333946150526</v>
      </c>
    </row>
    <row r="92" spans="2:26" x14ac:dyDescent="0.25">
      <c r="B92" t="s">
        <v>49</v>
      </c>
      <c r="C92" t="s">
        <v>45</v>
      </c>
      <c r="D92" t="s">
        <v>50</v>
      </c>
      <c r="E92">
        <v>2022</v>
      </c>
      <c r="F92">
        <v>1.4461737931344828E-2</v>
      </c>
      <c r="G92">
        <v>0.33123000000000002</v>
      </c>
      <c r="L92">
        <v>0.42012333946150526</v>
      </c>
    </row>
    <row r="93" spans="2:26" x14ac:dyDescent="0.25">
      <c r="B93" t="s">
        <v>51</v>
      </c>
      <c r="C93" t="s">
        <v>45</v>
      </c>
      <c r="D93" t="s">
        <v>52</v>
      </c>
      <c r="E93">
        <v>2009</v>
      </c>
      <c r="F93">
        <v>3.9E-2</v>
      </c>
      <c r="G93">
        <v>1</v>
      </c>
      <c r="H93">
        <v>2376</v>
      </c>
      <c r="I93" s="3">
        <v>57.2</v>
      </c>
      <c r="J93">
        <v>2.52</v>
      </c>
      <c r="K93">
        <v>46</v>
      </c>
      <c r="L93">
        <v>0.47763777043344691</v>
      </c>
    </row>
    <row r="94" spans="2:26" x14ac:dyDescent="0.25">
      <c r="B94" t="s">
        <v>53</v>
      </c>
      <c r="C94" t="s">
        <v>45</v>
      </c>
      <c r="D94" t="s">
        <v>54</v>
      </c>
      <c r="E94">
        <v>2010</v>
      </c>
      <c r="F94">
        <v>1.6E-2</v>
      </c>
      <c r="G94">
        <v>1</v>
      </c>
      <c r="H94">
        <v>2376</v>
      </c>
      <c r="I94" s="3">
        <v>57.2</v>
      </c>
      <c r="J94">
        <v>2.52</v>
      </c>
      <c r="K94">
        <v>45</v>
      </c>
      <c r="L94">
        <v>0.47814004703314078</v>
      </c>
    </row>
    <row r="95" spans="2:26" x14ac:dyDescent="0.25">
      <c r="B95" t="s">
        <v>53</v>
      </c>
      <c r="C95" t="s">
        <v>45</v>
      </c>
      <c r="D95" t="s">
        <v>54</v>
      </c>
      <c r="E95">
        <v>2015</v>
      </c>
      <c r="F95">
        <v>1.7999999999999999E-2</v>
      </c>
      <c r="G95">
        <v>1</v>
      </c>
      <c r="H95">
        <v>2376</v>
      </c>
      <c r="I95" s="3">
        <v>57.20000000000001</v>
      </c>
      <c r="J95">
        <v>2.52</v>
      </c>
      <c r="K95">
        <v>40</v>
      </c>
      <c r="L95">
        <v>0.47814004703314084</v>
      </c>
    </row>
    <row r="96" spans="2:26" x14ac:dyDescent="0.25">
      <c r="B96" t="s">
        <v>53</v>
      </c>
      <c r="C96" t="s">
        <v>45</v>
      </c>
      <c r="D96" t="s">
        <v>54</v>
      </c>
      <c r="E96">
        <v>2020</v>
      </c>
      <c r="F96">
        <v>1.2E-2</v>
      </c>
      <c r="G96">
        <v>1</v>
      </c>
      <c r="H96">
        <v>2376</v>
      </c>
      <c r="I96" s="3">
        <v>57.20000000000001</v>
      </c>
      <c r="J96">
        <v>2.52</v>
      </c>
      <c r="K96">
        <v>35</v>
      </c>
      <c r="L96">
        <v>0.47814004703314078</v>
      </c>
    </row>
    <row r="97" spans="2:12" x14ac:dyDescent="0.25">
      <c r="B97" t="s">
        <v>55</v>
      </c>
      <c r="C97" t="s">
        <v>45</v>
      </c>
      <c r="D97" t="s">
        <v>56</v>
      </c>
      <c r="E97">
        <v>2007</v>
      </c>
      <c r="F97">
        <v>2.1000000000000001E-2</v>
      </c>
      <c r="G97">
        <v>1</v>
      </c>
      <c r="H97">
        <v>2376</v>
      </c>
      <c r="I97" s="3">
        <v>57.2</v>
      </c>
      <c r="J97">
        <v>2.52</v>
      </c>
      <c r="K97">
        <v>48</v>
      </c>
      <c r="L97">
        <v>0.40144059976798208</v>
      </c>
    </row>
    <row r="98" spans="2:12" x14ac:dyDescent="0.25">
      <c r="B98" t="s">
        <v>55</v>
      </c>
      <c r="C98" t="s">
        <v>45</v>
      </c>
      <c r="D98" t="s">
        <v>56</v>
      </c>
      <c r="E98">
        <v>2011</v>
      </c>
      <c r="F98">
        <v>2.4E-2</v>
      </c>
      <c r="G98">
        <v>1</v>
      </c>
      <c r="H98">
        <v>2376</v>
      </c>
      <c r="I98" s="3">
        <v>57.20000000000001</v>
      </c>
      <c r="J98">
        <v>2.52</v>
      </c>
      <c r="K98">
        <v>44</v>
      </c>
      <c r="L98">
        <v>0.40144059976798202</v>
      </c>
    </row>
    <row r="99" spans="2:12" x14ac:dyDescent="0.25">
      <c r="B99" t="s">
        <v>55</v>
      </c>
      <c r="C99" t="s">
        <v>45</v>
      </c>
      <c r="D99" t="s">
        <v>56</v>
      </c>
      <c r="E99">
        <v>2012</v>
      </c>
      <c r="F99">
        <v>7.9000000000000001E-2</v>
      </c>
      <c r="G99">
        <v>1</v>
      </c>
      <c r="H99">
        <v>2376</v>
      </c>
      <c r="I99" s="3">
        <v>57.2</v>
      </c>
      <c r="J99">
        <v>2.52</v>
      </c>
      <c r="K99">
        <v>43</v>
      </c>
      <c r="L99">
        <v>0.40144059976798202</v>
      </c>
    </row>
    <row r="100" spans="2:12" x14ac:dyDescent="0.25">
      <c r="B100" t="s">
        <v>55</v>
      </c>
      <c r="C100" t="s">
        <v>45</v>
      </c>
      <c r="D100" t="s">
        <v>56</v>
      </c>
      <c r="E100">
        <v>2023</v>
      </c>
      <c r="F100">
        <v>2.1000000000000001E-2</v>
      </c>
      <c r="G100">
        <v>1</v>
      </c>
      <c r="H100">
        <v>2376</v>
      </c>
      <c r="I100" s="3">
        <v>57.2</v>
      </c>
      <c r="J100">
        <v>2.52</v>
      </c>
      <c r="K100">
        <v>32</v>
      </c>
      <c r="L100">
        <v>0.40144059976798208</v>
      </c>
    </row>
    <row r="101" spans="2:12" x14ac:dyDescent="0.25">
      <c r="B101" t="s">
        <v>55</v>
      </c>
      <c r="C101" t="s">
        <v>45</v>
      </c>
      <c r="D101" t="s">
        <v>56</v>
      </c>
      <c r="E101">
        <v>2024</v>
      </c>
      <c r="F101">
        <v>0.10199999999999999</v>
      </c>
      <c r="G101">
        <v>1</v>
      </c>
      <c r="H101">
        <v>2024</v>
      </c>
      <c r="I101" s="3">
        <v>48.4</v>
      </c>
      <c r="J101">
        <v>2.3100000000000005</v>
      </c>
      <c r="K101">
        <v>31</v>
      </c>
      <c r="L101">
        <v>0.40144059976798202</v>
      </c>
    </row>
    <row r="102" spans="2:12" x14ac:dyDescent="0.25">
      <c r="B102" t="s">
        <v>57</v>
      </c>
      <c r="C102" t="s">
        <v>45</v>
      </c>
      <c r="D102" t="s">
        <v>58</v>
      </c>
      <c r="E102">
        <v>2023</v>
      </c>
      <c r="F102">
        <v>3.9E-2</v>
      </c>
      <c r="G102">
        <v>1</v>
      </c>
      <c r="H102">
        <v>2376</v>
      </c>
      <c r="I102" s="3">
        <v>57.2</v>
      </c>
      <c r="J102">
        <v>2.52</v>
      </c>
      <c r="K102">
        <v>32</v>
      </c>
      <c r="L102">
        <v>0.365520596150406</v>
      </c>
    </row>
    <row r="103" spans="2:12" x14ac:dyDescent="0.25">
      <c r="B103" t="s">
        <v>59</v>
      </c>
      <c r="C103" t="s">
        <v>45</v>
      </c>
      <c r="D103" t="s">
        <v>60</v>
      </c>
      <c r="E103">
        <v>2005</v>
      </c>
      <c r="F103">
        <v>1.7999999999999999E-2</v>
      </c>
      <c r="G103">
        <v>1</v>
      </c>
      <c r="H103">
        <v>2376</v>
      </c>
      <c r="I103" s="3">
        <v>57.20000000000001</v>
      </c>
      <c r="J103">
        <v>2.52</v>
      </c>
      <c r="K103">
        <v>50</v>
      </c>
      <c r="L103">
        <v>0.41047488326249421</v>
      </c>
    </row>
    <row r="104" spans="2:12" x14ac:dyDescent="0.25">
      <c r="B104" t="s">
        <v>59</v>
      </c>
      <c r="C104" t="s">
        <v>45</v>
      </c>
      <c r="D104" t="s">
        <v>60</v>
      </c>
      <c r="E104">
        <v>2012</v>
      </c>
      <c r="F104">
        <v>2.1999999999999999E-2</v>
      </c>
      <c r="G104">
        <v>1</v>
      </c>
      <c r="H104">
        <v>2376</v>
      </c>
      <c r="I104" s="3">
        <v>57.2</v>
      </c>
      <c r="J104">
        <v>2.52</v>
      </c>
      <c r="K104">
        <v>43</v>
      </c>
      <c r="L104">
        <v>0.41047488326249421</v>
      </c>
    </row>
    <row r="105" spans="2:12" x14ac:dyDescent="0.25">
      <c r="B105" t="s">
        <v>59</v>
      </c>
      <c r="C105" t="s">
        <v>45</v>
      </c>
      <c r="D105" t="s">
        <v>60</v>
      </c>
      <c r="E105">
        <v>2013</v>
      </c>
      <c r="F105">
        <v>2.1999999999999999E-2</v>
      </c>
      <c r="G105">
        <v>1</v>
      </c>
      <c r="H105">
        <v>2376</v>
      </c>
      <c r="I105" s="3">
        <v>57.2</v>
      </c>
      <c r="J105">
        <v>2.52</v>
      </c>
      <c r="K105">
        <v>42</v>
      </c>
      <c r="L105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2026-03-09T12:58:10Z</dcterms:modified>
</cp:coreProperties>
</file>