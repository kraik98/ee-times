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CF1156D8-21F4-4FF8-B6A1-C0FC38728B0F}" xr6:coauthVersionLast="47" xr6:coauthVersionMax="47" xr10:uidLastSave="{00000000-0000-0000-0000-000000000000}"/>
  <bookViews>
    <workbookView xWindow="-38520" yWindow="-5220" windowWidth="38640" windowHeight="21120" firstSheet="2" activeTab="2" xr2:uid="{21C51102-B905-44E2-89DF-C1A7E31F8D9F}"/>
  </bookViews>
  <sheets>
    <sheet name="ccs_retrofits" sheetId="4" state="hidden" r:id="rId1"/>
    <sheet name="new_options" sheetId="3" state="hidden" r:id="rId2"/>
    <sheet name="existing_stock" sheetId="2" r:id="rId3"/>
  </sheets>
  <externalReferences>
    <externalReference r:id="rId4"/>
  </externalReferences>
  <definedNames>
    <definedName name="Start">[1]SETUP!$F$2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6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tc={45C46737-1944-45AD-99CE-B8535D314683}</author>
    <author>tc={E4726566-8322-459A-B187-5632353FCAD0}</author>
  </authors>
  <commentList>
    <comment ref="B30" authorId="0" shapeId="0" xr:uid="{45C46737-1944-45AD-99CE-B8535D314683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  <comment ref="O30" authorId="1" shapeId="0" xr:uid="{E4726566-8322-459A-B187-5632353FCAD0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tc={D3B26940-5207-4925-84BA-C36AB3766D74}</author>
    <author>tc={E45DD652-654C-4828-8A13-679EDDC53E65}</author>
    <author>tc={5D0B02A9-24B3-4F36-8683-2AD26D1E0821}</author>
    <author>tc={D6875D25-4560-414C-93D8-31A6498B8282}</author>
    <author>tc={C9FF73F0-A53F-4E15-A8C5-00DAE5061F13}</author>
    <author>tc={C2CA05C3-E9FD-442F-962C-5D4E7F1ADE70}</author>
  </authors>
  <commentList>
    <comment ref="V25" authorId="0" shapeId="0" xr:uid="{D3B26940-5207-4925-84BA-C36AB3766D74}">
      <text>
        <t>[Threaded comment]
Your version of Excel allows you to read this threaded comment; however, any edits to it will get removed if the file is opened in a newer version of Excel. Learn more: https://go.microsoft.com/fwlink/?linkid=870924
Comment:
    Miks daynite (hydro samuti)</t>
      </text>
    </comment>
    <comment ref="F33" authorId="1" shapeId="0" xr:uid="{E45DD652-654C-4828-8A13-679EDDC53E65}">
      <text>
        <t>[Threaded comment]
Your version of Excel allows you to read this threaded comment; however, any edits to it will get removed if the file is opened in a newer version of Excel. Learn more: https://go.microsoft.com/fwlink/?linkid=870924
Comment:
    Iru produces only 17 MW in 2025 not 0.207 GW</t>
      </text>
    </comment>
    <comment ref="B34" authorId="2" shapeId="0" xr:uid="{5D0B02A9-24B3-4F36-8683-2AD26D1E0821}">
      <text>
        <t>[Threaded comment]
Your version of Excel allows you to read this threaded comment; however, any edits to it will get removed if the file is opened in a newer version of Excel. Learn more: https://go.microsoft.com/fwlink/?linkid=870924
Comment:
    TODO: set their actual start date and then add how much they produce in 2025</t>
      </text>
    </comment>
    <comment ref="E42" authorId="3" shapeId="0" xr:uid="{D6875D25-4560-414C-93D8-31A6498B828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Ei tea
</t>
      </text>
    </comment>
    <comment ref="P76" authorId="4" shapeId="0" xr:uid="{C9FF73F0-A53F-4E15-A8C5-00DAE5061F1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NCAP_FOM (currency/GW-yr)=100/1.31​×NCAP_COST (currency/GW)
</t>
      </text>
    </comment>
    <comment ref="S80" authorId="5" shapeId="0" xr:uid="{C2CA05C3-E9FD-442F-962C-5D4E7F1ADE70}">
      <text>
        <t>[Threaded comment]
Your version of Excel allows you to read this threaded comment; however, any edits to it will get removed if the file is opened in a newer version of Excel. Learn more: https://go.microsoft.com/fwlink/?linkid=870924
Comment:
    Took same as chp</t>
      </text>
    </comment>
  </commentList>
</comments>
</file>

<file path=xl/sharedStrings.xml><?xml version="1.0" encoding="utf-8"?>
<sst xmlns="http://schemas.openxmlformats.org/spreadsheetml/2006/main" count="865" uniqueCount="233">
  <si>
    <t>~fi_t</t>
  </si>
  <si>
    <t>process</t>
  </si>
  <si>
    <t>comm-in</t>
  </si>
  <si>
    <t>comm-out</t>
  </si>
  <si>
    <t>year</t>
  </si>
  <si>
    <t>ncap_pasti</t>
  </si>
  <si>
    <t>efficiency</t>
  </si>
  <si>
    <t>ncap_cost</t>
  </si>
  <si>
    <t>ncap_fom</t>
  </si>
  <si>
    <t>act_cost</t>
  </si>
  <si>
    <t>ncap_tlife</t>
  </si>
  <si>
    <t>ncap_af~fx</t>
  </si>
  <si>
    <t>bioenergy</t>
  </si>
  <si>
    <t>ELC</t>
  </si>
  <si>
    <t>ep_gas__ember</t>
  </si>
  <si>
    <t>gas</t>
  </si>
  <si>
    <t>ep_gas_combined_cycle_G100000400075</t>
  </si>
  <si>
    <t>ep_hydro__irena</t>
  </si>
  <si>
    <t>hydro</t>
  </si>
  <si>
    <t>ep_oil_internal_combustion_G100000412942</t>
  </si>
  <si>
    <t>oil</t>
  </si>
  <si>
    <t>solar</t>
  </si>
  <si>
    <t>elc_spv_004</t>
  </si>
  <si>
    <t>windon</t>
  </si>
  <si>
    <t>ep_windon_wind_G100000923898</t>
  </si>
  <si>
    <t>set</t>
  </si>
  <si>
    <t>description</t>
  </si>
  <si>
    <t>capacity_unit</t>
  </si>
  <si>
    <t>activity_unit</t>
  </si>
  <si>
    <t>timeslicelevel</t>
  </si>
  <si>
    <t>vintage</t>
  </si>
  <si>
    <t>ele</t>
  </si>
  <si>
    <t>GW</t>
  </si>
  <si>
    <t>TWh</t>
  </si>
  <si>
    <t>daynite</t>
  </si>
  <si>
    <t>yes</t>
  </si>
  <si>
    <t>IRU Elektrijaam power station_1 -- operating</t>
  </si>
  <si>
    <t>no</t>
  </si>
  <si>
    <t>Aggregated Plant -- operating</t>
  </si>
  <si>
    <t>annual</t>
  </si>
  <si>
    <t>Sopi-Tootsi wind farm_-- -- operating</t>
  </si>
  <si>
    <t>START</t>
  </si>
  <si>
    <t>cap_bnd</t>
  </si>
  <si>
    <t>en_a_gas_combined_cycle_G100001030961</t>
  </si>
  <si>
    <t>en_a_gas_combined_cycle_G100001030965</t>
  </si>
  <si>
    <t>en_a_windoff_wind_008</t>
  </si>
  <si>
    <t>windoff</t>
  </si>
  <si>
    <t>elc_wof_008</t>
  </si>
  <si>
    <t>en_a_windoff_wind_G100001001627</t>
  </si>
  <si>
    <t>elc_wof_005</t>
  </si>
  <si>
    <t>en_a_windoff_wind_G100001003651</t>
  </si>
  <si>
    <t>elc_wof_010</t>
  </si>
  <si>
    <t>en_a_windoff_wind_G100001003659</t>
  </si>
  <si>
    <t>en_a_windoff_wind_G100001003671</t>
  </si>
  <si>
    <t>en_a_windoff_wind_G100001003685</t>
  </si>
  <si>
    <t>en_a_windoff_wind_G100001003687</t>
  </si>
  <si>
    <t>en_pc_hydro_ps_G100000601590</t>
  </si>
  <si>
    <t>en_pc_hydro_ps_G100000604979</t>
  </si>
  <si>
    <t>en_pc_solar_pv_004</t>
  </si>
  <si>
    <t>en_pc_windoff_wind_G100000920044</t>
  </si>
  <si>
    <t>en_pc_windoff_wind_G100000920096</t>
  </si>
  <si>
    <t>elc_wof_006</t>
  </si>
  <si>
    <t>en_pc_windoff_wind_G100000920105</t>
  </si>
  <si>
    <t>elc_wof_009</t>
  </si>
  <si>
    <t>en_pc_windoff_wind_G100000920108</t>
  </si>
  <si>
    <t>en_pc_windoff_wind_G100000923894</t>
  </si>
  <si>
    <t>en_pc_windoff_wind_G100000925123</t>
  </si>
  <si>
    <t>Narva peaking power plant_1 -- announced</t>
  </si>
  <si>
    <t>Iru peaking power plant_1 -- announced</t>
  </si>
  <si>
    <t>Aggregated Plant -- announced</t>
  </si>
  <si>
    <t>Respect Energy wind farm_-- -- announced</t>
  </si>
  <si>
    <t>Liivi 2 wind farm_-- -- announced</t>
  </si>
  <si>
    <t>Liivi 1 wind farm_-- -- announced</t>
  </si>
  <si>
    <t>Saare 1 wind farm_-- -- announced</t>
  </si>
  <si>
    <t>Saare 2.1 wind farm_-- -- announced</t>
  </si>
  <si>
    <t>Saare 2.2 wind farm_-- -- announced</t>
  </si>
  <si>
    <t>STG</t>
  </si>
  <si>
    <t>Ida-Virumaa hydroelectric plant_ -- pre-construction</t>
  </si>
  <si>
    <t>Zero Terrain hydroelectric plant_ -- pre-construction</t>
  </si>
  <si>
    <t>Aggregated Plant -- pre-construction</t>
  </si>
  <si>
    <t>Saare wind farm_-- -- pre-construction</t>
  </si>
  <si>
    <t>Hiiumaa Offshore wind farm_-- -- pre-construction</t>
  </si>
  <si>
    <t>Elwind wind farm_1 -- pre-construction</t>
  </si>
  <si>
    <t>Gulf Of Riga wind farm_-- -- pre-construction</t>
  </si>
  <si>
    <t>Saare Liivi wind farm_1 -- pre-construction</t>
  </si>
  <si>
    <t>Elwind wind farm_2 -- pre-construction</t>
  </si>
  <si>
    <t>AF</t>
  </si>
  <si>
    <t>other_indexes</t>
  </si>
  <si>
    <t>prc_refit</t>
  </si>
  <si>
    <t>en_a_gas_combined_cycle_G100001030961_ccs-rf</t>
  </si>
  <si>
    <t>en_a_gas_combined_cycle_G100001030965_ccs-rf</t>
  </si>
  <si>
    <t>ep_gas__ember_ccs-rf</t>
  </si>
  <si>
    <t>ep_gas_combined_cycle_G100000400075_ccs-rf</t>
  </si>
  <si>
    <t>ep_oil_internal_combustion_G100000412942_ccs-rf</t>
  </si>
  <si>
    <t>ccs retrofit of -- Narva peaking power plant_1 -- announced</t>
  </si>
  <si>
    <t>ccs retrofit of -- Iru peaking power plant_1 -- announced</t>
  </si>
  <si>
    <t>ccs retrofit of -- Aggregated Plant - EMBER Gap_Missing Gas Capacity -- operating</t>
  </si>
  <si>
    <t>ccs retrofit of -- IRU Elektrijaam power station_1 -- operating</t>
  </si>
  <si>
    <t>ccs retrofit of -- Kiisa ERPP power station_1 &amp; 2 -- operating</t>
  </si>
  <si>
    <t>ep_gas_combined_cycle_pohja</t>
  </si>
  <si>
    <t>ep_bioenergy_tlnutilitas</t>
  </si>
  <si>
    <t>ep_bioenergy_tartu</t>
  </si>
  <si>
    <t>ep_bioenergy_parnu</t>
  </si>
  <si>
    <t>ep_bioenergy_horizon</t>
  </si>
  <si>
    <t>Horizon Tselluloosi ja paberi AS</t>
  </si>
  <si>
    <t>Balti PP</t>
  </si>
  <si>
    <t>Enefit PP</t>
  </si>
  <si>
    <t>Eesti PP</t>
  </si>
  <si>
    <t>Utilitas Tallinna PP</t>
  </si>
  <si>
    <t>Tartu PP</t>
  </si>
  <si>
    <t>Parnu PP</t>
  </si>
  <si>
    <t>ep_bioenergy_imavere</t>
  </si>
  <si>
    <t>Imavere CHP</t>
  </si>
  <si>
    <t>ep_bioenergy_osula</t>
  </si>
  <si>
    <t>Osula CHP</t>
  </si>
  <si>
    <t>ep_bioenergy_sillamae1</t>
  </si>
  <si>
    <t>Sillamae 1 CHP</t>
  </si>
  <si>
    <t>Sillamae 2 CHP</t>
  </si>
  <si>
    <t>Pohja TPP</t>
  </si>
  <si>
    <t>Sillamae TPP</t>
  </si>
  <si>
    <t>Auvere PP</t>
  </si>
  <si>
    <t>ep_bioenergy_helme</t>
  </si>
  <si>
    <t>Helme CHP</t>
  </si>
  <si>
    <t>Grune Fee Eesti AS</t>
  </si>
  <si>
    <t>Kivioli Keemiatoostuse OU TPP</t>
  </si>
  <si>
    <t>ep_gas_gas_turbine_grune</t>
  </si>
  <si>
    <t>ep_gas_gas_turbine_sillamae2</t>
  </si>
  <si>
    <t>ep_bioenergy_mustamae</t>
  </si>
  <si>
    <t>Mustamae CHP</t>
  </si>
  <si>
    <t>ep_bioenergy_kuressaare</t>
  </si>
  <si>
    <t>Kuressare CHP</t>
  </si>
  <si>
    <t>ep_bioenergy_paide</t>
  </si>
  <si>
    <t>Paide CHP</t>
  </si>
  <si>
    <t>ep_gas_gas_turbine_jamejala</t>
  </si>
  <si>
    <t>Jamejala CHP</t>
  </si>
  <si>
    <t>ep_gas_gas_turbine_pussi</t>
  </si>
  <si>
    <t>Pussi CHP</t>
  </si>
  <si>
    <t>ep_bioenergy_ilmatsalu</t>
  </si>
  <si>
    <t>Ilmatsalu CHP</t>
  </si>
  <si>
    <t>ep_bioenergy_vinni</t>
  </si>
  <si>
    <t>Vinni CHP</t>
  </si>
  <si>
    <t>ep_bioenergy_oisu</t>
  </si>
  <si>
    <t>Oisu CHP</t>
  </si>
  <si>
    <t>ep_bioenergy_tlnprugilagaas</t>
  </si>
  <si>
    <t>ep_bioenergy_rakverepaikese</t>
  </si>
  <si>
    <t>Tallinna Prugilagaas OU CHP</t>
  </si>
  <si>
    <t>Rakvere Paikese CHP</t>
  </si>
  <si>
    <t>ep_bioenergy_tartuaardlapalu</t>
  </si>
  <si>
    <t>coal</t>
  </si>
  <si>
    <t>ep_coal_cfb_balti</t>
  </si>
  <si>
    <t>ep_coal_cfb_auvere</t>
  </si>
  <si>
    <t>ep_coal_cfb_enefit</t>
  </si>
  <si>
    <t>ep_coal_cfb_eesti</t>
  </si>
  <si>
    <t>ep_coal_cfb_sillamae</t>
  </si>
  <si>
    <t>ep_coal_cfb_kivioli</t>
  </si>
  <si>
    <t>en_a_coal_cfb_G100001030965</t>
  </si>
  <si>
    <t>en_a_coal_cfb_G100001030961</t>
  </si>
  <si>
    <t>en_a_nuclear_smr</t>
  </si>
  <si>
    <t>nuclear</t>
  </si>
  <si>
    <t>Fermi's small nuclear reactor</t>
  </si>
  <si>
    <t>fi_process</t>
  </si>
  <si>
    <t>fi_t</t>
  </si>
  <si>
    <t>fom (%/year)</t>
  </si>
  <si>
    <t>biomass</t>
  </si>
  <si>
    <t>biomass chp</t>
  </si>
  <si>
    <t>CCGT (combined)</t>
  </si>
  <si>
    <t>OCGT (open cycle)</t>
  </si>
  <si>
    <t>inv (kw_e)</t>
  </si>
  <si>
    <t>eff</t>
  </si>
  <si>
    <t>vom (€/MWh_e)</t>
  </si>
  <si>
    <t>ep_windon_wind_sopipurtse</t>
  </si>
  <si>
    <t>ep_windon_agg</t>
  </si>
  <si>
    <t>ep_bioenergy_iru</t>
  </si>
  <si>
    <t>ncap_af</t>
  </si>
  <si>
    <t>Tartu Aardlapalu CHP plant</t>
  </si>
  <si>
    <t>elc_spv_parnu</t>
  </si>
  <si>
    <t>elc_spv_harju</t>
  </si>
  <si>
    <t>elc_spv_tartu</t>
  </si>
  <si>
    <t>elc_spv_laane_viru</t>
  </si>
  <si>
    <t>elc_spv_viljandi</t>
  </si>
  <si>
    <t>elc_spv_ida_viru</t>
  </si>
  <si>
    <t>elc_spv_jogeva</t>
  </si>
  <si>
    <t>elc_spv_polva</t>
  </si>
  <si>
    <t>elc_spv_valga</t>
  </si>
  <si>
    <t>ep_solar_pv_parnu</t>
  </si>
  <si>
    <t>ep_solar_pv_tartu</t>
  </si>
  <si>
    <t>ep_solar_pv_laane_viru</t>
  </si>
  <si>
    <t>ep_solar_pv_ida_viru</t>
  </si>
  <si>
    <t>ep_solar_pv_jarva</t>
  </si>
  <si>
    <t>ep_solar_pv_polva</t>
  </si>
  <si>
    <t>ep_solar_pv_harju</t>
  </si>
  <si>
    <t>ep_solar_pv_valga</t>
  </si>
  <si>
    <t>ep_solar_pv_viljandi</t>
  </si>
  <si>
    <t>ep_solar_pv_jogeva</t>
  </si>
  <si>
    <t>elc_spv_jarva</t>
  </si>
  <si>
    <t>elc_won_parnu</t>
  </si>
  <si>
    <t>elc_won_harju</t>
  </si>
  <si>
    <t>ep_windon_wind_saaremaa</t>
  </si>
  <si>
    <t>Aggregated Plant of windon will be put to Parnu</t>
  </si>
  <si>
    <t>ep_windon_wind_laane-viru</t>
  </si>
  <si>
    <t>ep_windon_wind_harju</t>
  </si>
  <si>
    <t>ep_windon_wind_laanemaa</t>
  </si>
  <si>
    <t>ep_windon_wind_ida_viru</t>
  </si>
  <si>
    <t>elc_won_saaremaa</t>
  </si>
  <si>
    <t>elc_won_laane-viru</t>
  </si>
  <si>
    <t>elc_won_laanemaa</t>
  </si>
  <si>
    <t>ep_windon_wind_parnu</t>
  </si>
  <si>
    <t>elc_won_ida_viru</t>
  </si>
  <si>
    <t>ep_solar_pv_voru</t>
  </si>
  <si>
    <t>ep_solar_pv_saare</t>
  </si>
  <si>
    <t>ep_solar_pv_laane</t>
  </si>
  <si>
    <t>ep_solar_pv_hiiu</t>
  </si>
  <si>
    <t>elc_spv_voru</t>
  </si>
  <si>
    <t>elc_spv_saare</t>
  </si>
  <si>
    <t>elc_spv_rapla</t>
  </si>
  <si>
    <t>ep_solar_pv_rapla</t>
  </si>
  <si>
    <t>elv_spv_laane</t>
  </si>
  <si>
    <t>elv_spv_hiiu</t>
  </si>
  <si>
    <t>~FI_Process</t>
  </si>
  <si>
    <t>Sets</t>
  </si>
  <si>
    <t>TechName</t>
  </si>
  <si>
    <t>TechDesc</t>
  </si>
  <si>
    <t>Tslvl</t>
  </si>
  <si>
    <t>PrimaryCG</t>
  </si>
  <si>
    <t>Vintage</t>
  </si>
  <si>
    <t>* Sets</t>
  </si>
  <si>
    <t>Technology Name</t>
  </si>
  <si>
    <t>Technology Description</t>
  </si>
  <si>
    <t>Activity Unit</t>
  </si>
  <si>
    <t>TimeSlice level of Process Activity</t>
  </si>
  <si>
    <t>Primary Commodity Group</t>
  </si>
  <si>
    <t>Vintage Tracking</t>
  </si>
  <si>
    <t>* Power Plants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</si>
</sst>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3" formatCode="_-* #,##0.00_-;\-* #,##0.00_-;_-* &quot;-&quot;??_-;_-@_-"/>
    <numFmt numFmtId="164" formatCode="0.0"/>
    <numFmt numFmtId="165" formatCode="_(&quot;$&quot;* #,##0.00_);_(&quot;$&quot;* \(#,##0.00\);_(&quot;$&quot;* &quot;-&quot;??_);_(@_)"/>
    <numFmt numFmtId="166" formatCode="_-&quot;$&quot;* #,##0.00_-;\-&quot;$&quot;* #,##0.00_-;_-&quot;$&quot;* &quot;-&quot;??_-;_-@_-"/>
    <numFmt numFmtId="167" formatCode="m\o\n\th\ d\,\ yyyy"/>
    <numFmt numFmtId="168" formatCode="#.00"/>
    <numFmt numFmtId="169" formatCode="#."/>
    <numFmt numFmtId="170" formatCode="\Te\x\t"/>
  </numFmts>
  <fonts count="3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name val="Arial"/>
      <family val="2"/>
    </font>
    <font>
      <sz val="10"/>
      <name val="Arial"/>
      <family val="2"/>
      <charset val="186"/>
    </font>
    <font>
      <b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sz val="10"/>
      <name val="Arial"/>
      <family val="2"/>
    </font>
    <font>
      <sz val="8"/>
      <color rgb="FF800080"/>
      <name val="Arial"/>
      <family val="2"/>
    </font>
    <font>
      <sz val="8"/>
      <color rgb="FF000000"/>
      <name val="Arial"/>
      <family val="2"/>
    </font>
    <font>
      <b/>
      <sz val="11"/>
      <color theme="1"/>
      <name val="Aptos Narrow"/>
      <family val="2"/>
      <scheme val="minor"/>
    </font>
    <font>
      <u/>
      <sz val="10"/>
      <color indexed="12"/>
      <name val="Arial"/>
      <family val="2"/>
    </font>
    <font>
      <b/>
      <sz val="18"/>
      <color theme="3"/>
      <name val="Aptos Display"/>
      <family val="2"/>
      <scheme val="maj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0"/>
      <name val="Verdana"/>
      <family val="2"/>
    </font>
    <font>
      <sz val="1"/>
      <color indexed="8"/>
      <name val="Courier"/>
      <family val="3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"/>
      <color indexed="8"/>
      <name val="Courier"/>
      <family val="3"/>
    </font>
    <font>
      <u/>
      <sz val="11"/>
      <color theme="10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1"/>
      <color theme="1"/>
      <name val="Arial Narrow"/>
      <family val="2"/>
    </font>
    <font>
      <sz val="10"/>
      <name val="MS Sans Serif"/>
      <family val="2"/>
    </font>
    <font>
      <sz val="11"/>
      <color theme="1"/>
      <name val="Calibri"/>
      <family val="2"/>
    </font>
    <font>
      <b/>
      <sz val="11"/>
      <color indexed="63"/>
      <name val="Calibri"/>
      <family val="2"/>
    </font>
    <font>
      <b/>
      <sz val="9"/>
      <color indexed="8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0"/>
      <name val="Courier"/>
      <family val="3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</fills>
  <borders count="18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536">
    <xf numFmtId="0" fontId="0" fillId="0" borderId="0"/>
    <xf numFmtId="0" fontId="3" fillId="0" borderId="0"/>
    <xf numFmtId="0" fontId="7" fillId="0" borderId="0"/>
    <xf numFmtId="0" fontId="7" fillId="0" borderId="0"/>
    <xf numFmtId="0" fontId="7" fillId="0" borderId="0"/>
    <xf numFmtId="0" fontId="1" fillId="0" borderId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1" fillId="0" borderId="0"/>
    <xf numFmtId="0" fontId="11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3" fillId="21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3" fillId="2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3" fillId="2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3" fillId="2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3" fillId="2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3" fillId="2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3" fillId="27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3" fillId="2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3" fillId="2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3" fillId="2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4" fillId="29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6" borderId="0" applyNumberFormat="0" applyBorder="0" applyAlignment="0" applyProtection="0"/>
    <xf numFmtId="0" fontId="15" fillId="21" borderId="0" applyNumberFormat="0" applyBorder="0" applyAlignment="0" applyProtection="0"/>
    <xf numFmtId="0" fontId="16" fillId="0" borderId="7" applyNumberFormat="0" applyFont="0" applyProtection="0">
      <alignment wrapText="1"/>
    </xf>
    <xf numFmtId="0" fontId="17" fillId="37" borderId="8" applyNumberFormat="0" applyAlignment="0" applyProtection="0"/>
    <xf numFmtId="0" fontId="18" fillId="38" borderId="9" applyNumberFormat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7" fontId="20" fillId="0" borderId="0">
      <protection locked="0"/>
    </xf>
    <xf numFmtId="167" fontId="20" fillId="0" borderId="0">
      <protection locked="0"/>
    </xf>
    <xf numFmtId="167" fontId="20" fillId="0" borderId="0">
      <protection locked="0"/>
    </xf>
    <xf numFmtId="167" fontId="20" fillId="0" borderId="0">
      <protection locked="0"/>
    </xf>
    <xf numFmtId="0" fontId="21" fillId="0" borderId="0" applyNumberFormat="0" applyFill="0" applyBorder="0" applyAlignment="0" applyProtection="0"/>
    <xf numFmtId="168" fontId="20" fillId="0" borderId="0">
      <protection locked="0"/>
    </xf>
    <xf numFmtId="168" fontId="20" fillId="0" borderId="0">
      <protection locked="0"/>
    </xf>
    <xf numFmtId="168" fontId="20" fillId="0" borderId="0">
      <protection locked="0"/>
    </xf>
    <xf numFmtId="168" fontId="20" fillId="0" borderId="0">
      <protection locked="0"/>
    </xf>
    <xf numFmtId="0" fontId="22" fillId="22" borderId="0" applyNumberFormat="0" applyBorder="0" applyAlignment="0" applyProtection="0"/>
    <xf numFmtId="0" fontId="23" fillId="0" borderId="10" applyNumberFormat="0" applyFill="0" applyAlignment="0" applyProtection="0"/>
    <xf numFmtId="0" fontId="24" fillId="0" borderId="11" applyNumberFormat="0" applyFill="0" applyAlignment="0" applyProtection="0"/>
    <xf numFmtId="0" fontId="25" fillId="0" borderId="12" applyNumberFormat="0" applyFill="0" applyAlignment="0" applyProtection="0"/>
    <xf numFmtId="0" fontId="25" fillId="0" borderId="0" applyNumberFormat="0" applyFill="0" applyBorder="0" applyAlignment="0" applyProtection="0"/>
    <xf numFmtId="169" fontId="26" fillId="0" borderId="0">
      <protection locked="0"/>
    </xf>
    <xf numFmtId="169" fontId="26" fillId="0" borderId="0">
      <protection locked="0"/>
    </xf>
    <xf numFmtId="169" fontId="26" fillId="0" borderId="0">
      <protection locked="0"/>
    </xf>
    <xf numFmtId="169" fontId="26" fillId="0" borderId="0">
      <protection locked="0"/>
    </xf>
    <xf numFmtId="169" fontId="26" fillId="0" borderId="0">
      <protection locked="0"/>
    </xf>
    <xf numFmtId="169" fontId="26" fillId="0" borderId="0">
      <protection locked="0"/>
    </xf>
    <xf numFmtId="169" fontId="26" fillId="0" borderId="0">
      <protection locked="0"/>
    </xf>
    <xf numFmtId="169" fontId="26" fillId="0" borderId="0">
      <protection locked="0"/>
    </xf>
    <xf numFmtId="0" fontId="27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>
      <alignment vertical="top"/>
      <protection locked="0"/>
    </xf>
    <xf numFmtId="0" fontId="28" fillId="24" borderId="8" applyNumberFormat="0" applyAlignment="0" applyProtection="0"/>
    <xf numFmtId="0" fontId="29" fillId="0" borderId="13" applyNumberFormat="0" applyFill="0" applyAlignment="0" applyProtection="0"/>
    <xf numFmtId="0" fontId="30" fillId="3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32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9" fillId="0" borderId="0"/>
    <xf numFmtId="0" fontId="7" fillId="0" borderId="0"/>
    <xf numFmtId="0" fontId="13" fillId="40" borderId="14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34" fillId="37" borderId="15" applyNumberFormat="0" applyAlignment="0" applyProtection="0"/>
    <xf numFmtId="0" fontId="35" fillId="0" borderId="16" applyNumberFormat="0" applyProtection="0">
      <alignment wrapText="1"/>
    </xf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6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169" fontId="20" fillId="0" borderId="17">
      <protection locked="0"/>
    </xf>
    <xf numFmtId="169" fontId="20" fillId="0" borderId="17">
      <protection locked="0"/>
    </xf>
    <xf numFmtId="169" fontId="20" fillId="0" borderId="17">
      <protection locked="0"/>
    </xf>
    <xf numFmtId="0" fontId="10" fillId="0" borderId="2" applyNumberFormat="0" applyFill="0" applyAlignment="0" applyProtection="0"/>
    <xf numFmtId="169" fontId="20" fillId="0" borderId="17">
      <protection locked="0"/>
    </xf>
    <xf numFmtId="0" fontId="37" fillId="0" borderId="0" applyNumberFormat="0" applyFill="0" applyBorder="0" applyAlignment="0" applyProtection="0"/>
    <xf numFmtId="9" fontId="7" fillId="0" borderId="0" applyFont="0" applyFill="0" applyBorder="0" applyAlignment="0" applyProtection="0"/>
    <xf numFmtId="0" fontId="38" fillId="0" borderId="0"/>
    <xf numFmtId="0" fontId="1" fillId="0" borderId="0"/>
  </cellStyleXfs>
  <cellXfs count="20">
    <xf numFmtId="0" fontId="0" fillId="0" borderId="0" xfId="0"/>
    <xf numFmtId="1" fontId="0" fillId="0" borderId="0" xfId="0" applyNumberFormat="1"/>
    <xf numFmtId="164" fontId="0" fillId="0" borderId="0" xfId="0" applyNumberFormat="1"/>
    <xf numFmtId="2" fontId="0" fillId="0" borderId="0" xfId="0" applyNumberFormat="1"/>
    <xf numFmtId="170" fontId="6" fillId="0" borderId="0" xfId="15" applyNumberFormat="1" applyFont="1" applyAlignment="1">
      <alignment horizontal="center" vertical="center" wrapText="1"/>
    </xf>
    <xf numFmtId="170" fontId="6" fillId="0" borderId="0" xfId="253" applyNumberFormat="1" applyFont="1" applyAlignment="1">
      <alignment horizontal="center" vertical="center" wrapText="1"/>
    </xf>
    <xf numFmtId="0" fontId="4" fillId="0" borderId="0" xfId="319" applyFont="1" applyAlignment="1">
      <alignment horizontal="center" vertical="center" wrapText="1"/>
    </xf>
    <xf numFmtId="0" fontId="6" fillId="0" borderId="0" xfId="0" applyFont="1"/>
    <xf numFmtId="0" fontId="2" fillId="16" borderId="0" xfId="0" applyFont="1" applyFill="1" applyAlignment="1">
      <alignment horizontal="left"/>
    </xf>
    <xf numFmtId="0" fontId="9" fillId="0" borderId="0" xfId="3" applyFont="1"/>
    <xf numFmtId="0" fontId="8" fillId="0" borderId="0" xfId="3" applyFont="1"/>
    <xf numFmtId="0" fontId="2" fillId="16" borderId="0" xfId="1" applyFont="1" applyFill="1" applyAlignment="1">
      <alignment horizontal="left"/>
    </xf>
    <xf numFmtId="170" fontId="3" fillId="0" borderId="0" xfId="1" applyNumberFormat="1"/>
    <xf numFmtId="0" fontId="4" fillId="15" borderId="6" xfId="319" applyFont="1" applyFill="1" applyBorder="1" applyAlignment="1">
      <alignment horizontal="center" vertical="center"/>
    </xf>
    <xf numFmtId="0" fontId="4" fillId="17" borderId="6" xfId="319" applyFont="1" applyFill="1" applyBorder="1" applyAlignment="1">
      <alignment horizontal="center" vertical="center" wrapText="1"/>
    </xf>
    <xf numFmtId="170" fontId="4" fillId="17" borderId="4" xfId="1" applyNumberFormat="1" applyFont="1" applyFill="1" applyBorder="1" applyAlignment="1">
      <alignment horizontal="center"/>
    </xf>
    <xf numFmtId="170" fontId="5" fillId="18" borderId="5" xfId="15" applyNumberFormat="1" applyFont="1" applyFill="1" applyBorder="1" applyAlignment="1">
      <alignment horizontal="center" vertical="center" wrapText="1"/>
    </xf>
    <xf numFmtId="170" fontId="4" fillId="15" borderId="3" xfId="1" applyNumberFormat="1" applyFont="1" applyFill="1" applyBorder="1" applyAlignment="1">
      <alignment horizontal="center"/>
    </xf>
    <xf numFmtId="170" fontId="6" fillId="18" borderId="5" xfId="253" applyNumberFormat="1" applyFont="1" applyFill="1" applyBorder="1" applyAlignment="1">
      <alignment horizontal="center" vertical="center" wrapText="1"/>
    </xf>
    <xf numFmtId="170" fontId="6" fillId="18" borderId="5" xfId="15" applyNumberFormat="1" applyFont="1" applyFill="1" applyBorder="1" applyAlignment="1">
      <alignment horizontal="center" vertical="center" wrapText="1"/>
    </xf>
  </cellXfs>
  <cellStyles count="536">
    <cellStyle name="20% - Accent1 2" xfId="18" xr:uid="{C2F6E926-9FDD-459E-B36E-F6553828C486}"/>
    <cellStyle name="20% - Accent1 3" xfId="19" xr:uid="{D0CDC148-61B0-4F54-AFC7-80FFC7BA9DDA}"/>
    <cellStyle name="20% - Accent1 3 2" xfId="20" xr:uid="{6B82962E-198F-48A5-9387-C43B6BACF387}"/>
    <cellStyle name="20% - Accent1 3 3" xfId="21" xr:uid="{54718EBD-8851-4832-AA80-F1584D982BEF}"/>
    <cellStyle name="20% - Accent1 4" xfId="22" xr:uid="{02D395A3-C917-4727-A060-4AF1B4BBD948}"/>
    <cellStyle name="20% - Accent1 4 2" xfId="23" xr:uid="{C2F452E8-E51C-4928-AD5E-A52B5A98920D}"/>
    <cellStyle name="20% - Accent1 4 3" xfId="24" xr:uid="{DE15865C-80E1-4488-B2CD-286593D7FA68}"/>
    <cellStyle name="20% - Accent1 5" xfId="25" xr:uid="{B715AB6E-9975-4191-B542-EDEDB3F52195}"/>
    <cellStyle name="20% - Accent1 6" xfId="26" xr:uid="{02E3A29E-1B58-4B64-982B-AFB056387F9D}"/>
    <cellStyle name="20% - Accent2 2" xfId="27" xr:uid="{1F8745B0-F379-4B29-BFF7-43354186D9A9}"/>
    <cellStyle name="20% - Accent2 3" xfId="28" xr:uid="{0EAE995D-0A79-4B68-AD97-45CCBA1F6AE1}"/>
    <cellStyle name="20% - Accent2 3 2" xfId="29" xr:uid="{0974B237-50AD-44D5-835B-61FC4EDEE5E7}"/>
    <cellStyle name="20% - Accent2 3 3" xfId="30" xr:uid="{8D935F9F-A016-44E4-9597-EF066FF81B55}"/>
    <cellStyle name="20% - Accent2 4" xfId="31" xr:uid="{4E91F96A-F305-4DA3-8C78-003861A0B852}"/>
    <cellStyle name="20% - Accent2 4 2" xfId="32" xr:uid="{FE4B1920-80FA-4DF0-9297-69AB48E66EB0}"/>
    <cellStyle name="20% - Accent2 4 3" xfId="33" xr:uid="{A43CBCD7-CB2A-425A-A94D-49D9C309DDA8}"/>
    <cellStyle name="20% - Accent2 5" xfId="34" xr:uid="{EB57A3A9-6FDA-4EB9-9F02-27BBEB7617FF}"/>
    <cellStyle name="20% - Accent2 6" xfId="35" xr:uid="{BE918435-74D2-495F-B20B-F5C32F37F543}"/>
    <cellStyle name="20% - Accent3 2" xfId="36" xr:uid="{B2B7A526-EA57-4EA7-8889-CA711D1875BF}"/>
    <cellStyle name="20% - Accent3 3" xfId="37" xr:uid="{08031ADB-4EF8-4A20-8EB3-B95716B45690}"/>
    <cellStyle name="20% - Accent3 3 2" xfId="38" xr:uid="{209E20FA-8CF5-499F-BCB8-C333DAC6FC1C}"/>
    <cellStyle name="20% - Accent3 3 3" xfId="39" xr:uid="{14E42D62-82E1-44D6-8073-04237052E866}"/>
    <cellStyle name="20% - Accent3 4" xfId="40" xr:uid="{1DA2244D-5290-427C-B55B-60F574143C85}"/>
    <cellStyle name="20% - Accent3 4 2" xfId="41" xr:uid="{103AD0E1-E42A-4FC8-9ACA-CFB056E519E2}"/>
    <cellStyle name="20% - Accent3 4 3" xfId="42" xr:uid="{2998309D-2A64-408A-AFC6-1AF80F774CF7}"/>
    <cellStyle name="20% - Accent3 5" xfId="43" xr:uid="{1F50220A-6609-4023-B7AA-C303684625F5}"/>
    <cellStyle name="20% - Accent3 6" xfId="44" xr:uid="{44FEDAC3-966A-4FD5-B230-0FE85E7F0341}"/>
    <cellStyle name="20% - Accent4 2" xfId="45" xr:uid="{5799D3DF-38D6-45CC-A5ED-3B791D73FFEA}"/>
    <cellStyle name="20% - Accent4 3" xfId="46" xr:uid="{539C19BD-F7C1-45B0-A513-F364DEF44EC1}"/>
    <cellStyle name="20% - Accent4 3 2" xfId="47" xr:uid="{1D504E29-22E4-4107-BE34-4EA0423ADF3A}"/>
    <cellStyle name="20% - Accent4 3 3" xfId="48" xr:uid="{1D4E08EA-1289-4A51-9021-1772364535CE}"/>
    <cellStyle name="20% - Accent4 4" xfId="49" xr:uid="{9B0CF924-E0C2-43EB-B87A-7A70C6C2BC3F}"/>
    <cellStyle name="20% - Accent4 4 2" xfId="50" xr:uid="{5C9ECBFF-5402-43F7-9C3A-8420F31F4862}"/>
    <cellStyle name="20% - Accent4 4 3" xfId="51" xr:uid="{BD7259F1-DF2E-4B83-98AD-D915A5489907}"/>
    <cellStyle name="20% - Accent4 5" xfId="52" xr:uid="{EAB8C525-FB94-4392-AAF1-5D2750AC3E28}"/>
    <cellStyle name="20% - Accent4 6" xfId="53" xr:uid="{8A7A84E2-9832-4607-97D7-4ADD4F9666A4}"/>
    <cellStyle name="20% - Accent5 2" xfId="17" xr:uid="{D48EF81F-6E1F-4D1B-9803-F076CE5A58B5}"/>
    <cellStyle name="20% - Accent5 3" xfId="54" xr:uid="{6AAEDA1D-4470-415A-94DB-DF9DB6A7F5B7}"/>
    <cellStyle name="20% - Accent5 3 2" xfId="55" xr:uid="{2FE4ECFC-CD8B-48F0-BDE9-AE5F3DF08E04}"/>
    <cellStyle name="20% - Accent5 3 3" xfId="56" xr:uid="{03CA3832-6190-4F23-8AC4-E051CFE3AF75}"/>
    <cellStyle name="20% - Accent5 4" xfId="57" xr:uid="{A048D7B8-5976-434B-9665-B373C9929B3C}"/>
    <cellStyle name="20% - Accent5 4 2" xfId="58" xr:uid="{0ED58860-80F7-44C0-B628-8075A5237934}"/>
    <cellStyle name="20% - Accent5 4 3" xfId="59" xr:uid="{CCB1CA17-428D-4537-85BC-58E7E1CF5189}"/>
    <cellStyle name="20% - Accent5 5" xfId="60" xr:uid="{1AE56565-5E66-4587-9D01-7518F24A6D8E}"/>
    <cellStyle name="20% - Accent5 6" xfId="61" xr:uid="{B83F0060-5B49-48E5-9DBF-6CBB733F25B6}"/>
    <cellStyle name="20% - Accent6 2" xfId="62" xr:uid="{3A2C0859-31A9-4A2E-AB67-02ED0E22DE9B}"/>
    <cellStyle name="20% - Accent6 3" xfId="63" xr:uid="{FB5A3A43-68AE-45A2-B307-C16FBE893922}"/>
    <cellStyle name="20% - Accent6 3 2" xfId="64" xr:uid="{29FBF1AF-4D0C-4CBF-9BED-2569C1793A27}"/>
    <cellStyle name="20% - Accent6 3 3" xfId="65" xr:uid="{36037DE2-4418-44EC-8FDC-8006FBD9E542}"/>
    <cellStyle name="20% - Accent6 4" xfId="66" xr:uid="{61421915-B3DF-4BC0-9585-8B8C1ED27F22}"/>
    <cellStyle name="20% - Accent6 4 2" xfId="67" xr:uid="{97C2937D-3393-4D5E-8689-E91BA4D8B298}"/>
    <cellStyle name="20% - Accent6 4 3" xfId="68" xr:uid="{FEF7C5A1-6EBE-4CCF-9FAE-C52D0F37525B}"/>
    <cellStyle name="20% - Accent6 5" xfId="69" xr:uid="{252D7F5C-E02E-4DAF-886A-AA06D7041054}"/>
    <cellStyle name="20% - Accent6 6" xfId="70" xr:uid="{7A5FDCF4-585A-40F9-9AAB-D4356D81F4CC}"/>
    <cellStyle name="40% - Accent1 2" xfId="71" xr:uid="{4ED24ED5-EB08-4B74-A88E-54E7A2936E2B}"/>
    <cellStyle name="40% - Accent1 3" xfId="72" xr:uid="{203B437E-8C42-4C9C-99A4-5C6403263542}"/>
    <cellStyle name="40% - Accent1 3 2" xfId="73" xr:uid="{B814D06C-1EC4-468E-9F32-AADEDA2BCF31}"/>
    <cellStyle name="40% - Accent1 3 3" xfId="74" xr:uid="{BAB3CAEE-FF6E-4AFB-B4FD-B5EF754A9B02}"/>
    <cellStyle name="40% - Accent1 4" xfId="75" xr:uid="{7A2552B4-5CF8-4C73-BDAC-1E5EC6C39EDF}"/>
    <cellStyle name="40% - Accent1 4 2" xfId="76" xr:uid="{491A2DC4-E965-4BE3-91BF-013798FB71E2}"/>
    <cellStyle name="40% - Accent1 4 3" xfId="77" xr:uid="{D1A5CAFC-CEC3-432F-8B8D-C0CFBA4D1B6E}"/>
    <cellStyle name="40% - Accent1 5" xfId="78" xr:uid="{4EB52E36-A630-4059-BCFB-E35CFD0AB7EF}"/>
    <cellStyle name="40% - Accent1 6" xfId="79" xr:uid="{4BCC9406-C8AA-4F1E-A233-C9631CF57ABD}"/>
    <cellStyle name="40% - Accent2 2" xfId="80" xr:uid="{D641B17E-10C3-457E-8665-48D97587AF87}"/>
    <cellStyle name="40% - Accent2 3" xfId="81" xr:uid="{22FD3305-462D-499F-9E91-3058B226203F}"/>
    <cellStyle name="40% - Accent2 3 2" xfId="82" xr:uid="{3B3AE83A-9315-4D14-9211-F772251666C4}"/>
    <cellStyle name="40% - Accent2 3 3" xfId="83" xr:uid="{DDE2F52E-F0B0-4DFF-8D6F-307495098B9D}"/>
    <cellStyle name="40% - Accent2 4" xfId="84" xr:uid="{E1F2887A-0A81-4293-B85E-88139A19049D}"/>
    <cellStyle name="40% - Accent2 4 2" xfId="85" xr:uid="{9A727304-9E85-4236-B77B-068F8AA258B6}"/>
    <cellStyle name="40% - Accent2 4 3" xfId="86" xr:uid="{DE713F12-11EA-48A1-B83C-EB5062C3283A}"/>
    <cellStyle name="40% - Accent2 5" xfId="87" xr:uid="{05D283B7-75C9-46FB-BF88-11ADB9D678FA}"/>
    <cellStyle name="40% - Accent2 6" xfId="88" xr:uid="{4078D910-94EE-4911-B8E4-805F60F93935}"/>
    <cellStyle name="40% - Accent3 2" xfId="89" xr:uid="{608A12D2-A95C-4D3F-8091-E5D6DAC77837}"/>
    <cellStyle name="40% - Accent3 3" xfId="90" xr:uid="{498FB99B-EF69-4BCE-8561-DA302AB26DCA}"/>
    <cellStyle name="40% - Accent3 3 2" xfId="91" xr:uid="{C834B6E1-ED40-4F40-9AB0-3E4972E628F5}"/>
    <cellStyle name="40% - Accent3 3 2 2" xfId="92" xr:uid="{0A14402B-EE56-4283-81EA-48E321562DED}"/>
    <cellStyle name="40% - Accent3 3 2 2 2" xfId="93" xr:uid="{4A67F815-5767-4745-8998-8208A3CC7B22}"/>
    <cellStyle name="40% - Accent3 3 2 2 3" xfId="94" xr:uid="{0BB52079-FAE0-48E1-86FE-68442FB6678D}"/>
    <cellStyle name="40% - Accent3 3 2 3" xfId="95" xr:uid="{E3CD77C7-F602-46F7-98F9-E6D0EEC0FF29}"/>
    <cellStyle name="40% - Accent3 3 2 4" xfId="96" xr:uid="{054CC8CC-6839-46A9-87B4-B876BDEDCE76}"/>
    <cellStyle name="40% - Accent3 3 3" xfId="97" xr:uid="{8ABCD0C6-43ED-4581-B20F-A383A615A9ED}"/>
    <cellStyle name="40% - Accent3 3 3 2" xfId="98" xr:uid="{A664B716-744E-4665-BB0D-7299073BAE57}"/>
    <cellStyle name="40% - Accent3 3 3 3" xfId="99" xr:uid="{AB3C0251-2FB0-4914-A573-5A5C2EBFB940}"/>
    <cellStyle name="40% - Accent3 3 4" xfId="100" xr:uid="{48D1E7D3-C9A1-48B6-9386-0FA23AD325E2}"/>
    <cellStyle name="40% - Accent3 3 5" xfId="101" xr:uid="{E9C2703D-BE3C-416F-89E6-DAF83B3B1B4D}"/>
    <cellStyle name="40% - Accent3 4" xfId="102" xr:uid="{070BCF28-6044-4FBA-B919-85A180EE1998}"/>
    <cellStyle name="40% - Accent3 4 2" xfId="103" xr:uid="{F0B37B10-C777-4264-954D-8CDC6956D016}"/>
    <cellStyle name="40% - Accent3 4 2 2" xfId="104" xr:uid="{D577EA8B-9F16-4008-A29A-4996023B5229}"/>
    <cellStyle name="40% - Accent3 4 2 3" xfId="105" xr:uid="{1352ACC6-4FF1-4293-AACA-AE06ACFB0B76}"/>
    <cellStyle name="40% - Accent3 4 3" xfId="106" xr:uid="{444E68AE-29D6-476B-837A-F9991E73478E}"/>
    <cellStyle name="40% - Accent3 4 4" xfId="107" xr:uid="{DFE7B282-AF76-4DFB-A86A-4933B6935E5C}"/>
    <cellStyle name="40% - Accent3 5" xfId="108" xr:uid="{7713F944-4EE8-4863-840E-30D458F6C4EE}"/>
    <cellStyle name="40% - Accent3 5 2" xfId="109" xr:uid="{86A152B5-0291-4105-9960-CAB2D1DC2DBC}"/>
    <cellStyle name="40% - Accent3 5 2 2" xfId="110" xr:uid="{DC1A3B3E-0002-4C20-AE0A-DC7F7AC42853}"/>
    <cellStyle name="40% - Accent3 5 2 3" xfId="111" xr:uid="{3BC3886D-60A3-4829-8C90-E2B77B43EBDF}"/>
    <cellStyle name="40% - Accent3 5 3" xfId="112" xr:uid="{11BC02F8-C537-4BAB-8472-37ABBDD739B1}"/>
    <cellStyle name="40% - Accent3 5 4" xfId="113" xr:uid="{14919AE6-2200-4A8C-8F61-CE7F98E2893B}"/>
    <cellStyle name="40% - Accent3 6" xfId="114" xr:uid="{A4C1F8B8-05DE-494F-A2B3-F7C84159165E}"/>
    <cellStyle name="40% - Accent3 6 2" xfId="115" xr:uid="{BEAEAED2-2E4E-4139-BBD1-BF8A86658E13}"/>
    <cellStyle name="40% - Accent3 6 3" xfId="116" xr:uid="{2A91C0AD-58BA-4905-8C6D-064D79453D7F}"/>
    <cellStyle name="40% - Accent3 7" xfId="117" xr:uid="{3E2B88F5-FCE7-4F68-BB36-E951459BBAF4}"/>
    <cellStyle name="40% - Accent3 8" xfId="118" xr:uid="{5870A167-32FD-491D-BE58-0E136C868431}"/>
    <cellStyle name="40% - Accent4 2" xfId="119" xr:uid="{BF474786-25CA-44A0-9BFE-A186BF980E75}"/>
    <cellStyle name="40% - Accent4 3" xfId="120" xr:uid="{EA20FC2C-1560-46CF-9CAC-DB8834E4B262}"/>
    <cellStyle name="40% - Accent4 3 2" xfId="121" xr:uid="{92D29F30-1B93-4A9D-BA4A-D65B4DCACA29}"/>
    <cellStyle name="40% - Accent4 3 3" xfId="122" xr:uid="{005B492F-C01A-49F7-A369-12573291A859}"/>
    <cellStyle name="40% - Accent4 4" xfId="123" xr:uid="{5130F80F-49BC-47A7-8862-E2EC3167FF16}"/>
    <cellStyle name="40% - Accent4 4 2" xfId="124" xr:uid="{7994B51D-884E-44F2-9810-B70C2B63B090}"/>
    <cellStyle name="40% - Accent4 4 3" xfId="125" xr:uid="{A591F72A-AC9C-42AE-8614-ADF888BE0646}"/>
    <cellStyle name="40% - Accent4 5" xfId="126" xr:uid="{3E073918-ED62-47BB-9937-6A6985C2B5D2}"/>
    <cellStyle name="40% - Accent4 6" xfId="127" xr:uid="{263B421A-A31A-4D0E-BA89-5592D6AACAB0}"/>
    <cellStyle name="40% - Accent5 2" xfId="128" xr:uid="{BB8F5055-2275-4E1A-A9DE-98B1E56F8A2A}"/>
    <cellStyle name="40% - Accent5 3" xfId="129" xr:uid="{890B54FE-2D52-4F81-85BA-8F50F26382F3}"/>
    <cellStyle name="40% - Accent5 3 2" xfId="130" xr:uid="{57EACDA7-FB58-4C1C-A44C-4364A9757475}"/>
    <cellStyle name="40% - Accent5 3 3" xfId="131" xr:uid="{93F24521-B667-497C-AE8B-FF38295C4CAD}"/>
    <cellStyle name="40% - Accent5 4" xfId="132" xr:uid="{C9C07EC0-AC63-4900-A239-96B2B0984341}"/>
    <cellStyle name="40% - Accent5 4 2" xfId="133" xr:uid="{67BAC47B-6182-433E-AE2F-1C01971B43FF}"/>
    <cellStyle name="40% - Accent5 4 3" xfId="134" xr:uid="{8031E89F-AD07-4E69-9DA5-E22EF4CCB9AD}"/>
    <cellStyle name="40% - Accent5 5" xfId="135" xr:uid="{E662DDED-0284-44B4-8FF8-8E1AC3417EB7}"/>
    <cellStyle name="40% - Accent5 6" xfId="136" xr:uid="{C0A80A2A-AE8F-4F0A-BAB5-AFF689AF97D6}"/>
    <cellStyle name="40% - Accent6 2" xfId="137" xr:uid="{F7490E6D-448E-46B6-8BF2-3C530CEC0AE8}"/>
    <cellStyle name="40% - Accent6 3" xfId="138" xr:uid="{AE7839E2-D275-4C36-A5A0-29AAAACB4361}"/>
    <cellStyle name="40% - Accent6 3 2" xfId="139" xr:uid="{6389361F-7FA8-465F-9953-48E762DF45DE}"/>
    <cellStyle name="40% - Accent6 3 3" xfId="140" xr:uid="{FED8C062-0088-493D-B9EF-1C2269A91ADA}"/>
    <cellStyle name="40% - Accent6 4" xfId="141" xr:uid="{447AC394-2CD8-48E5-AF88-34E0C773A4BA}"/>
    <cellStyle name="40% - Accent6 4 2" xfId="142" xr:uid="{F53DB594-4FCC-4DFB-B5F2-D3A26666A931}"/>
    <cellStyle name="40% - Accent6 4 3" xfId="143" xr:uid="{4DC968FA-1D73-40D7-8A92-A94E96261FB5}"/>
    <cellStyle name="40% - Accent6 5" xfId="144" xr:uid="{C2B0BAA2-2D24-49CE-BEFF-08DE71490DEE}"/>
    <cellStyle name="40% - Accent6 6" xfId="145" xr:uid="{46AC72E5-FE06-4B21-BA6B-8BFF709B97AF}"/>
    <cellStyle name="60% - Accent1 2" xfId="146" xr:uid="{A91F2349-C3BE-410F-8B57-33F566930DF9}"/>
    <cellStyle name="60% - Accent2 2" xfId="147" xr:uid="{BE3309CC-79D3-492A-ADD8-643245261CE6}"/>
    <cellStyle name="60% - Accent3 2" xfId="148" xr:uid="{5F96E0B1-A596-4907-A66F-D72651BAC09D}"/>
    <cellStyle name="60% - Accent4 2" xfId="149" xr:uid="{18E0D975-82DD-48A8-9FD3-FA18CF903825}"/>
    <cellStyle name="60% - Accent5 2" xfId="150" xr:uid="{57CB5468-0EF2-494A-B71F-EA254913FB72}"/>
    <cellStyle name="60% - Accent6 2" xfId="151" xr:uid="{02F20496-8CC9-4391-8F10-74FD8D73D251}"/>
    <cellStyle name="Accent1 2" xfId="152" xr:uid="{7BE3FAA8-9805-4924-90CA-3E6792D200FF}"/>
    <cellStyle name="Accent2 2" xfId="153" xr:uid="{04AE7A7E-1CF8-45DA-BC88-7D2A1530307D}"/>
    <cellStyle name="Accent3 2" xfId="154" xr:uid="{1A560C38-3C3C-437B-AA5E-94BB53C8F23A}"/>
    <cellStyle name="Accent4 2" xfId="155" xr:uid="{9C55096C-EAA9-44C4-93DF-CF78F7027BBB}"/>
    <cellStyle name="Accent5 2" xfId="156" xr:uid="{24ACADBE-E858-47CE-9B9D-C20264AC1F84}"/>
    <cellStyle name="Accent6 2" xfId="157" xr:uid="{9BE1F430-B159-4B1A-A04E-553F85FADD37}"/>
    <cellStyle name="Bad 2" xfId="158" xr:uid="{01AAF97E-80CA-406D-B9D7-5FF10ED52B3B}"/>
    <cellStyle name="Body: normal cell" xfId="159" xr:uid="{2B56F760-2DDB-4CAB-A89D-E1550C3A9ABD}"/>
    <cellStyle name="Calculation 2" xfId="160" xr:uid="{CB7B7AFF-1558-4E30-98F8-DC2A754508F5}"/>
    <cellStyle name="Check Cell 2" xfId="161" xr:uid="{B573B1CE-9120-45A0-B740-F400CA724171}"/>
    <cellStyle name="Comma 2" xfId="8" xr:uid="{D72CCAFC-54B4-4638-85B1-6EF2BE1EF0DF}"/>
    <cellStyle name="Comma 2 2" xfId="162" xr:uid="{4B67E48B-3B66-46EA-81AC-F8D0DB47BAF0}"/>
    <cellStyle name="Comma 2 3" xfId="7" xr:uid="{E066D7CE-E612-491C-87A7-80EE7D004D4A}"/>
    <cellStyle name="Comma 3" xfId="163" xr:uid="{7206B4CA-5750-4F88-9B9F-8E31F67EEDDA}"/>
    <cellStyle name="Comma 3 2" xfId="164" xr:uid="{5D1730AA-AC69-4761-A9EF-ECE9A30E69DA}"/>
    <cellStyle name="Comma 3 2 2" xfId="165" xr:uid="{389AB53B-EEF3-4A06-93E4-3DDF688FE040}"/>
    <cellStyle name="Comma 3 2 2 2" xfId="166" xr:uid="{3FBF83D4-0F24-4153-B72C-840F49ABA5D3}"/>
    <cellStyle name="Comma 3 2 2 2 2" xfId="167" xr:uid="{5491406F-306B-43FA-BFD3-390400CD8250}"/>
    <cellStyle name="Comma 3 2 2 2 3" xfId="168" xr:uid="{398FF932-D373-4FF3-B309-F46B80298F15}"/>
    <cellStyle name="Comma 3 2 2 3" xfId="169" xr:uid="{1515F5CC-F198-4E4F-817E-CC6B97EEE3B0}"/>
    <cellStyle name="Comma 3 2 2 4" xfId="170" xr:uid="{8540CBFC-2342-4D7E-B70F-CAB4FD6594A5}"/>
    <cellStyle name="Comma 3 2 3" xfId="171" xr:uid="{A99FB12A-2D3A-4743-AA0D-777595B4A3C9}"/>
    <cellStyle name="Comma 3 2 3 2" xfId="172" xr:uid="{272F6792-4B9C-4B87-8B5C-183DBAB0183D}"/>
    <cellStyle name="Comma 3 2 3 3" xfId="173" xr:uid="{3BD8E693-0E5D-4CB0-B35F-C77938B2A00C}"/>
    <cellStyle name="Comma 3 2 4" xfId="174" xr:uid="{6DF15A62-3B5A-433F-B65A-E2004D2B5FE1}"/>
    <cellStyle name="Comma 3 2 5" xfId="175" xr:uid="{5C4021DC-3934-4B79-8954-1F7B5EA32819}"/>
    <cellStyle name="Comma 3 3" xfId="176" xr:uid="{598E6CBC-9139-4D3C-BE77-57B71F5A5615}"/>
    <cellStyle name="Comma 3 3 2" xfId="177" xr:uid="{A7DE07E3-ECF1-4949-8283-B2053524C84D}"/>
    <cellStyle name="Comma 3 3 2 2" xfId="178" xr:uid="{FD721038-AD9E-4870-ABCF-0755017ED17E}"/>
    <cellStyle name="Comma 3 3 2 3" xfId="179" xr:uid="{D4AE458F-874F-45B7-99B9-B0CC6C4627CF}"/>
    <cellStyle name="Comma 3 3 3" xfId="180" xr:uid="{A282F1F8-3410-49A5-9F78-230782E81999}"/>
    <cellStyle name="Comma 3 3 4" xfId="181" xr:uid="{DD5C7F71-F788-4342-AE91-117F8F54864B}"/>
    <cellStyle name="Comma 3 4" xfId="182" xr:uid="{152BF334-FEA5-4504-98E2-8FFD0CEDAD8F}"/>
    <cellStyle name="Comma 3 4 2" xfId="183" xr:uid="{0B8E6A88-DE2B-4D5E-A426-BCF2BD0DA4C1}"/>
    <cellStyle name="Comma 3 4 3" xfId="184" xr:uid="{63F066FD-22A0-4F15-B48E-544C739BAC93}"/>
    <cellStyle name="Comma 3 5" xfId="185" xr:uid="{313786B1-1FBD-4485-95CD-B4B1E1F8013C}"/>
    <cellStyle name="Comma 3 6" xfId="186" xr:uid="{B4517645-118C-40A7-BA95-BF020E6E6A9B}"/>
    <cellStyle name="Comma 3 7" xfId="187" xr:uid="{074BA1AA-97DC-4155-BC27-A46893F44790}"/>
    <cellStyle name="Comma 4" xfId="188" xr:uid="{54EE86C9-D490-48E9-9BF2-13CE3009F314}"/>
    <cellStyle name="Comma 4 2" xfId="189" xr:uid="{00A6BABA-A049-4466-A0C9-B87A9033E364}"/>
    <cellStyle name="Comma 4 2 2" xfId="190" xr:uid="{5F7F3787-5629-4542-87D6-85E20623FB95}"/>
    <cellStyle name="Comma 4 2 2 2" xfId="191" xr:uid="{FB87929B-C102-4643-A37B-C064423B3D14}"/>
    <cellStyle name="Comma 4 2 3" xfId="192" xr:uid="{A14C5235-33B7-4386-ABFE-E69389AFC73E}"/>
    <cellStyle name="Comma 4 3" xfId="193" xr:uid="{2C624D9A-0F48-4AEC-80A4-CF191AFC542F}"/>
    <cellStyle name="Comma 4 3 2" xfId="194" xr:uid="{B99E7BCC-CFCB-4F90-B22B-E1DC57548521}"/>
    <cellStyle name="Comma 4 4" xfId="195" xr:uid="{3F083A57-6A7A-4068-9D7D-7D474CD2E5CF}"/>
    <cellStyle name="Comma 4 4 2" xfId="196" xr:uid="{E73285EA-ECDE-40AB-817A-590E5CAD51D3}"/>
    <cellStyle name="Comma 4 5" xfId="197" xr:uid="{702A32A4-8745-43D2-90F1-F54F728D4CAA}"/>
    <cellStyle name="Comma 5" xfId="198" xr:uid="{ABE8F62D-A2E3-4BCB-969A-E763D140A780}"/>
    <cellStyle name="Comma 5 2" xfId="199" xr:uid="{DE18E7E9-44B8-4C40-ACAB-A82F599A568C}"/>
    <cellStyle name="Comma 5 2 2" xfId="200" xr:uid="{0F86954D-8E6B-4CAB-8C26-01B00555F617}"/>
    <cellStyle name="Comma 5 2 3" xfId="201" xr:uid="{2A480666-FD68-41B0-A1D0-D31E6E382994}"/>
    <cellStyle name="Comma 6" xfId="202" xr:uid="{C70E70BE-7F42-4352-A256-31273105DABB}"/>
    <cellStyle name="Comma 6 2" xfId="203" xr:uid="{E5582BD7-276F-414B-8FFF-0793641C8D9A}"/>
    <cellStyle name="Comma 6 2 2" xfId="204" xr:uid="{90F88E80-0294-4585-9B04-6C611E342E62}"/>
    <cellStyle name="Comma 6 2 3" xfId="205" xr:uid="{03F65063-9656-4F6A-A9BB-BF305BA83C58}"/>
    <cellStyle name="Comma 6 3" xfId="206" xr:uid="{637D2EBF-30D6-422A-A82E-869582B00BDA}"/>
    <cellStyle name="Comma 6 4" xfId="207" xr:uid="{0A6E2952-C880-4D31-BDA9-1EE1CC2072E7}"/>
    <cellStyle name="Comma 6 5" xfId="208" xr:uid="{4E1D2580-6E7C-4E17-8298-D77BA61B0684}"/>
    <cellStyle name="Comma 7" xfId="209" xr:uid="{F477A207-68A1-4D10-A922-592AAB30EA61}"/>
    <cellStyle name="Comma 8" xfId="210" xr:uid="{ABCA9420-ECF8-47BF-ADC4-A02D881C98C4}"/>
    <cellStyle name="Currency 2" xfId="211" xr:uid="{42E30335-FA68-4578-88C5-637354CF0BF2}"/>
    <cellStyle name="Currency 2 2" xfId="212" xr:uid="{FB1C2049-D074-4E57-BB1D-7C10F11D1DC8}"/>
    <cellStyle name="Currency 2 2 2" xfId="213" xr:uid="{669D6EDD-F84C-4ACA-9BB8-13B3FC17317C}"/>
    <cellStyle name="Currency 2 2 2 2" xfId="214" xr:uid="{252625CF-9C9F-413D-A58E-86FA5EF90F50}"/>
    <cellStyle name="Currency 2 3" xfId="215" xr:uid="{B268257F-60B9-4840-801F-E5C9047CC447}"/>
    <cellStyle name="Currency 2 3 2" xfId="216" xr:uid="{63CE2043-3B6F-456F-85F4-59193D4E9D2A}"/>
    <cellStyle name="Currency 2 4" xfId="217" xr:uid="{B5D9C827-14D7-4B77-A626-653B4C795B5A}"/>
    <cellStyle name="Currency 2 4 2" xfId="218" xr:uid="{38B6C841-7F26-4D6A-8514-8C2069456444}"/>
    <cellStyle name="Currency 2 5" xfId="219" xr:uid="{D5C688E6-1A76-4D0C-A923-52749B36991B}"/>
    <cellStyle name="Currency 3" xfId="220" xr:uid="{BA2D43BD-E99E-483B-A639-C04DDC76D4FA}"/>
    <cellStyle name="Date" xfId="221" xr:uid="{40B41E4A-E5F1-44A3-BC21-EAD8504AE9EB}"/>
    <cellStyle name="Date 2" xfId="222" xr:uid="{5D35B6D8-80F5-47B4-9CC2-CD62F2DA2116}"/>
    <cellStyle name="Date 2 2" xfId="223" xr:uid="{A87EF994-1D40-4C1A-8074-601DCCC61611}"/>
    <cellStyle name="Date 2 3" xfId="224" xr:uid="{4B13F128-2A1A-49ED-B9C7-0C92DE88EAB8}"/>
    <cellStyle name="Explanatory Text 2" xfId="225" xr:uid="{09BB62FD-170E-4878-8365-F3BB9D7A35EA}"/>
    <cellStyle name="Fixed" xfId="226" xr:uid="{A025D736-368A-4783-A836-DBDB7A4EDC2B}"/>
    <cellStyle name="Fixed 2" xfId="227" xr:uid="{1E588BE2-D53C-4AC3-AD30-02C5A14BFD75}"/>
    <cellStyle name="Fixed 2 2" xfId="228" xr:uid="{F12388DF-6498-41A0-A188-2F66E8DF055F}"/>
    <cellStyle name="Fixed 2 3" xfId="229" xr:uid="{AC1FBF10-FF8A-4873-82B6-AFAA16AEABD0}"/>
    <cellStyle name="Good 2" xfId="230" xr:uid="{36DF2AC2-9F5A-4DBE-9E83-EBC42DE814C0}"/>
    <cellStyle name="Heading 1 2" xfId="231" xr:uid="{4D7A4E99-A5C7-492D-A8F4-96E9D13496FC}"/>
    <cellStyle name="Heading 2 2" xfId="232" xr:uid="{67BA5CFB-D463-4A51-9277-9ACF5E1FE992}"/>
    <cellStyle name="Heading 3 2" xfId="233" xr:uid="{D1280F40-2CA8-4567-B434-7B6F1AC63458}"/>
    <cellStyle name="Heading 4 2" xfId="234" xr:uid="{3D300802-96E1-46D2-AFC5-9242FC6F6622}"/>
    <cellStyle name="Heading1" xfId="235" xr:uid="{BAF1EF53-55CD-495E-A109-DF5D0D042238}"/>
    <cellStyle name="Heading1 2" xfId="236" xr:uid="{10B98954-40ED-40A2-A8A5-9BB57B8C65C1}"/>
    <cellStyle name="Heading1 2 2" xfId="237" xr:uid="{BC96D653-D76C-4CCB-92CF-99A156C2F25E}"/>
    <cellStyle name="Heading1 2 3" xfId="238" xr:uid="{ED73029C-1108-463E-AB59-D61657CE35D0}"/>
    <cellStyle name="Heading2" xfId="239" xr:uid="{FED2C5A4-76D2-4BD5-9E7D-E031EBB788E6}"/>
    <cellStyle name="Heading2 2" xfId="240" xr:uid="{DE737D12-CFC6-4145-9227-63A27A6C55BD}"/>
    <cellStyle name="Heading2 2 2" xfId="241" xr:uid="{33F348A5-5970-4F13-84DF-C6EA09CED061}"/>
    <cellStyle name="Heading2 2 3" xfId="242" xr:uid="{931BBD26-0875-40EC-8223-06964B522F62}"/>
    <cellStyle name="Hyperlink 2" xfId="12" xr:uid="{B89A150A-4809-4F99-95CC-C8470FE466C4}"/>
    <cellStyle name="Hyperlink 2 2" xfId="243" xr:uid="{7F6B461D-9B05-4922-9A81-562153432FCB}"/>
    <cellStyle name="Hyperlink 2 3" xfId="244" xr:uid="{61EE3882-5038-4715-9C3D-540BFB9F4BEF}"/>
    <cellStyle name="Hyperlink 2 4" xfId="245" xr:uid="{EA18574B-5723-45C5-9F72-7FDFBEFBA8D5}"/>
    <cellStyle name="Input 2" xfId="246" xr:uid="{D6CD05AD-2B1F-47ED-9773-A26AECBC3995}"/>
    <cellStyle name="Linked Cell 2" xfId="247" xr:uid="{7A4FD870-1FDC-46E7-86E8-1D9EE3DCA220}"/>
    <cellStyle name="Neutral 2" xfId="248" xr:uid="{1045D584-1C81-4256-85B2-2AB2B4F0AD6D}"/>
    <cellStyle name="Normal" xfId="0" builtinId="0"/>
    <cellStyle name="Normal 10" xfId="249" xr:uid="{E75EB295-36ED-436C-AF18-2B4CB2BC45CA}"/>
    <cellStyle name="Normal 10 2" xfId="250" xr:uid="{B1FBECCF-07F0-4C75-B841-0AA035E3ED93}"/>
    <cellStyle name="Normal 10 2 2" xfId="251" xr:uid="{8A952AA4-EC42-4AE6-8728-0C5F01243BAF}"/>
    <cellStyle name="Normal 10 2 3" xfId="252" xr:uid="{E3BE2D62-6CC4-4F1B-8AE1-2E7945073F2E}"/>
    <cellStyle name="Normal 10 3" xfId="253" xr:uid="{DFDAFA3C-E1B6-4AFD-AECB-D24F24B71530}"/>
    <cellStyle name="Normal 10 4" xfId="11" xr:uid="{F1D6F347-6EA2-4B5C-800C-4D95B2BC888B}"/>
    <cellStyle name="Normal 10 5" xfId="15" xr:uid="{451FB075-F161-4C60-92EE-A14B8BF367E1}"/>
    <cellStyle name="Normal 11" xfId="254" xr:uid="{F0144E92-5856-469B-B81D-525FA9EFB068}"/>
    <cellStyle name="Normal 11 2" xfId="255" xr:uid="{AA45B9AE-0C9D-46DB-940C-4B957C9487AE}"/>
    <cellStyle name="Normal 11 2 2" xfId="256" xr:uid="{C3FEFCEF-C63D-4EAE-B84A-B08F8D3A7E45}"/>
    <cellStyle name="Normal 11 2 3" xfId="257" xr:uid="{148E602C-35D2-4E89-961A-51A8C1952E34}"/>
    <cellStyle name="Normal 11 3" xfId="258" xr:uid="{3199E860-9558-401E-9232-39A1848048D9}"/>
    <cellStyle name="Normal 11 4" xfId="259" xr:uid="{81248AF5-DA84-49FE-BC19-4466FB3C71A7}"/>
    <cellStyle name="Normal 12" xfId="260" xr:uid="{19758F5C-646F-4AE8-8B57-24FAD681FB07}"/>
    <cellStyle name="Normal 12 2" xfId="261" xr:uid="{4DE3361E-F3FB-4201-A7CD-AB852251A8F3}"/>
    <cellStyle name="Normal 12 2 2" xfId="262" xr:uid="{D3D583DC-79C1-48F9-BEAC-A6749D31ED2F}"/>
    <cellStyle name="Normal 12 2 3" xfId="263" xr:uid="{71ECF31C-33A2-4FB6-A442-50190FE55A0B}"/>
    <cellStyle name="Normal 12 3" xfId="264" xr:uid="{2ED17272-6DCC-4F2E-9E3B-DC35E9E7323D}"/>
    <cellStyle name="Normal 12 4" xfId="265" xr:uid="{9E033D21-13D7-4E36-8DC8-01AB0B8F011C}"/>
    <cellStyle name="Normal 13" xfId="3" xr:uid="{693AAF89-5E45-4889-9A33-29420E29484F}"/>
    <cellStyle name="Normal 14" xfId="266" xr:uid="{E8BA516A-ECAC-43E5-B810-395E9B0FF48E}"/>
    <cellStyle name="Normal 14 2" xfId="267" xr:uid="{19088107-96E5-450F-A359-16A7792BBD3A}"/>
    <cellStyle name="Normal 14 3" xfId="268" xr:uid="{BCE2AA54-090F-449F-99DD-756B188CDCF5}"/>
    <cellStyle name="Normal 15" xfId="535" xr:uid="{EF577E5C-97D9-4FCF-8A16-14A9CED50A82}"/>
    <cellStyle name="Normal 16" xfId="1" xr:uid="{D0240B6E-35D4-41A8-A12A-747AB60D5310}"/>
    <cellStyle name="Normal 2" xfId="2" xr:uid="{00685942-DAD9-4338-A958-CB8962F51AF3}"/>
    <cellStyle name="Normal 2 2" xfId="5" xr:uid="{A882DB05-9480-41D4-BF9C-F8DC76457362}"/>
    <cellStyle name="Normal 2 2 2" xfId="4" xr:uid="{CAAE53BE-9BBC-4C93-9567-66371BA627C2}"/>
    <cellStyle name="Normal 2 2 2 2" xfId="10" xr:uid="{F55A97E8-23D7-43F2-B27E-A3D03D9B0FC2}"/>
    <cellStyle name="Normal 2 2 3" xfId="269" xr:uid="{44F8464B-19F9-4614-B926-FDA27F56F2AD}"/>
    <cellStyle name="Normal 2 2 4" xfId="270" xr:uid="{165D2BE5-3E58-4C28-8129-E17189600A6B}"/>
    <cellStyle name="Normal 2 3" xfId="271" xr:uid="{478121EA-DDD9-49EA-ADDF-FF9C5CCC9E4C}"/>
    <cellStyle name="Normal 2 4" xfId="272" xr:uid="{AFC8557B-9612-40C8-A811-BBB0AD8DD415}"/>
    <cellStyle name="Normal 2 4 2" xfId="273" xr:uid="{E349C70C-B921-4471-8D42-AA38B92CB7B1}"/>
    <cellStyle name="Normal 2 4 2 2" xfId="274" xr:uid="{D0C47B11-A1DF-4983-8028-7DAF9B54FCCA}"/>
    <cellStyle name="Normal 2 4 2 2 2" xfId="275" xr:uid="{DC77D229-41E5-4BC9-94B5-292AAE09DFC2}"/>
    <cellStyle name="Normal 2 4 2 2 3" xfId="276" xr:uid="{2AFF85A2-B4DD-47F9-A9CA-7EA48846B709}"/>
    <cellStyle name="Normal 2 4 2 3" xfId="277" xr:uid="{D9BF1CF8-3C66-4483-9D27-5A0C8C0B8A3F}"/>
    <cellStyle name="Normal 2 4 2 4" xfId="278" xr:uid="{0686780C-7FA5-4D7E-94F8-E07F4173F084}"/>
    <cellStyle name="Normal 2 4 3" xfId="279" xr:uid="{4286A3E7-DA4F-408E-944D-967FA933726E}"/>
    <cellStyle name="Normal 2 4 3 2" xfId="280" xr:uid="{55163C9C-94C8-45E1-AB43-581DBE789EE3}"/>
    <cellStyle name="Normal 2 4 3 3" xfId="281" xr:uid="{52EF0827-970E-4984-AFCB-7483EFB5F87B}"/>
    <cellStyle name="Normal 2 4 4" xfId="282" xr:uid="{CC9993DA-2892-4249-AC13-D2AEA089C804}"/>
    <cellStyle name="Normal 2 4 5" xfId="283" xr:uid="{F90F6C81-5B60-4095-951A-DFA2DF80BD96}"/>
    <cellStyle name="Normal 3" xfId="6" xr:uid="{3C860C32-1AFD-4495-BA95-45598854A28E}"/>
    <cellStyle name="Normal 3 2" xfId="16" xr:uid="{C6C9FC9F-5E4B-4EEF-A8BB-313B6E39035C}"/>
    <cellStyle name="Normal 3 2 2" xfId="284" xr:uid="{9789F75D-F246-4B74-96F5-A6E77B834C54}"/>
    <cellStyle name="Normal 3 2 2 2" xfId="285" xr:uid="{A8B52A96-D149-466D-914C-494434515AC3}"/>
    <cellStyle name="Normal 3 2 3" xfId="286" xr:uid="{DF712B55-1CB0-49B8-9223-AE40D5808AA7}"/>
    <cellStyle name="Normal 3 2 3 2" xfId="287" xr:uid="{377CC3E1-E020-40B2-AFDD-B239AB4321DA}"/>
    <cellStyle name="Normal 3 2 4" xfId="288" xr:uid="{E748F44A-37AB-4F50-8E32-59E2672750EB}"/>
    <cellStyle name="Normal 3 2 4 2" xfId="289" xr:uid="{79AA9733-16E2-42DD-BDC5-ECE355286857}"/>
    <cellStyle name="Normal 3 2 5" xfId="290" xr:uid="{2FBDEB57-C328-45EC-A83C-419E113A9343}"/>
    <cellStyle name="Normal 3 2 5 2" xfId="291" xr:uid="{6F69D818-55C3-4643-A07A-460C6B4A9730}"/>
    <cellStyle name="Normal 3 2 6" xfId="292" xr:uid="{05B2147B-52FE-4CBC-BAAF-FE9B22A550D7}"/>
    <cellStyle name="Normal 3 2 6 2" xfId="293" xr:uid="{75CDD2B0-2C6E-41B9-AEED-A7E54F7EC6D5}"/>
    <cellStyle name="Normal 3 2 7" xfId="294" xr:uid="{80FB80BF-0721-457E-AEA3-BF14441C53A8}"/>
    <cellStyle name="Normal 3 3" xfId="295" xr:uid="{FCBA6B11-E50B-4135-938F-2D2ADBC904CB}"/>
    <cellStyle name="Normal 3 3 2" xfId="296" xr:uid="{AB42FAF5-10DA-4880-AA97-78CC6F86DF78}"/>
    <cellStyle name="Normal 3 3 2 2" xfId="297" xr:uid="{1DC3D048-A40F-4BC9-A223-93F1B2954B0D}"/>
    <cellStyle name="Normal 3 3 2 2 2" xfId="298" xr:uid="{61EF2D25-452D-45B2-9044-236C4862CC4A}"/>
    <cellStyle name="Normal 3 3 2 2 3" xfId="299" xr:uid="{F48E3B6D-0203-4CA1-97B6-9D91BD8A3786}"/>
    <cellStyle name="Normal 3 3 2 3" xfId="300" xr:uid="{704AE0F9-FEEE-44F6-BBC2-09654C3D5E76}"/>
    <cellStyle name="Normal 3 3 2 4" xfId="301" xr:uid="{775B0616-1243-4DCC-8C15-BCFD10CD4BB7}"/>
    <cellStyle name="Normal 3 3 3" xfId="302" xr:uid="{A9C23275-7408-4C9E-A125-F1E2641FDB2D}"/>
    <cellStyle name="Normal 3 3 3 2" xfId="303" xr:uid="{00E01EA5-308C-4B0A-AE1D-F37030125805}"/>
    <cellStyle name="Normal 3 3 3 3" xfId="304" xr:uid="{163EF135-D10A-482E-A553-C3357E16F562}"/>
    <cellStyle name="Normal 3 3 4" xfId="305" xr:uid="{28403056-E39B-4CF7-A8FC-549B7ACE8427}"/>
    <cellStyle name="Normal 3 3 5" xfId="306" xr:uid="{0ADB0E92-7DF8-40C9-A6EF-166A8225C976}"/>
    <cellStyle name="Normal 3 4" xfId="307" xr:uid="{40D14846-F7FE-4695-A69A-F020051167DC}"/>
    <cellStyle name="Normal 3 4 2" xfId="308" xr:uid="{636808A1-A6DD-4196-A07B-1AFBAC350C7F}"/>
    <cellStyle name="Normal 3 4 2 2" xfId="309" xr:uid="{99EC6615-2970-485B-B035-7AFEC3F4B314}"/>
    <cellStyle name="Normal 3 4 2 3" xfId="310" xr:uid="{7E3387BA-0BCA-4037-8448-4BC66254254F}"/>
    <cellStyle name="Normal 3 4 3" xfId="311" xr:uid="{56B8A307-BB72-485D-A19B-0B675E1E5550}"/>
    <cellStyle name="Normal 3 4 4" xfId="312" xr:uid="{D9277AD1-62A2-4525-B65B-BD364B05314E}"/>
    <cellStyle name="Normal 3 5" xfId="313" xr:uid="{DC0EF2B8-57E8-453C-91B4-96A11F15359B}"/>
    <cellStyle name="Normal 3 5 2" xfId="314" xr:uid="{468E2DB8-8C61-4901-A23A-70372E321F1C}"/>
    <cellStyle name="Normal 3 5 3" xfId="315" xr:uid="{3E8133C3-743C-49F1-8A8C-3D175D511741}"/>
    <cellStyle name="Normal 3 6" xfId="13" xr:uid="{AE501094-9899-4E9F-A396-EE3EFE88E649}"/>
    <cellStyle name="Normal 3 7" xfId="316" xr:uid="{BDFD2824-E5D1-4E82-98B0-3E54DD71D401}"/>
    <cellStyle name="Normal 3 8" xfId="317" xr:uid="{DC8E1A29-7AE3-4942-9DB9-9EF72B22DF9F}"/>
    <cellStyle name="Normal 4" xfId="318" xr:uid="{FBE9C717-ADE5-4C72-9137-5CCC3990A029}"/>
    <cellStyle name="Normal 4 2" xfId="319" xr:uid="{6517F325-D495-412E-B706-73DD89C0CE9A}"/>
    <cellStyle name="Normal 4 2 2" xfId="14" xr:uid="{5C0C0DF1-1542-4A89-88E5-E2FC5BA1B1E0}"/>
    <cellStyle name="Normal 4 3" xfId="320" xr:uid="{6DC036B3-76F4-4330-958A-915F3C397946}"/>
    <cellStyle name="Normal 4 3 2" xfId="321" xr:uid="{349BCF51-2003-4858-9224-56573C6A19A6}"/>
    <cellStyle name="Normal 4 3 2 2" xfId="322" xr:uid="{322EE34B-E514-470E-A968-6B72DDD22ED6}"/>
    <cellStyle name="Normal 4 3 2 2 2" xfId="323" xr:uid="{1AE28573-5BB4-4C3D-96BC-26C8309AC8D2}"/>
    <cellStyle name="Normal 4 3 2 2 2 2" xfId="324" xr:uid="{44AD9C9B-D899-40E0-A6E3-6D9C9C083AD2}"/>
    <cellStyle name="Normal 4 3 2 2 2 3" xfId="325" xr:uid="{8F9D2563-4F07-4F83-8EB1-40C0C5143A19}"/>
    <cellStyle name="Normal 4 3 2 2 3" xfId="326" xr:uid="{E939CEB0-0994-45ED-8D81-E0A5B7E5B6FF}"/>
    <cellStyle name="Normal 4 3 2 2 4" xfId="327" xr:uid="{67379428-83DA-47FD-9DB9-D29076538C17}"/>
    <cellStyle name="Normal 4 3 2 3" xfId="328" xr:uid="{37FDB980-3EB2-437B-B555-7B55C2F38223}"/>
    <cellStyle name="Normal 4 3 2 3 2" xfId="329" xr:uid="{203ACD02-9BDA-4748-945E-C18760D397B5}"/>
    <cellStyle name="Normal 4 3 2 3 3" xfId="330" xr:uid="{028CCE86-A517-4FF9-9C0D-5EE85A3D1B76}"/>
    <cellStyle name="Normal 4 3 2 4" xfId="331" xr:uid="{FDC6163C-3DA9-4737-A823-B56F1BFC2FF1}"/>
    <cellStyle name="Normal 4 3 2 5" xfId="332" xr:uid="{D370EA63-643A-4793-BA38-9CCFC436BE88}"/>
    <cellStyle name="Normal 4 3 3" xfId="333" xr:uid="{E5A9C162-5A97-4BC1-8551-7A4EDB77C8E3}"/>
    <cellStyle name="Normal 4 3 3 2" xfId="334" xr:uid="{2AD5C3B0-3566-4DEE-B240-9B6682B8E526}"/>
    <cellStyle name="Normal 4 3 3 2 2" xfId="335" xr:uid="{DD7575BD-E0B6-4C08-AFA7-4AC001625413}"/>
    <cellStyle name="Normal 4 3 3 2 3" xfId="336" xr:uid="{5D68E0FF-025C-4CD9-9E73-904A3B25676F}"/>
    <cellStyle name="Normal 4 3 3 3" xfId="337" xr:uid="{55529725-7D98-4474-852B-6B7513DE400F}"/>
    <cellStyle name="Normal 4 3 3 4" xfId="338" xr:uid="{17FE5811-A3C6-4B3C-AB69-DF46565FFCA1}"/>
    <cellStyle name="Normal 4 3 4" xfId="339" xr:uid="{2B7DF7DA-A505-4798-B469-23255F93E6C3}"/>
    <cellStyle name="Normal 4 3 4 2" xfId="340" xr:uid="{585E8A8A-6A34-48A8-92C4-8C9C74474955}"/>
    <cellStyle name="Normal 4 3 4 3" xfId="341" xr:uid="{D22ED931-F4C2-4192-9871-6D0C7578DF60}"/>
    <cellStyle name="Normal 4 3 5" xfId="342" xr:uid="{6D893D61-DD71-4FEB-A36E-103AFB4CA0D9}"/>
    <cellStyle name="Normal 4 3 6" xfId="343" xr:uid="{9F703583-3607-4275-A7BD-C2BFF27CB45C}"/>
    <cellStyle name="Normal 4 4" xfId="344" xr:uid="{5912331C-BA45-4DA2-918C-72933A1A9B5D}"/>
    <cellStyle name="Normal 4 4 2" xfId="345" xr:uid="{12C818FE-2D0C-470B-B4E5-04FEED542C39}"/>
    <cellStyle name="Normal 4 4 2 2" xfId="346" xr:uid="{EC9BA6F8-90F5-4351-9A54-F27FAAD1CB2A}"/>
    <cellStyle name="Normal 4 4 2 2 2" xfId="347" xr:uid="{433C7BAC-2397-4FE7-8E3F-587A7BFEF0CD}"/>
    <cellStyle name="Normal 4 4 2 2 3" xfId="348" xr:uid="{32D916EB-2F71-4F60-97D2-8461FC02799E}"/>
    <cellStyle name="Normal 4 4 2 3" xfId="349" xr:uid="{41D2E069-02FA-4FFF-9D0E-A31F145C4FC0}"/>
    <cellStyle name="Normal 4 4 2 4" xfId="350" xr:uid="{A9E8354E-1D89-41C2-9A1F-19937D160A9F}"/>
    <cellStyle name="Normal 4 4 3" xfId="351" xr:uid="{CB855032-3C06-4496-BAD3-B92A66B93189}"/>
    <cellStyle name="Normal 4 4 3 2" xfId="352" xr:uid="{EBC4EE92-550B-4F25-AD03-B118642C965E}"/>
    <cellStyle name="Normal 4 4 3 3" xfId="353" xr:uid="{AA027381-41EE-481B-9674-5419B9D5F40F}"/>
    <cellStyle name="Normal 4 4 4" xfId="354" xr:uid="{58B6C528-1A34-4B19-AC5A-BDBD05EA8746}"/>
    <cellStyle name="Normal 4 4 5" xfId="355" xr:uid="{34EF333D-8B92-4B3C-A827-F397492024B5}"/>
    <cellStyle name="Normal 4 5" xfId="356" xr:uid="{D2743DDF-9B4F-4073-ACA4-9E3695E1C684}"/>
    <cellStyle name="Normal 4 5 2" xfId="357" xr:uid="{33EE09BC-A45C-4FE9-942C-9B3171A531BE}"/>
    <cellStyle name="Normal 4 5 2 2" xfId="358" xr:uid="{450955CC-A831-419A-8248-B19FE8638FE2}"/>
    <cellStyle name="Normal 4 5 2 3" xfId="359" xr:uid="{3443817C-9ABA-4308-B98A-E04A67EAAB2E}"/>
    <cellStyle name="Normal 4 5 3" xfId="360" xr:uid="{1AB898CA-CCD3-4D6D-A216-C8418CA11D44}"/>
    <cellStyle name="Normal 4 5 4" xfId="361" xr:uid="{91C35050-EA49-42E8-8071-F1A1A67E90BC}"/>
    <cellStyle name="Normal 4 6" xfId="362" xr:uid="{23201C4A-3F3B-428E-82B1-680D222AEE3E}"/>
    <cellStyle name="Normal 4 6 2" xfId="363" xr:uid="{994CA1F6-CF76-44F1-BCBB-7C9BA49D7FD6}"/>
    <cellStyle name="Normal 4 6 3" xfId="364" xr:uid="{6729614C-407F-4850-B9F7-FFC8085430A0}"/>
    <cellStyle name="Normal 4 7" xfId="365" xr:uid="{56BDC13C-59AE-4DA2-A9B4-F17AD80E359E}"/>
    <cellStyle name="Normal 4 8" xfId="366" xr:uid="{1C8825BF-EDF7-4239-AE90-C041BCD62439}"/>
    <cellStyle name="Normal 5" xfId="367" xr:uid="{7E82AA8A-98B1-418B-9497-8150812D0B7F}"/>
    <cellStyle name="Normal 5 2" xfId="368" xr:uid="{00C9ADF6-235F-4B8C-A4DD-A58E4337AF74}"/>
    <cellStyle name="Normal 5 2 2" xfId="369" xr:uid="{18345667-20A6-42D5-8E7E-F8D87D1C8E91}"/>
    <cellStyle name="Normal 5 2 2 2" xfId="370" xr:uid="{CE7015DD-3E82-4D68-8A61-BDB8817F4247}"/>
    <cellStyle name="Normal 5 2 2 2 2" xfId="371" xr:uid="{2414C82C-447C-4153-ABCC-26DB72212E76}"/>
    <cellStyle name="Normal 5 2 2 2 2 2" xfId="372" xr:uid="{37A9AD0C-FD6A-4BE2-967A-2862EBBAB792}"/>
    <cellStyle name="Normal 5 2 2 2 2 3" xfId="373" xr:uid="{7CF79685-F0AF-4962-9E03-15888478798F}"/>
    <cellStyle name="Normal 5 2 2 2 3" xfId="374" xr:uid="{6F2D5C9D-0C39-45B6-BBEB-4F5374FD1DA3}"/>
    <cellStyle name="Normal 5 2 2 2 4" xfId="375" xr:uid="{A40D471D-AA98-4F13-9AC5-C416DA8F5C33}"/>
    <cellStyle name="Normal 5 2 2 3" xfId="376" xr:uid="{095ACE98-361E-4C6F-B1EF-A8A0779F8BF7}"/>
    <cellStyle name="Normal 5 2 2 3 2" xfId="377" xr:uid="{5AB5496D-620D-4561-B38E-D11EC20654DA}"/>
    <cellStyle name="Normal 5 2 2 3 3" xfId="378" xr:uid="{23C49D73-E7C2-4D99-B0D5-CD99D87DDD5E}"/>
    <cellStyle name="Normal 5 2 2 4" xfId="379" xr:uid="{E27694EC-3FA3-4E87-8D00-1AABB397B872}"/>
    <cellStyle name="Normal 5 2 2 5" xfId="380" xr:uid="{D7065C1A-0A2C-4186-8C9C-DA367D0EF8E7}"/>
    <cellStyle name="Normal 5 2 3" xfId="381" xr:uid="{80FC1F18-BCA5-44A8-8452-BE02D55306CC}"/>
    <cellStyle name="Normal 5 2 3 2" xfId="382" xr:uid="{95EC3EF0-5108-4AAA-8363-220A87F5E541}"/>
    <cellStyle name="Normal 5 2 3 2 2" xfId="383" xr:uid="{B29AC855-8ECC-4325-899F-037213FF442E}"/>
    <cellStyle name="Normal 5 2 3 2 3" xfId="384" xr:uid="{50749DE2-081C-4FAF-96FE-68BA2DE5D288}"/>
    <cellStyle name="Normal 5 2 3 3" xfId="385" xr:uid="{336336EB-F1EC-45B6-B232-A9B5C062D106}"/>
    <cellStyle name="Normal 5 2 3 4" xfId="386" xr:uid="{8A2E1128-AC1E-4089-8B85-1557498C9440}"/>
    <cellStyle name="Normal 5 2 4" xfId="387" xr:uid="{ADB8E07E-CEDC-4C66-9C04-D2359F853440}"/>
    <cellStyle name="Normal 5 2 4 2" xfId="388" xr:uid="{994706E4-E0CA-418F-9B70-32C5B4EAC41F}"/>
    <cellStyle name="Normal 5 2 4 3" xfId="389" xr:uid="{FA0EBA0A-FB30-4A08-ABC3-2E0F8115F5C1}"/>
    <cellStyle name="Normal 5 2 5" xfId="390" xr:uid="{D4BE914A-617C-407A-93CB-E94352C1B88F}"/>
    <cellStyle name="Normal 5 2 6" xfId="391" xr:uid="{D10227E7-D6D7-4D7E-BED1-FDE36138BC71}"/>
    <cellStyle name="Normal 5 3" xfId="392" xr:uid="{A4927E65-661C-49BB-A7D8-DD9FEB5A137B}"/>
    <cellStyle name="Normal 5 3 2" xfId="393" xr:uid="{4D14722D-FEC1-4585-ADF7-738CC516E360}"/>
    <cellStyle name="Normal 5 3 2 2" xfId="394" xr:uid="{72793141-B971-43A8-B0BD-7130EBD33474}"/>
    <cellStyle name="Normal 5 3 2 2 2" xfId="395" xr:uid="{A7513315-859F-42F1-940C-7D1B2163DD3A}"/>
    <cellStyle name="Normal 5 3 2 2 3" xfId="396" xr:uid="{FAA0272B-7CF3-46BB-9452-E12EA134E236}"/>
    <cellStyle name="Normal 5 3 2 3" xfId="397" xr:uid="{32D4AC18-5C9B-4A6F-A763-AC2E801FD2A6}"/>
    <cellStyle name="Normal 5 3 2 4" xfId="398" xr:uid="{E7737657-A71F-4C26-8292-0A01E50C3B3F}"/>
    <cellStyle name="Normal 5 3 3" xfId="399" xr:uid="{341A3BDF-F58C-4939-A95D-670C2DB79D94}"/>
    <cellStyle name="Normal 5 3 3 2" xfId="400" xr:uid="{535D1B67-769F-4772-A855-EB7ED1D7CCC1}"/>
    <cellStyle name="Normal 5 3 3 3" xfId="401" xr:uid="{143AA1B3-ABF8-4999-89AE-11E17CEE6CFD}"/>
    <cellStyle name="Normal 5 3 4" xfId="402" xr:uid="{DC04E3EE-9E6F-46D4-A2A7-631E475969CF}"/>
    <cellStyle name="Normal 5 3 5" xfId="403" xr:uid="{17164CA4-29C1-4ADE-8B31-95E950A5A1E5}"/>
    <cellStyle name="Normal 5 4" xfId="404" xr:uid="{83AECD3D-3E2F-4920-952F-E8388FB40AD0}"/>
    <cellStyle name="Normal 5 4 2" xfId="405" xr:uid="{D9758FCE-C1BB-401A-ACCD-583914A2898D}"/>
    <cellStyle name="Normal 5 4 2 2" xfId="406" xr:uid="{619AF519-1F95-4B61-ABBC-C743AFA1A02F}"/>
    <cellStyle name="Normal 5 4 2 3" xfId="407" xr:uid="{F7065290-AB64-4048-9D80-44C6527AB187}"/>
    <cellStyle name="Normal 5 4 3" xfId="408" xr:uid="{72D8535A-FFD7-4FD0-A79C-01C622B9DF29}"/>
    <cellStyle name="Normal 5 4 4" xfId="409" xr:uid="{BD42A764-B356-40C1-9803-CAFB90AD4921}"/>
    <cellStyle name="Normal 5 5" xfId="410" xr:uid="{E9403176-C010-41A9-A6F8-AEB36F7143F4}"/>
    <cellStyle name="Normal 5 5 2" xfId="411" xr:uid="{C8ABF7C0-936E-4333-9BBA-6A02CADABB84}"/>
    <cellStyle name="Normal 5 5 3" xfId="412" xr:uid="{B4E5D10D-3C4D-42BC-AE71-D4E9C5FB0C2B}"/>
    <cellStyle name="Normal 5 6" xfId="413" xr:uid="{3CD049FB-2C1E-410B-BB4B-74785EAA3814}"/>
    <cellStyle name="Normal 5 6 2" xfId="414" xr:uid="{88F99117-C327-4C91-9CFE-BCCFE472AAE2}"/>
    <cellStyle name="Normal 5 6 3" xfId="415" xr:uid="{D13C17FF-750F-4D72-927B-686BBB38FFDB}"/>
    <cellStyle name="Normal 5 7" xfId="416" xr:uid="{79476729-49AA-41FE-AFF4-489F46E52D0E}"/>
    <cellStyle name="Normal 5 8" xfId="417" xr:uid="{0004AA28-691E-4217-94DD-C5354776FD88}"/>
    <cellStyle name="Normal 6" xfId="418" xr:uid="{8DEECFD6-E837-491C-AD81-9D96B5A4F8F5}"/>
    <cellStyle name="Normal 6 2" xfId="419" xr:uid="{F6D7B461-9998-420E-B4E9-76D0F14F6C07}"/>
    <cellStyle name="Normal 6 2 2" xfId="420" xr:uid="{72848B8C-65E6-4E12-A598-832698643B0D}"/>
    <cellStyle name="Normal 6 2 2 2" xfId="421" xr:uid="{E45E1C98-304B-4C10-9350-9203086FB28B}"/>
    <cellStyle name="Normal 6 2 2 2 2" xfId="422" xr:uid="{E0373319-70C3-4655-B88A-EE7FD748F35D}"/>
    <cellStyle name="Normal 6 2 2 2 2 2" xfId="423" xr:uid="{095140BE-CE19-4FE4-B6B1-D61B6CFA58E1}"/>
    <cellStyle name="Normal 6 2 2 2 2 3" xfId="424" xr:uid="{70FB757F-99E4-4822-885B-FCC6CA4EB178}"/>
    <cellStyle name="Normal 6 2 2 2 3" xfId="425" xr:uid="{A19F8F6A-A2EA-4136-A931-0FD1FF37A321}"/>
    <cellStyle name="Normal 6 2 2 2 4" xfId="426" xr:uid="{AB1BDD49-EA2B-47E2-A992-E9687F9C38CF}"/>
    <cellStyle name="Normal 6 2 2 3" xfId="427" xr:uid="{BEBED7C2-5082-4A9B-9EE7-335FC6269088}"/>
    <cellStyle name="Normal 6 2 2 3 2" xfId="428" xr:uid="{57FD5061-4725-4093-B775-DE7B4EEE7A3A}"/>
    <cellStyle name="Normal 6 2 2 3 3" xfId="429" xr:uid="{724C0ADD-7238-4EC0-8410-22B35CBE4EBB}"/>
    <cellStyle name="Normal 6 2 2 4" xfId="430" xr:uid="{DE8C0DDE-945D-4FE7-A1B4-9E1FF0D54E9B}"/>
    <cellStyle name="Normal 6 2 2 5" xfId="431" xr:uid="{B92FD225-6D75-4964-BE97-710CC471D150}"/>
    <cellStyle name="Normal 6 2 3" xfId="432" xr:uid="{48A9C019-003F-4976-92CB-8040BCFAEDFB}"/>
    <cellStyle name="Normal 6 2 3 2" xfId="433" xr:uid="{DC6F34DE-232A-42D5-98DB-BBC7299122B4}"/>
    <cellStyle name="Normal 6 2 3 2 2" xfId="434" xr:uid="{A514D7F7-84AA-4ABF-B54E-118215B56216}"/>
    <cellStyle name="Normal 6 2 3 2 3" xfId="435" xr:uid="{1CA0C250-63FF-4287-9C47-3E997639C2CE}"/>
    <cellStyle name="Normal 6 2 3 3" xfId="436" xr:uid="{58FAC02E-B045-447A-BF8E-40AD9FFF7C9E}"/>
    <cellStyle name="Normal 6 2 3 4" xfId="437" xr:uid="{B2C4A126-7E8C-4429-938E-A9277DEFCBA6}"/>
    <cellStyle name="Normal 6 2 4" xfId="438" xr:uid="{3CF5B5A0-BAB2-4C6E-ABD2-DFB4A0B7CFCE}"/>
    <cellStyle name="Normal 6 2 4 2" xfId="439" xr:uid="{81B803EF-1D07-424E-A419-3DA6460645BC}"/>
    <cellStyle name="Normal 6 2 4 3" xfId="440" xr:uid="{B9D6BA33-C6B4-4AF0-9568-F99D1DCD54DB}"/>
    <cellStyle name="Normal 6 2 5" xfId="441" xr:uid="{EDFE76DA-FB33-40CD-B79A-000DED367F94}"/>
    <cellStyle name="Normal 6 2 6" xfId="442" xr:uid="{A53470BA-5E0C-4069-B2E0-6DE711E971F4}"/>
    <cellStyle name="Normal 6 3" xfId="443" xr:uid="{EC7669B5-25DE-4DA1-8427-BB3DDFEE2CF0}"/>
    <cellStyle name="Normal 6 3 2" xfId="444" xr:uid="{0A2BC3C3-3119-42C0-8F44-121A5330CC1E}"/>
    <cellStyle name="Normal 6 3 2 2" xfId="445" xr:uid="{3834A924-92A9-4AB9-B557-AD1206D33FCA}"/>
    <cellStyle name="Normal 6 3 2 2 2" xfId="446" xr:uid="{B6E6FCB6-84C0-4508-B348-BF102265889C}"/>
    <cellStyle name="Normal 6 3 2 2 3" xfId="447" xr:uid="{CCFE7184-D66F-462F-B494-CF21BA56B083}"/>
    <cellStyle name="Normal 6 3 2 3" xfId="448" xr:uid="{C992BA41-B74A-4F1D-AC0A-35C2BF031A8D}"/>
    <cellStyle name="Normal 6 3 2 4" xfId="449" xr:uid="{765E8C5A-8F81-4864-9B55-ADDC899CEF9E}"/>
    <cellStyle name="Normal 6 3 3" xfId="450" xr:uid="{132B5EB3-DE9D-4173-A04D-B57A78A6641B}"/>
    <cellStyle name="Normal 6 3 3 2" xfId="451" xr:uid="{F402C7F6-6583-41CF-9C89-4CF9C6100528}"/>
    <cellStyle name="Normal 6 3 3 3" xfId="452" xr:uid="{C2A8E1C7-D515-46BB-8051-D3740419230B}"/>
    <cellStyle name="Normal 6 3 4" xfId="453" xr:uid="{517AD640-799E-4B7E-8F7A-D8146A54BA87}"/>
    <cellStyle name="Normal 6 3 5" xfId="454" xr:uid="{3C8F1433-CCB2-4A77-87BD-3561E6A6C48D}"/>
    <cellStyle name="Normal 6 4" xfId="455" xr:uid="{0BBF8D9F-E985-4A84-A548-33F173E88508}"/>
    <cellStyle name="Normal 6 4 2" xfId="456" xr:uid="{0246973E-A95C-427E-B491-037E58E47522}"/>
    <cellStyle name="Normal 6 4 2 2" xfId="457" xr:uid="{EA3A650E-79E0-4054-BF42-C88A7A2A46D6}"/>
    <cellStyle name="Normal 6 4 2 3" xfId="458" xr:uid="{AB70180D-14B2-4A04-A5C6-0F4EF751E3C3}"/>
    <cellStyle name="Normal 6 4 3" xfId="459" xr:uid="{862110A5-C458-490B-B092-B9A66CAAFC6C}"/>
    <cellStyle name="Normal 6 4 4" xfId="460" xr:uid="{68B31236-4D10-4FFD-9E6B-0BBF9309DD9A}"/>
    <cellStyle name="Normal 6 5" xfId="461" xr:uid="{0D604EAF-3132-4685-984B-478E4C5A4AF2}"/>
    <cellStyle name="Normal 6 5 2" xfId="462" xr:uid="{8C10D937-97A6-43E4-9201-20C90E4D44A3}"/>
    <cellStyle name="Normal 6 5 3" xfId="463" xr:uid="{DD1CC9EC-85AB-4A4F-9262-E95DFE29D022}"/>
    <cellStyle name="Normal 6 6" xfId="464" xr:uid="{41151079-25CB-4490-B458-B19EE8824E40}"/>
    <cellStyle name="Normal 6 7" xfId="465" xr:uid="{600E9178-FCF6-432E-BA74-9D384F9A24CF}"/>
    <cellStyle name="Normal 6 8" xfId="466" xr:uid="{A2F9302D-E19D-4A5C-A0B0-D12C1ADBD136}"/>
    <cellStyle name="Normal 7" xfId="467" xr:uid="{BD7512BB-6291-4230-A566-39CFA2830836}"/>
    <cellStyle name="Normal 7 2" xfId="468" xr:uid="{1E7E18A6-8A03-49E9-9AF2-71E5095A2273}"/>
    <cellStyle name="Normal 7 2 2" xfId="469" xr:uid="{AA742E4B-7D05-452D-8395-0E07BC7FA27C}"/>
    <cellStyle name="Normal 7 2 2 2" xfId="470" xr:uid="{AED0ABAC-6F95-4913-84E2-B8C6A26671A7}"/>
    <cellStyle name="Normal 7 2 2 3" xfId="471" xr:uid="{7160F059-19EB-45D7-A8F8-89729C7A7B67}"/>
    <cellStyle name="Normal 7 2 3" xfId="472" xr:uid="{2CE70FF3-821D-4744-A3BD-D71241F1FAB4}"/>
    <cellStyle name="Normal 7 2 4" xfId="473" xr:uid="{8AFA7A78-E649-4710-956B-B96DAD7F2D56}"/>
    <cellStyle name="Normal 7 3" xfId="474" xr:uid="{97360CD3-F295-4B28-9910-CB497F94E445}"/>
    <cellStyle name="Normal 7 3 2" xfId="475" xr:uid="{0D5EE3EC-6FB9-4376-AA89-6B0CFA1077A5}"/>
    <cellStyle name="Normal 7 3 3" xfId="476" xr:uid="{303E26FD-0531-456C-9F62-A1A736783E51}"/>
    <cellStyle name="Normal 7 4" xfId="477" xr:uid="{9B73BC7F-2A97-42BB-9234-A4ADDD890F4E}"/>
    <cellStyle name="Normal 7 5" xfId="478" xr:uid="{4BFDC954-57AB-44FC-AA0E-D0AF0693A39D}"/>
    <cellStyle name="Normal 8" xfId="479" xr:uid="{BE20F47F-1E94-497A-A2CF-0D17D475151E}"/>
    <cellStyle name="Normal 9" xfId="480" xr:uid="{D84DACC9-F78A-42D4-9C4E-5B2634419E82}"/>
    <cellStyle name="Normal 9 2" xfId="481" xr:uid="{A3BEEBFD-4211-4680-AF94-D000106555A0}"/>
    <cellStyle name="Normale_B2020" xfId="534" xr:uid="{82FF9BC4-A086-4193-ABE5-C49B6460E554}"/>
    <cellStyle name="Note 2" xfId="482" xr:uid="{A28CA507-023E-48F4-A721-BB1B04639E45}"/>
    <cellStyle name="Note 2 2" xfId="483" xr:uid="{027D9A9E-36A3-4E5C-88E5-9AEBED4CFB5B}"/>
    <cellStyle name="Note 2 2 2" xfId="484" xr:uid="{819108E5-9F07-4F04-A00A-A0C63125CF1B}"/>
    <cellStyle name="Note 2 2 3" xfId="485" xr:uid="{885EF344-B911-4B2F-8AD5-FF603ABBCBFE}"/>
    <cellStyle name="Note 3" xfId="486" xr:uid="{92ECD21D-E136-42FC-962F-AB2E11B59A1D}"/>
    <cellStyle name="Note 3 2" xfId="487" xr:uid="{B2203E26-EB81-4403-9918-563902D32C0A}"/>
    <cellStyle name="Note 3 2 2" xfId="488" xr:uid="{526E2384-40E6-4666-A630-9CC89C075EA4}"/>
    <cellStyle name="Note 3 2 3" xfId="489" xr:uid="{FB4F434C-C67D-47CF-B645-B78AB2F1BA5A}"/>
    <cellStyle name="Note 3 3" xfId="490" xr:uid="{46162079-A026-4A5B-899D-94E1C156E7E3}"/>
    <cellStyle name="Note 3 4" xfId="491" xr:uid="{3862EA86-89B6-4C9B-8038-BDC7BF1FCEAA}"/>
    <cellStyle name="Output 2" xfId="492" xr:uid="{6D50B91C-34F4-4073-8EAF-4EB5BE81C2AD}"/>
    <cellStyle name="Parent row" xfId="493" xr:uid="{EE039163-66E5-41CC-AE5B-B638D4482E4E}"/>
    <cellStyle name="Percent 2" xfId="494" xr:uid="{8770AE7A-C0B8-4655-9EB9-08F6DA0BFBCC}"/>
    <cellStyle name="Percent 2 2" xfId="495" xr:uid="{A6834C5D-9113-4196-804A-45002B4A786B}"/>
    <cellStyle name="Percent 3" xfId="9" xr:uid="{C449B567-5E31-4929-A7D7-F2E56365C463}"/>
    <cellStyle name="Percent 3 2" xfId="496" xr:uid="{1A9335C7-7795-45BA-80F3-5BAA38DD9E26}"/>
    <cellStyle name="Percent 3 2 2" xfId="497" xr:uid="{0B0A300C-63C4-45F3-A8F4-B997E1550703}"/>
    <cellStyle name="Percent 3 2 2 2" xfId="498" xr:uid="{575CD159-B3B8-4217-B588-4D40E2116419}"/>
    <cellStyle name="Percent 3 3" xfId="499" xr:uid="{469392EF-3307-426F-9B7B-0926DEFAD654}"/>
    <cellStyle name="Percent 3 3 2" xfId="500" xr:uid="{C687B79C-C40A-4F99-A80B-E83FB6A44D73}"/>
    <cellStyle name="Percent 3 4" xfId="501" xr:uid="{F635EA12-553F-495B-9A1B-B98F4BF02274}"/>
    <cellStyle name="Percent 3 4 2" xfId="502" xr:uid="{AD1F55F7-F13B-4A57-A579-ED3F4CD3FE3E}"/>
    <cellStyle name="Percent 4" xfId="503" xr:uid="{64F42622-16CB-4635-80A9-7AFA790BCAB1}"/>
    <cellStyle name="Percent 4 2" xfId="504" xr:uid="{DCA89D2A-F5CF-4851-9922-8A3014A42047}"/>
    <cellStyle name="Percent 4 3" xfId="505" xr:uid="{6754EBEA-9895-4664-94A7-BAECD9F30A92}"/>
    <cellStyle name="Percent 4 3 2" xfId="506" xr:uid="{32F491D1-546F-457F-B2CC-538EF7BF8C09}"/>
    <cellStyle name="Percent 4 3 3" xfId="507" xr:uid="{6C67D5F0-6F90-4F65-A834-45192E7218CA}"/>
    <cellStyle name="Percent 5" xfId="508" xr:uid="{0C88B966-AB4C-4135-B477-8E142D47F01E}"/>
    <cellStyle name="Percent 5 2" xfId="509" xr:uid="{DFB448FD-8362-4CF8-93DF-0C2784C0977B}"/>
    <cellStyle name="Percent 5 2 2" xfId="510" xr:uid="{435A18DF-C5B1-40B7-B7A7-02C48686F232}"/>
    <cellStyle name="Percent 5 2 3" xfId="511" xr:uid="{8FE72C83-E0B2-4761-A08C-D78736024022}"/>
    <cellStyle name="Percent 5 3" xfId="512" xr:uid="{29928452-D51E-495F-8983-B89A5C752B10}"/>
    <cellStyle name="Percent 5 4" xfId="513" xr:uid="{AABCB982-264D-426F-9429-D872206C306A}"/>
    <cellStyle name="Percent 5 5" xfId="514" xr:uid="{80BB5DA4-43E6-4C64-8366-763BF1756277}"/>
    <cellStyle name="Percent 6" xfId="515" xr:uid="{8CEADDF6-5D5B-48BF-A438-81FE8D8A2D05}"/>
    <cellStyle name="Percent 6 2" xfId="516" xr:uid="{96AAE8E7-4843-49C9-8302-3FFFD402F0F9}"/>
    <cellStyle name="Percent 6 2 2" xfId="517" xr:uid="{21259C3A-8091-4E56-95B9-8493C877D1AA}"/>
    <cellStyle name="Percent 6 2 3" xfId="518" xr:uid="{71EA42FA-A847-47C8-897C-8BF778377379}"/>
    <cellStyle name="Percent 6 3" xfId="519" xr:uid="{63CDAF27-A707-4AD1-BB5B-A817B2AD1A54}"/>
    <cellStyle name="Percent 6 4" xfId="520" xr:uid="{3358A871-97F5-4AF9-926E-722150F158C6}"/>
    <cellStyle name="Percent 7" xfId="521" xr:uid="{2D2006FE-6B15-4FF0-BACD-32CEA3BC0DFB}"/>
    <cellStyle name="Percent 8" xfId="522" xr:uid="{635C9EF0-CE1E-46B2-B715-CBCB91BF0AB2}"/>
    <cellStyle name="Percent 8 2" xfId="523" xr:uid="{58886E39-3BF1-4D65-83D0-0ACE8E995004}"/>
    <cellStyle name="Percent 8 3" xfId="524" xr:uid="{CC0D4BAA-FBC5-4B80-B49C-E3FD067FFE59}"/>
    <cellStyle name="Percent 9" xfId="533" xr:uid="{E8636AB8-3638-4A25-B2C8-C14F9EBA3478}"/>
    <cellStyle name="Title 2" xfId="525" xr:uid="{59E88359-C580-4A1D-A360-8F925A3EB991}"/>
    <cellStyle name="Title 3" xfId="526" xr:uid="{5E63EB0C-55C1-49E3-816D-5AD765EA5294}"/>
    <cellStyle name="Total 2" xfId="527" xr:uid="{4C2E833D-D9D5-48C9-ACF0-5F51AE20437E}"/>
    <cellStyle name="Total 2 2" xfId="528" xr:uid="{26F9D878-D8A8-4448-916B-B62EBFEC0400}"/>
    <cellStyle name="Total 2 3" xfId="529" xr:uid="{02CDC54C-C1C3-4DDF-95CE-3920AE39A468}"/>
    <cellStyle name="Total 3" xfId="530" xr:uid="{83AB8DB8-CCFE-4AB1-9C93-37D5DF16D75C}"/>
    <cellStyle name="Total 4" xfId="531" xr:uid="{3AC170DB-963E-4C8F-BB3B-1749B94D0AD4}"/>
    <cellStyle name="Warning Text 2" xfId="532" xr:uid="{8FCE6AFA-C168-4998-A338-7BF3B54DB3A4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E2350C0A-7BC2-4891-BDA9-FE4FC79AEDF2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Veda/Veda_models/TIMES-Starter-3.0/VT_Starter_PWR.xlsx" TargetMode="External"/><Relationship Id="rId2" Type="http://schemas.openxmlformats.org/officeDocument/2006/relationships/externalLinkPath" Target="file:///C:\Veda\Veda_models\TIMES-Starter-3.0\VT_Starter_PWR.xlsx" TargetMode="External"/><Relationship Id="rId1" Type="http://schemas.openxmlformats.org/officeDocument/2006/relationships/externalLinkPath" Target="/Veda/Veda_models/TIMES-Starter-3.0/VT_Starter_PW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B"/>
      <sheetName val="SETUP"/>
      <sheetName val="Calibration"/>
      <sheetName val="Commodities"/>
      <sheetName val="CommData"/>
      <sheetName val="Processes"/>
      <sheetName val="ProcData_Conventional"/>
      <sheetName val="ProcData_Renewables"/>
      <sheetName val="ProcData_CHP"/>
      <sheetName val="ProcData_HPL"/>
      <sheetName val="ProcData_XPRC"/>
      <sheetName val="EPA-Coal"/>
      <sheetName val="EPA-Renew"/>
      <sheetName val="EPA-Other"/>
      <sheetName val="EPA-CHP"/>
      <sheetName val="Non-EPA"/>
      <sheetName val="DEA-CHP"/>
      <sheetName val="DEA-HPL"/>
      <sheetName val="DEA_CHP"/>
      <sheetName val="DEA_DHP"/>
      <sheetName val="ProcessCharac_CoalResidCntrl"/>
      <sheetName val="Emission"/>
      <sheetName val="ProcessCharac_IntELC"/>
    </sheetNames>
    <sheetDataSet>
      <sheetData sheetId="0"/>
      <sheetData sheetId="1">
        <row r="2">
          <cell r="F2">
            <v>2015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9CD26280-DD25-46DF-A708-6877D8A68AD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0" dT="2026-01-28T14:50:45.09" personId="{9CD26280-DD25-46DF-A708-6877D8A68AD8}" id="{45C46737-1944-45AD-99CE-B8535D314683}">
    <text>Testing_FERMI's idea</text>
  </threadedComment>
  <threadedComment ref="O30" dT="2026-01-28T14:50:45.09" personId="{9CD26280-DD25-46DF-A708-6877D8A68AD8}" id="{E4726566-8322-459A-B187-5632353FCAD0}">
    <text>Testing_FERMI's idea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V25" dT="2026-03-05T12:47:49.66" personId="{9CD26280-DD25-46DF-A708-6877D8A68AD8}" id="{D3B26940-5207-4925-84BA-C36AB3766D74}">
    <text>Miks daynite (hydro samuti)</text>
  </threadedComment>
  <threadedComment ref="F33" dT="2026-01-22T14:00:05.64" personId="{9CD26280-DD25-46DF-A708-6877D8A68AD8}" id="{E45DD652-654C-4828-8A13-679EDDC53E65}">
    <text>Iru produces only 17 MW in 2025 not 0.207 GW</text>
  </threadedComment>
  <threadedComment ref="B34" dT="2026-02-02T06:49:06.81" personId="{9CD26280-DD25-46DF-A708-6877D8A68AD8}" id="{5D0B02A9-24B3-4F36-8683-2AD26D1E0821}">
    <text>TODO: set their actual start date and then add how much they produce in 2025</text>
  </threadedComment>
  <threadedComment ref="E42" dT="2026-03-04T15:33:22.35" personId="{9CD26280-DD25-46DF-A708-6877D8A68AD8}" id="{D6875D25-4560-414C-93D8-31A6498B8282}">
    <text xml:space="preserve">Ei tea
</text>
  </threadedComment>
  <threadedComment ref="P76" dT="2026-03-05T12:22:32.07" personId="{9CD26280-DD25-46DF-A708-6877D8A68AD8}" id="{C9FF73F0-A53F-4E15-A8C5-00DAE5061F13}">
    <text xml:space="preserve">NCAP_FOM (currency/GW-yr)=100/1.31​×NCAP_COST (currency/GW)
</text>
  </threadedComment>
  <threadedComment ref="S80" dT="2026-03-05T12:58:31.38" personId="{9CD26280-DD25-46DF-A708-6877D8A68AD8}" id="{C2CA05C3-E9FD-442F-962C-5D4E7F1ADE70}">
    <text>Took same as chp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CB67-FC18-43CA-8AA0-0CA09A11D4D8}">
  <dimension ref="B9:T17"/>
  <sheetViews>
    <sheetView workbookViewId="0">
      <selection activeCell="F16" sqref="F16"/>
    </sheetView>
  </sheetViews>
  <sheetFormatPr defaultRowHeight="15" x14ac:dyDescent="0.25"/>
  <cols>
    <col min="2" max="2" width="46.7109375" bestFit="1" customWidth="1"/>
    <col min="10" max="10" width="40.5703125" bestFit="1" customWidth="1"/>
    <col min="16" max="16" width="73.28515625" bestFit="1" customWidth="1"/>
  </cols>
  <sheetData>
    <row r="9" spans="2:20" x14ac:dyDescent="0.25">
      <c r="B9" t="s">
        <v>161</v>
      </c>
      <c r="N9" t="s">
        <v>160</v>
      </c>
    </row>
    <row r="10" spans="2:20" x14ac:dyDescent="0.25">
      <c r="B10" t="s">
        <v>1</v>
      </c>
      <c r="C10" t="s">
        <v>2</v>
      </c>
      <c r="D10" t="s">
        <v>3</v>
      </c>
      <c r="E10" t="s">
        <v>6</v>
      </c>
      <c r="F10" t="s">
        <v>7</v>
      </c>
      <c r="G10" t="s">
        <v>8</v>
      </c>
      <c r="H10" t="s">
        <v>9</v>
      </c>
      <c r="I10" t="s">
        <v>86</v>
      </c>
      <c r="J10" t="s">
        <v>87</v>
      </c>
      <c r="K10" t="s">
        <v>88</v>
      </c>
      <c r="L10" t="s">
        <v>10</v>
      </c>
      <c r="N10" t="s">
        <v>25</v>
      </c>
      <c r="O10" t="s">
        <v>1</v>
      </c>
      <c r="P10" t="s">
        <v>26</v>
      </c>
      <c r="Q10" t="s">
        <v>27</v>
      </c>
      <c r="R10" t="s">
        <v>28</v>
      </c>
      <c r="S10" t="s">
        <v>29</v>
      </c>
      <c r="T10" t="s">
        <v>30</v>
      </c>
    </row>
    <row r="13" spans="2:20" x14ac:dyDescent="0.25">
      <c r="B13" t="s">
        <v>89</v>
      </c>
      <c r="C13" t="s">
        <v>15</v>
      </c>
      <c r="D13" t="s">
        <v>13</v>
      </c>
      <c r="E13">
        <v>0.52272499999999988</v>
      </c>
      <c r="F13">
        <v>1365</v>
      </c>
      <c r="G13">
        <v>34.200000000000003</v>
      </c>
      <c r="H13">
        <v>3.75</v>
      </c>
      <c r="I13">
        <v>0.84455000000000002</v>
      </c>
      <c r="J13" t="s">
        <v>43</v>
      </c>
      <c r="K13">
        <v>1</v>
      </c>
      <c r="L13">
        <v>20</v>
      </c>
      <c r="N13" t="s">
        <v>31</v>
      </c>
      <c r="O13" t="s">
        <v>89</v>
      </c>
      <c r="P13" t="s">
        <v>94</v>
      </c>
      <c r="Q13" t="s">
        <v>32</v>
      </c>
      <c r="R13" t="s">
        <v>33</v>
      </c>
      <c r="S13" t="s">
        <v>34</v>
      </c>
      <c r="T13" t="s">
        <v>37</v>
      </c>
    </row>
    <row r="14" spans="2:20" x14ac:dyDescent="0.25">
      <c r="B14" t="s">
        <v>90</v>
      </c>
      <c r="C14" t="s">
        <v>15</v>
      </c>
      <c r="D14" t="s">
        <v>13</v>
      </c>
      <c r="E14">
        <v>0.52272499999999988</v>
      </c>
      <c r="F14">
        <v>1365</v>
      </c>
      <c r="G14">
        <v>34.200000000000003</v>
      </c>
      <c r="H14">
        <v>3.75</v>
      </c>
      <c r="I14">
        <v>0.84455000000000002</v>
      </c>
      <c r="J14" t="s">
        <v>44</v>
      </c>
      <c r="K14">
        <v>1</v>
      </c>
      <c r="L14">
        <v>20</v>
      </c>
      <c r="N14" t="s">
        <v>31</v>
      </c>
      <c r="O14" t="s">
        <v>90</v>
      </c>
      <c r="P14" t="s">
        <v>95</v>
      </c>
      <c r="Q14" t="s">
        <v>32</v>
      </c>
      <c r="R14" t="s">
        <v>33</v>
      </c>
      <c r="S14" t="s">
        <v>34</v>
      </c>
      <c r="T14" t="s">
        <v>37</v>
      </c>
    </row>
    <row r="15" spans="2:20" x14ac:dyDescent="0.25">
      <c r="B15" t="s">
        <v>91</v>
      </c>
      <c r="C15" t="s">
        <v>15</v>
      </c>
      <c r="D15" t="s">
        <v>13</v>
      </c>
      <c r="E15">
        <v>0.28982625000000001</v>
      </c>
      <c r="F15">
        <v>1365</v>
      </c>
      <c r="G15">
        <v>34.200000000000003</v>
      </c>
      <c r="H15">
        <v>3.75</v>
      </c>
      <c r="I15">
        <v>0.84455000000000002</v>
      </c>
      <c r="J15" t="s">
        <v>14</v>
      </c>
      <c r="K15">
        <v>1</v>
      </c>
      <c r="L15">
        <v>20</v>
      </c>
      <c r="N15" t="s">
        <v>31</v>
      </c>
      <c r="O15" t="s">
        <v>91</v>
      </c>
      <c r="P15" t="s">
        <v>96</v>
      </c>
      <c r="Q15" t="s">
        <v>32</v>
      </c>
      <c r="R15" t="s">
        <v>33</v>
      </c>
      <c r="S15" t="s">
        <v>34</v>
      </c>
      <c r="T15" t="s">
        <v>37</v>
      </c>
    </row>
    <row r="16" spans="2:20" x14ac:dyDescent="0.25">
      <c r="B16" t="s">
        <v>92</v>
      </c>
      <c r="C16" t="s">
        <v>15</v>
      </c>
      <c r="D16" t="s">
        <v>13</v>
      </c>
      <c r="E16">
        <v>0.38753750000000003</v>
      </c>
      <c r="F16">
        <v>1365</v>
      </c>
      <c r="G16">
        <v>34.200000000000003</v>
      </c>
      <c r="H16">
        <v>3.75</v>
      </c>
      <c r="I16">
        <v>0.84455000000000002</v>
      </c>
      <c r="J16" t="s">
        <v>16</v>
      </c>
      <c r="K16">
        <v>1</v>
      </c>
      <c r="L16">
        <v>20</v>
      </c>
      <c r="N16" t="s">
        <v>31</v>
      </c>
      <c r="O16" t="s">
        <v>92</v>
      </c>
      <c r="P16" t="s">
        <v>97</v>
      </c>
      <c r="Q16" t="s">
        <v>32</v>
      </c>
      <c r="R16" t="s">
        <v>33</v>
      </c>
      <c r="S16" t="s">
        <v>34</v>
      </c>
      <c r="T16" t="s">
        <v>37</v>
      </c>
    </row>
    <row r="17" spans="2:20" x14ac:dyDescent="0.25">
      <c r="B17" t="s">
        <v>93</v>
      </c>
      <c r="C17" t="s">
        <v>20</v>
      </c>
      <c r="D17" t="s">
        <v>13</v>
      </c>
      <c r="E17">
        <v>0.31543749999999998</v>
      </c>
      <c r="F17">
        <v>1365</v>
      </c>
      <c r="G17">
        <v>34.200000000000003</v>
      </c>
      <c r="H17">
        <v>3.75</v>
      </c>
      <c r="I17">
        <v>0.84455000000000002</v>
      </c>
      <c r="J17" t="s">
        <v>19</v>
      </c>
      <c r="K17">
        <v>1</v>
      </c>
      <c r="L17">
        <v>20</v>
      </c>
      <c r="N17" t="s">
        <v>31</v>
      </c>
      <c r="O17" t="s">
        <v>93</v>
      </c>
      <c r="P17" t="s">
        <v>98</v>
      </c>
      <c r="Q17" t="s">
        <v>32</v>
      </c>
      <c r="R17" t="s">
        <v>33</v>
      </c>
      <c r="S17" t="s">
        <v>34</v>
      </c>
      <c r="T17" t="s">
        <v>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A4FEF-80F2-457D-B441-6C3DD45005FF}">
  <dimension ref="B9:T30"/>
  <sheetViews>
    <sheetView topLeftCell="A4" zoomScale="77" workbookViewId="0">
      <selection activeCell="B51" sqref="B51"/>
    </sheetView>
  </sheetViews>
  <sheetFormatPr defaultRowHeight="15" x14ac:dyDescent="0.25"/>
  <cols>
    <col min="2" max="2" width="39.28515625" bestFit="1" customWidth="1"/>
    <col min="4" max="4" width="11.42578125" bestFit="1" customWidth="1"/>
    <col min="5" max="11" width="9.28515625" bestFit="1" customWidth="1"/>
    <col min="12" max="12" width="12" bestFit="1" customWidth="1"/>
    <col min="15" max="15" width="39.28515625" bestFit="1" customWidth="1"/>
    <col min="16" max="16" width="48.140625" bestFit="1" customWidth="1"/>
  </cols>
  <sheetData>
    <row r="9" spans="2:20" x14ac:dyDescent="0.25">
      <c r="B9" t="s">
        <v>161</v>
      </c>
      <c r="N9" t="s">
        <v>160</v>
      </c>
    </row>
    <row r="10" spans="2:20" x14ac:dyDescent="0.25">
      <c r="B10" t="s">
        <v>1</v>
      </c>
      <c r="C10" t="s">
        <v>2</v>
      </c>
      <c r="D10" t="s">
        <v>3</v>
      </c>
      <c r="E10" t="s">
        <v>41</v>
      </c>
      <c r="F10" t="s">
        <v>42</v>
      </c>
      <c r="G10" t="s">
        <v>6</v>
      </c>
      <c r="H10" t="s">
        <v>7</v>
      </c>
      <c r="I10" t="s">
        <v>8</v>
      </c>
      <c r="J10" t="s">
        <v>9</v>
      </c>
      <c r="K10" t="s">
        <v>10</v>
      </c>
      <c r="L10" t="s">
        <v>11</v>
      </c>
      <c r="N10" t="s">
        <v>25</v>
      </c>
      <c r="O10" t="s">
        <v>1</v>
      </c>
      <c r="P10" t="s">
        <v>26</v>
      </c>
      <c r="Q10" t="s">
        <v>27</v>
      </c>
      <c r="R10" t="s">
        <v>28</v>
      </c>
      <c r="S10" t="s">
        <v>29</v>
      </c>
      <c r="T10" t="s">
        <v>30</v>
      </c>
    </row>
    <row r="11" spans="2:20" x14ac:dyDescent="0.25">
      <c r="B11" t="s">
        <v>156</v>
      </c>
      <c r="C11" t="s">
        <v>148</v>
      </c>
      <c r="D11" t="s">
        <v>13</v>
      </c>
      <c r="E11">
        <v>2028</v>
      </c>
      <c r="F11">
        <v>0.1</v>
      </c>
      <c r="G11">
        <v>0.59739999999999993</v>
      </c>
      <c r="H11">
        <v>2150</v>
      </c>
      <c r="I11" s="2">
        <v>35.053609999999999</v>
      </c>
      <c r="J11">
        <v>3.28</v>
      </c>
      <c r="K11">
        <v>50</v>
      </c>
      <c r="N11" t="s">
        <v>31</v>
      </c>
      <c r="O11" t="s">
        <v>156</v>
      </c>
      <c r="P11" t="s">
        <v>67</v>
      </c>
      <c r="Q11" t="s">
        <v>32</v>
      </c>
      <c r="R11" t="s">
        <v>33</v>
      </c>
      <c r="S11" t="s">
        <v>34</v>
      </c>
      <c r="T11" t="s">
        <v>37</v>
      </c>
    </row>
    <row r="12" spans="2:20" x14ac:dyDescent="0.25">
      <c r="B12" t="s">
        <v>155</v>
      </c>
      <c r="C12" t="s">
        <v>148</v>
      </c>
      <c r="D12" t="s">
        <v>13</v>
      </c>
      <c r="E12">
        <v>2025</v>
      </c>
      <c r="F12">
        <v>0.2</v>
      </c>
      <c r="G12">
        <v>0.59739999999999993</v>
      </c>
      <c r="H12">
        <v>2150</v>
      </c>
      <c r="I12" s="2">
        <v>35.053609999999999</v>
      </c>
      <c r="J12">
        <v>3.28</v>
      </c>
      <c r="K12">
        <v>50</v>
      </c>
      <c r="N12" t="s">
        <v>31</v>
      </c>
      <c r="O12" t="s">
        <v>155</v>
      </c>
      <c r="P12" t="s">
        <v>68</v>
      </c>
      <c r="Q12" t="s">
        <v>32</v>
      </c>
      <c r="R12" t="s">
        <v>33</v>
      </c>
      <c r="S12" t="s">
        <v>34</v>
      </c>
      <c r="T12" t="s">
        <v>37</v>
      </c>
    </row>
    <row r="13" spans="2:20" x14ac:dyDescent="0.25">
      <c r="B13" t="s">
        <v>45</v>
      </c>
      <c r="C13" t="s">
        <v>46</v>
      </c>
      <c r="D13" t="s">
        <v>47</v>
      </c>
      <c r="E13">
        <v>2025</v>
      </c>
      <c r="F13">
        <v>0.14899999999999999</v>
      </c>
      <c r="G13">
        <v>1</v>
      </c>
      <c r="H13">
        <v>5060</v>
      </c>
      <c r="I13">
        <v>121.00000000000003</v>
      </c>
      <c r="J13">
        <v>3.4650000000000007</v>
      </c>
      <c r="K13">
        <v>30</v>
      </c>
      <c r="L13">
        <v>0.48487924617859812</v>
      </c>
      <c r="N13" t="s">
        <v>31</v>
      </c>
      <c r="O13" t="s">
        <v>45</v>
      </c>
      <c r="P13" t="s">
        <v>69</v>
      </c>
      <c r="Q13" t="s">
        <v>32</v>
      </c>
      <c r="R13" t="s">
        <v>33</v>
      </c>
      <c r="S13" t="s">
        <v>39</v>
      </c>
      <c r="T13" t="s">
        <v>35</v>
      </c>
    </row>
    <row r="14" spans="2:20" x14ac:dyDescent="0.25">
      <c r="B14" t="s">
        <v>48</v>
      </c>
      <c r="C14" t="s">
        <v>46</v>
      </c>
      <c r="D14" t="s">
        <v>49</v>
      </c>
      <c r="E14">
        <v>2032</v>
      </c>
      <c r="F14">
        <v>0.82</v>
      </c>
      <c r="G14">
        <v>1</v>
      </c>
      <c r="H14">
        <v>4400</v>
      </c>
      <c r="I14">
        <v>110.00000000000001</v>
      </c>
      <c r="J14">
        <v>3.1500000000000004</v>
      </c>
      <c r="K14">
        <v>30</v>
      </c>
      <c r="L14">
        <v>0.46120613336716743</v>
      </c>
      <c r="N14" t="s">
        <v>31</v>
      </c>
      <c r="O14" t="s">
        <v>48</v>
      </c>
      <c r="P14" t="s">
        <v>70</v>
      </c>
      <c r="Q14" t="s">
        <v>32</v>
      </c>
      <c r="R14" t="s">
        <v>33</v>
      </c>
      <c r="S14" t="s">
        <v>39</v>
      </c>
      <c r="T14" t="s">
        <v>37</v>
      </c>
    </row>
    <row r="15" spans="2:20" x14ac:dyDescent="0.25">
      <c r="B15" t="s">
        <v>50</v>
      </c>
      <c r="C15" t="s">
        <v>46</v>
      </c>
      <c r="D15" t="s">
        <v>51</v>
      </c>
      <c r="E15">
        <v>2035</v>
      </c>
      <c r="F15">
        <v>1.4</v>
      </c>
      <c r="G15">
        <v>1</v>
      </c>
      <c r="H15">
        <v>4400</v>
      </c>
      <c r="I15">
        <v>110.00000000000001</v>
      </c>
      <c r="J15">
        <v>3.1500000000000008</v>
      </c>
      <c r="K15">
        <v>30</v>
      </c>
      <c r="L15">
        <v>0.45368618559080531</v>
      </c>
      <c r="N15" t="s">
        <v>31</v>
      </c>
      <c r="O15" t="s">
        <v>50</v>
      </c>
      <c r="P15" t="s">
        <v>71</v>
      </c>
      <c r="Q15" t="s">
        <v>32</v>
      </c>
      <c r="R15" t="s">
        <v>33</v>
      </c>
      <c r="S15" t="s">
        <v>39</v>
      </c>
      <c r="T15" t="s">
        <v>37</v>
      </c>
    </row>
    <row r="16" spans="2:20" x14ac:dyDescent="0.25">
      <c r="B16" t="s">
        <v>52</v>
      </c>
      <c r="C16" t="s">
        <v>46</v>
      </c>
      <c r="D16" t="s">
        <v>51</v>
      </c>
      <c r="E16">
        <v>2035</v>
      </c>
      <c r="F16">
        <v>0.9</v>
      </c>
      <c r="G16">
        <v>1</v>
      </c>
      <c r="H16">
        <v>4400</v>
      </c>
      <c r="I16">
        <v>110.00000000000001</v>
      </c>
      <c r="J16">
        <v>3.1500000000000004</v>
      </c>
      <c r="K16">
        <v>30</v>
      </c>
      <c r="L16">
        <v>0.45368618559080531</v>
      </c>
      <c r="N16" t="s">
        <v>31</v>
      </c>
      <c r="O16" t="s">
        <v>52</v>
      </c>
      <c r="P16" t="s">
        <v>72</v>
      </c>
      <c r="Q16" t="s">
        <v>32</v>
      </c>
      <c r="R16" t="s">
        <v>33</v>
      </c>
      <c r="S16" t="s">
        <v>39</v>
      </c>
      <c r="T16" t="s">
        <v>37</v>
      </c>
    </row>
    <row r="17" spans="2:20" x14ac:dyDescent="0.25">
      <c r="B17" t="s">
        <v>53</v>
      </c>
      <c r="C17" t="s">
        <v>46</v>
      </c>
      <c r="D17" t="s">
        <v>47</v>
      </c>
      <c r="E17">
        <v>2025</v>
      </c>
      <c r="F17">
        <v>1.2</v>
      </c>
      <c r="G17">
        <v>1</v>
      </c>
      <c r="H17">
        <v>4400</v>
      </c>
      <c r="I17">
        <v>110.00000000000003</v>
      </c>
      <c r="J17">
        <v>3.1500000000000004</v>
      </c>
      <c r="K17">
        <v>30</v>
      </c>
      <c r="L17">
        <v>0.48487924617859807</v>
      </c>
      <c r="N17" t="s">
        <v>31</v>
      </c>
      <c r="O17" t="s">
        <v>53</v>
      </c>
      <c r="P17" t="s">
        <v>73</v>
      </c>
      <c r="Q17" t="s">
        <v>32</v>
      </c>
      <c r="R17" t="s">
        <v>33</v>
      </c>
      <c r="S17" t="s">
        <v>39</v>
      </c>
      <c r="T17" t="s">
        <v>37</v>
      </c>
    </row>
    <row r="18" spans="2:20" x14ac:dyDescent="0.25">
      <c r="B18" t="s">
        <v>54</v>
      </c>
      <c r="C18" t="s">
        <v>46</v>
      </c>
      <c r="D18" t="s">
        <v>47</v>
      </c>
      <c r="E18">
        <v>2025</v>
      </c>
      <c r="F18">
        <v>1.7</v>
      </c>
      <c r="G18">
        <v>1</v>
      </c>
      <c r="H18">
        <v>4400</v>
      </c>
      <c r="I18">
        <v>110.00000000000001</v>
      </c>
      <c r="J18">
        <v>3.1500000000000004</v>
      </c>
      <c r="K18">
        <v>30</v>
      </c>
      <c r="L18">
        <v>0.48487924617859812</v>
      </c>
      <c r="N18" t="s">
        <v>31</v>
      </c>
      <c r="O18" t="s">
        <v>54</v>
      </c>
      <c r="P18" t="s">
        <v>74</v>
      </c>
      <c r="Q18" t="s">
        <v>32</v>
      </c>
      <c r="R18" t="s">
        <v>33</v>
      </c>
      <c r="S18" t="s">
        <v>39</v>
      </c>
      <c r="T18" t="s">
        <v>37</v>
      </c>
    </row>
    <row r="19" spans="2:20" x14ac:dyDescent="0.25">
      <c r="B19" t="s">
        <v>55</v>
      </c>
      <c r="C19" t="s">
        <v>46</v>
      </c>
      <c r="D19" t="s">
        <v>47</v>
      </c>
      <c r="E19">
        <v>2025</v>
      </c>
      <c r="F19">
        <v>1.04</v>
      </c>
      <c r="G19">
        <v>1</v>
      </c>
      <c r="H19">
        <v>4400</v>
      </c>
      <c r="I19">
        <v>110.00000000000001</v>
      </c>
      <c r="J19">
        <v>3.1500000000000004</v>
      </c>
      <c r="K19">
        <v>30</v>
      </c>
      <c r="L19">
        <v>0.48487924617859812</v>
      </c>
      <c r="N19" t="s">
        <v>31</v>
      </c>
      <c r="O19" t="s">
        <v>55</v>
      </c>
      <c r="P19" t="s">
        <v>75</v>
      </c>
      <c r="Q19" t="s">
        <v>32</v>
      </c>
      <c r="R19" t="s">
        <v>33</v>
      </c>
      <c r="S19" t="s">
        <v>39</v>
      </c>
      <c r="T19" t="s">
        <v>37</v>
      </c>
    </row>
    <row r="20" spans="2:20" x14ac:dyDescent="0.25">
      <c r="B20" t="s">
        <v>56</v>
      </c>
      <c r="D20" t="s">
        <v>13</v>
      </c>
      <c r="E20">
        <v>2026</v>
      </c>
      <c r="F20">
        <v>0.22500000000000001</v>
      </c>
      <c r="G20">
        <v>1</v>
      </c>
      <c r="H20">
        <v>2277</v>
      </c>
      <c r="I20">
        <v>48.400000000000006</v>
      </c>
      <c r="J20">
        <v>1.7325000000000002</v>
      </c>
      <c r="K20">
        <v>100</v>
      </c>
      <c r="N20" t="s">
        <v>76</v>
      </c>
      <c r="O20" t="s">
        <v>56</v>
      </c>
      <c r="P20" t="s">
        <v>77</v>
      </c>
      <c r="Q20" t="s">
        <v>32</v>
      </c>
      <c r="R20" t="s">
        <v>33</v>
      </c>
      <c r="S20" t="s">
        <v>34</v>
      </c>
      <c r="T20" t="s">
        <v>37</v>
      </c>
    </row>
    <row r="21" spans="2:20" x14ac:dyDescent="0.25">
      <c r="B21" t="s">
        <v>57</v>
      </c>
      <c r="D21" t="s">
        <v>13</v>
      </c>
      <c r="E21">
        <v>2029</v>
      </c>
      <c r="F21">
        <v>0.55000000000000004</v>
      </c>
      <c r="G21">
        <v>1</v>
      </c>
      <c r="H21">
        <v>1980.0000000000005</v>
      </c>
      <c r="I21">
        <v>44</v>
      </c>
      <c r="J21">
        <v>1.5750000000000002</v>
      </c>
      <c r="K21">
        <v>100</v>
      </c>
      <c r="N21" t="s">
        <v>76</v>
      </c>
      <c r="O21" t="s">
        <v>57</v>
      </c>
      <c r="P21" t="s">
        <v>78</v>
      </c>
      <c r="Q21" t="s">
        <v>32</v>
      </c>
      <c r="R21" t="s">
        <v>33</v>
      </c>
      <c r="S21" t="s">
        <v>34</v>
      </c>
      <c r="T21" t="s">
        <v>37</v>
      </c>
    </row>
    <row r="22" spans="2:20" x14ac:dyDescent="0.25">
      <c r="B22" t="s">
        <v>58</v>
      </c>
      <c r="C22" t="s">
        <v>21</v>
      </c>
      <c r="D22" t="s">
        <v>22</v>
      </c>
      <c r="E22">
        <v>2025</v>
      </c>
      <c r="F22">
        <v>7.3999999999999996E-2</v>
      </c>
      <c r="G22">
        <v>1</v>
      </c>
      <c r="H22">
        <v>1138.5</v>
      </c>
      <c r="I22">
        <v>18.150000000000002</v>
      </c>
      <c r="J22">
        <v>0</v>
      </c>
      <c r="K22">
        <v>30</v>
      </c>
      <c r="L22">
        <v>0.15309859852159369</v>
      </c>
      <c r="N22" t="s">
        <v>31</v>
      </c>
      <c r="O22" t="s">
        <v>58</v>
      </c>
      <c r="P22" t="s">
        <v>79</v>
      </c>
      <c r="Q22" t="s">
        <v>32</v>
      </c>
      <c r="R22" t="s">
        <v>33</v>
      </c>
      <c r="S22" t="s">
        <v>39</v>
      </c>
      <c r="T22" t="s">
        <v>35</v>
      </c>
    </row>
    <row r="23" spans="2:20" x14ac:dyDescent="0.25">
      <c r="B23" t="s">
        <v>59</v>
      </c>
      <c r="C23" t="s">
        <v>46</v>
      </c>
      <c r="D23" t="s">
        <v>47</v>
      </c>
      <c r="E23">
        <v>2028</v>
      </c>
      <c r="F23">
        <v>1.4</v>
      </c>
      <c r="G23">
        <v>1</v>
      </c>
      <c r="H23">
        <v>4400</v>
      </c>
      <c r="I23">
        <v>110.00000000000001</v>
      </c>
      <c r="J23">
        <v>3.1500000000000008</v>
      </c>
      <c r="K23">
        <v>30</v>
      </c>
      <c r="L23">
        <v>0.48127681492517582</v>
      </c>
      <c r="N23" t="s">
        <v>31</v>
      </c>
      <c r="O23" t="s">
        <v>59</v>
      </c>
      <c r="P23" t="s">
        <v>80</v>
      </c>
      <c r="Q23" t="s">
        <v>32</v>
      </c>
      <c r="R23" t="s">
        <v>33</v>
      </c>
      <c r="S23" t="s">
        <v>39</v>
      </c>
      <c r="T23" t="s">
        <v>37</v>
      </c>
    </row>
    <row r="24" spans="2:20" x14ac:dyDescent="0.25">
      <c r="B24" t="s">
        <v>60</v>
      </c>
      <c r="C24" t="s">
        <v>46</v>
      </c>
      <c r="D24" t="s">
        <v>61</v>
      </c>
      <c r="E24">
        <v>2029</v>
      </c>
      <c r="F24">
        <v>1.1000000000000001</v>
      </c>
      <c r="G24">
        <v>1</v>
      </c>
      <c r="H24">
        <v>4400</v>
      </c>
      <c r="I24">
        <v>110.00000000000001</v>
      </c>
      <c r="J24">
        <v>3.1500000000000004</v>
      </c>
      <c r="K24">
        <v>30</v>
      </c>
      <c r="L24">
        <v>0.47369214016582101</v>
      </c>
      <c r="N24" t="s">
        <v>31</v>
      </c>
      <c r="O24" t="s">
        <v>60</v>
      </c>
      <c r="P24" t="s">
        <v>81</v>
      </c>
      <c r="Q24" t="s">
        <v>32</v>
      </c>
      <c r="R24" t="s">
        <v>33</v>
      </c>
      <c r="S24" t="s">
        <v>39</v>
      </c>
      <c r="T24" t="s">
        <v>37</v>
      </c>
    </row>
    <row r="25" spans="2:20" x14ac:dyDescent="0.25">
      <c r="B25" t="s">
        <v>62</v>
      </c>
      <c r="C25" t="s">
        <v>46</v>
      </c>
      <c r="D25" t="s">
        <v>63</v>
      </c>
      <c r="E25">
        <v>2030</v>
      </c>
      <c r="F25">
        <v>0.42499999999999999</v>
      </c>
      <c r="G25">
        <v>1</v>
      </c>
      <c r="H25">
        <v>4400</v>
      </c>
      <c r="I25">
        <v>110.00000000000001</v>
      </c>
      <c r="J25">
        <v>3.1500000000000004</v>
      </c>
      <c r="K25">
        <v>30</v>
      </c>
      <c r="L25">
        <v>0.46331764653839141</v>
      </c>
      <c r="N25" t="s">
        <v>31</v>
      </c>
      <c r="O25" t="s">
        <v>62</v>
      </c>
      <c r="P25" t="s">
        <v>82</v>
      </c>
      <c r="Q25" t="s">
        <v>32</v>
      </c>
      <c r="R25" t="s">
        <v>33</v>
      </c>
      <c r="S25" t="s">
        <v>39</v>
      </c>
      <c r="T25" t="s">
        <v>37</v>
      </c>
    </row>
    <row r="26" spans="2:20" x14ac:dyDescent="0.25">
      <c r="B26" t="s">
        <v>64</v>
      </c>
      <c r="C26" t="s">
        <v>46</v>
      </c>
      <c r="D26" t="s">
        <v>51</v>
      </c>
      <c r="E26">
        <v>2028</v>
      </c>
      <c r="F26">
        <v>1</v>
      </c>
      <c r="G26">
        <v>1</v>
      </c>
      <c r="H26">
        <v>4400</v>
      </c>
      <c r="I26">
        <v>110.00000000000001</v>
      </c>
      <c r="J26">
        <v>3.1500000000000004</v>
      </c>
      <c r="K26">
        <v>30</v>
      </c>
      <c r="L26">
        <v>0.45368618559080531</v>
      </c>
      <c r="N26" t="s">
        <v>31</v>
      </c>
      <c r="O26" t="s">
        <v>64</v>
      </c>
      <c r="P26" t="s">
        <v>83</v>
      </c>
      <c r="Q26" t="s">
        <v>32</v>
      </c>
      <c r="R26" t="s">
        <v>33</v>
      </c>
      <c r="S26" t="s">
        <v>39</v>
      </c>
      <c r="T26" t="s">
        <v>37</v>
      </c>
    </row>
    <row r="27" spans="2:20" x14ac:dyDescent="0.25">
      <c r="B27" t="s">
        <v>65</v>
      </c>
      <c r="C27" t="s">
        <v>46</v>
      </c>
      <c r="D27" t="s">
        <v>51</v>
      </c>
      <c r="E27">
        <v>2028</v>
      </c>
      <c r="F27">
        <v>1.2</v>
      </c>
      <c r="G27">
        <v>1</v>
      </c>
      <c r="H27">
        <v>4400</v>
      </c>
      <c r="I27">
        <v>110.00000000000003</v>
      </c>
      <c r="J27">
        <v>3.1500000000000004</v>
      </c>
      <c r="K27">
        <v>30</v>
      </c>
      <c r="L27">
        <v>0.45368618559080537</v>
      </c>
      <c r="N27" t="s">
        <v>31</v>
      </c>
      <c r="O27" t="s">
        <v>65</v>
      </c>
      <c r="P27" t="s">
        <v>84</v>
      </c>
      <c r="Q27" t="s">
        <v>32</v>
      </c>
      <c r="R27" t="s">
        <v>33</v>
      </c>
      <c r="S27" t="s">
        <v>39</v>
      </c>
      <c r="T27" t="s">
        <v>37</v>
      </c>
    </row>
    <row r="28" spans="2:20" x14ac:dyDescent="0.25">
      <c r="B28" t="s">
        <v>66</v>
      </c>
      <c r="C28" t="s">
        <v>46</v>
      </c>
      <c r="D28" t="s">
        <v>63</v>
      </c>
      <c r="E28">
        <v>2030</v>
      </c>
      <c r="F28">
        <v>0.42499999999999999</v>
      </c>
      <c r="G28">
        <v>1</v>
      </c>
      <c r="H28">
        <v>4400</v>
      </c>
      <c r="I28">
        <v>110.00000000000001</v>
      </c>
      <c r="J28">
        <v>3.1500000000000004</v>
      </c>
      <c r="K28">
        <v>30</v>
      </c>
      <c r="L28">
        <v>0.46331764653839141</v>
      </c>
      <c r="N28" t="s">
        <v>31</v>
      </c>
      <c r="O28" t="s">
        <v>66</v>
      </c>
      <c r="P28" t="s">
        <v>85</v>
      </c>
      <c r="Q28" t="s">
        <v>32</v>
      </c>
      <c r="R28" t="s">
        <v>33</v>
      </c>
      <c r="S28" t="s">
        <v>39</v>
      </c>
      <c r="T28" t="s">
        <v>37</v>
      </c>
    </row>
    <row r="30" spans="2:20" x14ac:dyDescent="0.25">
      <c r="B30" t="s">
        <v>157</v>
      </c>
      <c r="C30" t="s">
        <v>158</v>
      </c>
      <c r="D30" t="s">
        <v>13</v>
      </c>
      <c r="E30">
        <v>2035</v>
      </c>
      <c r="F30">
        <v>0.3</v>
      </c>
      <c r="G30">
        <v>0.35</v>
      </c>
      <c r="H30">
        <v>6000</v>
      </c>
      <c r="I30">
        <v>150</v>
      </c>
      <c r="J30">
        <v>2.5000000000000001E-2</v>
      </c>
      <c r="K30">
        <v>50</v>
      </c>
      <c r="N30" t="s">
        <v>31</v>
      </c>
      <c r="O30" t="s">
        <v>157</v>
      </c>
      <c r="P30" t="s">
        <v>159</v>
      </c>
      <c r="Q30" t="s">
        <v>32</v>
      </c>
      <c r="R30" t="s">
        <v>33</v>
      </c>
      <c r="S30" t="s">
        <v>39</v>
      </c>
      <c r="T30" t="s">
        <v>35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DDA4A-BC9F-4D47-BDC9-53442001A438}">
  <dimension ref="B6:X85"/>
  <sheetViews>
    <sheetView tabSelected="1" topLeftCell="D6" zoomScale="83" zoomScaleNormal="78" workbookViewId="0">
      <selection activeCell="R37" sqref="R37"/>
    </sheetView>
  </sheetViews>
  <sheetFormatPr defaultRowHeight="15" x14ac:dyDescent="0.25"/>
  <cols>
    <col min="2" max="2" width="40.5703125" bestFit="1" customWidth="1"/>
    <col min="3" max="3" width="12.85546875" customWidth="1"/>
    <col min="4" max="4" width="20" bestFit="1" customWidth="1"/>
    <col min="5" max="5" width="9.28515625" bestFit="1" customWidth="1"/>
    <col min="6" max="6" width="12.5703125" bestFit="1" customWidth="1"/>
    <col min="7" max="7" width="9.5703125" bestFit="1" customWidth="1"/>
    <col min="8" max="8" width="10.140625" bestFit="1" customWidth="1"/>
    <col min="9" max="9" width="9.85546875" style="2" bestFit="1" customWidth="1"/>
    <col min="10" max="10" width="9.28515625" bestFit="1" customWidth="1"/>
    <col min="11" max="11" width="9.7109375" bestFit="1" customWidth="1"/>
    <col min="12" max="12" width="12" bestFit="1" customWidth="1"/>
    <col min="13" max="13" width="8.140625" bestFit="1" customWidth="1"/>
    <col min="14" max="14" width="17.28515625" bestFit="1" customWidth="1"/>
    <col min="15" max="15" width="12" bestFit="1" customWidth="1"/>
    <col min="16" max="16" width="12.28515625" bestFit="1" customWidth="1"/>
    <col min="17" max="17" width="40.5703125" bestFit="1" customWidth="1"/>
    <col min="18" max="18" width="64.42578125" bestFit="1" customWidth="1"/>
    <col min="19" max="19" width="41.42578125" bestFit="1" customWidth="1"/>
    <col min="20" max="20" width="11.85546875" bestFit="1" customWidth="1"/>
    <col min="22" max="22" width="41.42578125" bestFit="1" customWidth="1"/>
    <col min="23" max="23" width="22.140625" bestFit="1" customWidth="1"/>
    <col min="24" max="24" width="13.7109375" bestFit="1" customWidth="1"/>
    <col min="25" max="25" width="12.7109375" bestFit="1" customWidth="1"/>
    <col min="26" max="26" width="13.42578125" bestFit="1" customWidth="1"/>
    <col min="27" max="27" width="10.85546875" bestFit="1" customWidth="1"/>
  </cols>
  <sheetData>
    <row r="6" spans="2:24" ht="15.75" x14ac:dyDescent="0.25">
      <c r="D6" s="8" t="s">
        <v>0</v>
      </c>
      <c r="F6" s="10"/>
      <c r="G6" s="7"/>
      <c r="H6" s="7"/>
      <c r="I6" s="7"/>
      <c r="J6" s="10"/>
      <c r="K6" s="9"/>
      <c r="L6" s="9"/>
      <c r="M6" s="7"/>
      <c r="N6" s="7"/>
      <c r="O6" s="9"/>
      <c r="P6" s="7"/>
      <c r="Q6" s="9"/>
      <c r="R6" s="7"/>
    </row>
    <row r="7" spans="2:24" ht="27" customHeight="1" thickBot="1" x14ac:dyDescent="0.3">
      <c r="B7" s="13" t="s">
        <v>1</v>
      </c>
      <c r="C7" s="13" t="s">
        <v>2</v>
      </c>
      <c r="D7" s="13" t="s">
        <v>3</v>
      </c>
      <c r="E7" s="14" t="s">
        <v>4</v>
      </c>
      <c r="F7" s="14" t="s">
        <v>5</v>
      </c>
      <c r="G7" s="14" t="s">
        <v>6</v>
      </c>
      <c r="H7" s="14" t="s">
        <v>7</v>
      </c>
      <c r="I7" s="14" t="s">
        <v>8</v>
      </c>
      <c r="J7" s="14" t="s">
        <v>9</v>
      </c>
      <c r="K7" s="14" t="s">
        <v>10</v>
      </c>
      <c r="L7" s="14" t="s">
        <v>11</v>
      </c>
      <c r="M7" s="14" t="s">
        <v>173</v>
      </c>
      <c r="N7" s="6"/>
      <c r="O7" s="6"/>
      <c r="P7" s="6"/>
      <c r="Q7" s="11" t="s">
        <v>218</v>
      </c>
      <c r="R7" s="11"/>
      <c r="S7" s="12"/>
      <c r="T7" s="12"/>
      <c r="U7" s="12"/>
      <c r="V7" s="12"/>
      <c r="W7" s="12"/>
      <c r="X7" s="12"/>
    </row>
    <row r="8" spans="2:24" ht="15.75" thickBot="1" x14ac:dyDescent="0.3">
      <c r="B8" s="19" t="s">
        <v>232</v>
      </c>
      <c r="C8" s="19"/>
      <c r="D8" s="18"/>
      <c r="E8" s="18"/>
      <c r="F8" s="18"/>
      <c r="G8" s="18"/>
      <c r="H8" s="18"/>
      <c r="I8" s="18"/>
      <c r="J8" s="18"/>
      <c r="K8" s="18"/>
      <c r="L8" s="19"/>
      <c r="M8" s="19"/>
      <c r="N8" s="5"/>
      <c r="O8" s="4"/>
      <c r="P8" s="4"/>
      <c r="Q8" s="17" t="s">
        <v>219</v>
      </c>
      <c r="R8" s="17" t="s">
        <v>220</v>
      </c>
      <c r="S8" s="17" t="s">
        <v>221</v>
      </c>
      <c r="T8" s="15" t="s">
        <v>27</v>
      </c>
      <c r="U8" s="15" t="s">
        <v>28</v>
      </c>
      <c r="V8" s="15" t="s">
        <v>222</v>
      </c>
      <c r="W8" s="15" t="s">
        <v>223</v>
      </c>
      <c r="X8" s="15" t="s">
        <v>224</v>
      </c>
    </row>
    <row r="9" spans="2:24" ht="24.75" thickBot="1" x14ac:dyDescent="0.3">
      <c r="B9" t="s">
        <v>184</v>
      </c>
      <c r="C9" t="s">
        <v>21</v>
      </c>
      <c r="D9" t="s">
        <v>175</v>
      </c>
      <c r="E9">
        <v>2022</v>
      </c>
      <c r="F9">
        <v>0.24199999999999999</v>
      </c>
      <c r="G9">
        <v>1</v>
      </c>
      <c r="H9" s="1">
        <v>1018</v>
      </c>
      <c r="I9" s="2">
        <v>16.064040000000002</v>
      </c>
      <c r="J9" s="2">
        <v>0</v>
      </c>
      <c r="K9">
        <v>35</v>
      </c>
      <c r="L9" s="3">
        <v>0.1461854238754417</v>
      </c>
      <c r="Q9" s="16" t="s">
        <v>225</v>
      </c>
      <c r="R9" s="16" t="s">
        <v>226</v>
      </c>
      <c r="S9" s="16" t="s">
        <v>227</v>
      </c>
      <c r="T9" s="16" t="s">
        <v>27</v>
      </c>
      <c r="U9" s="16" t="s">
        <v>228</v>
      </c>
      <c r="V9" s="16" t="s">
        <v>229</v>
      </c>
      <c r="W9" s="16" t="s">
        <v>230</v>
      </c>
      <c r="X9" s="16" t="s">
        <v>231</v>
      </c>
    </row>
    <row r="10" spans="2:24" x14ac:dyDescent="0.25">
      <c r="B10" t="s">
        <v>185</v>
      </c>
      <c r="C10" t="s">
        <v>21</v>
      </c>
      <c r="D10" t="s">
        <v>177</v>
      </c>
      <c r="E10">
        <v>2022</v>
      </c>
      <c r="F10">
        <v>0.108</v>
      </c>
      <c r="G10">
        <v>1</v>
      </c>
      <c r="H10" s="1">
        <v>1018</v>
      </c>
      <c r="I10" s="2">
        <v>16.064040000000002</v>
      </c>
      <c r="J10" s="2">
        <v>0</v>
      </c>
      <c r="K10">
        <v>35</v>
      </c>
      <c r="L10" s="3">
        <v>0.1461854238754417</v>
      </c>
      <c r="Q10" t="s">
        <v>31</v>
      </c>
      <c r="R10" t="s">
        <v>184</v>
      </c>
      <c r="S10" t="s">
        <v>38</v>
      </c>
      <c r="T10" t="s">
        <v>32</v>
      </c>
      <c r="U10" t="s">
        <v>33</v>
      </c>
      <c r="V10" t="s">
        <v>39</v>
      </c>
      <c r="X10" t="s">
        <v>35</v>
      </c>
    </row>
    <row r="11" spans="2:24" x14ac:dyDescent="0.25">
      <c r="B11" t="s">
        <v>186</v>
      </c>
      <c r="C11" t="s">
        <v>21</v>
      </c>
      <c r="D11" t="s">
        <v>178</v>
      </c>
      <c r="E11">
        <v>2022</v>
      </c>
      <c r="F11">
        <v>0.13200000000000001</v>
      </c>
      <c r="G11">
        <v>1</v>
      </c>
      <c r="H11" s="1">
        <v>1018</v>
      </c>
      <c r="I11" s="2">
        <v>16.064040000000002</v>
      </c>
      <c r="J11" s="2">
        <v>0</v>
      </c>
      <c r="K11">
        <v>35</v>
      </c>
      <c r="L11" s="3">
        <v>0.14867925344692126</v>
      </c>
      <c r="Q11" t="s">
        <v>31</v>
      </c>
      <c r="R11" t="s">
        <v>185</v>
      </c>
      <c r="S11" t="s">
        <v>38</v>
      </c>
      <c r="T11" t="s">
        <v>32</v>
      </c>
      <c r="U11" t="s">
        <v>33</v>
      </c>
      <c r="V11" t="s">
        <v>39</v>
      </c>
      <c r="X11" t="s">
        <v>35</v>
      </c>
    </row>
    <row r="12" spans="2:24" x14ac:dyDescent="0.25">
      <c r="B12" t="s">
        <v>187</v>
      </c>
      <c r="C12" t="s">
        <v>21</v>
      </c>
      <c r="D12" t="s">
        <v>180</v>
      </c>
      <c r="E12">
        <v>2022</v>
      </c>
      <c r="F12">
        <v>7.8E-2</v>
      </c>
      <c r="G12">
        <v>1</v>
      </c>
      <c r="H12" s="1">
        <v>1018</v>
      </c>
      <c r="I12" s="2">
        <v>16.064040000000002</v>
      </c>
      <c r="J12" s="2">
        <v>0</v>
      </c>
      <c r="K12">
        <v>35</v>
      </c>
      <c r="L12" s="3">
        <v>0.14701259708091721</v>
      </c>
      <c r="Q12" t="s">
        <v>31</v>
      </c>
      <c r="R12" t="s">
        <v>186</v>
      </c>
      <c r="S12" t="s">
        <v>38</v>
      </c>
      <c r="T12" t="s">
        <v>32</v>
      </c>
      <c r="U12" t="s">
        <v>33</v>
      </c>
      <c r="V12" t="s">
        <v>39</v>
      </c>
      <c r="X12" t="s">
        <v>35</v>
      </c>
    </row>
    <row r="13" spans="2:24" x14ac:dyDescent="0.25">
      <c r="B13" t="s">
        <v>188</v>
      </c>
      <c r="C13" t="s">
        <v>21</v>
      </c>
      <c r="D13" t="s">
        <v>194</v>
      </c>
      <c r="E13">
        <v>2022</v>
      </c>
      <c r="F13">
        <v>7.4999999999999997E-2</v>
      </c>
      <c r="G13">
        <v>1</v>
      </c>
      <c r="H13" s="1">
        <v>1018</v>
      </c>
      <c r="I13" s="2">
        <v>16.064040000000002</v>
      </c>
      <c r="J13" s="2">
        <v>0</v>
      </c>
      <c r="K13">
        <v>35</v>
      </c>
      <c r="L13" s="3">
        <v>0.15309859852159369</v>
      </c>
      <c r="Q13" t="s">
        <v>31</v>
      </c>
      <c r="R13" t="s">
        <v>187</v>
      </c>
      <c r="S13" t="s">
        <v>38</v>
      </c>
      <c r="T13" t="s">
        <v>32</v>
      </c>
      <c r="U13" t="s">
        <v>33</v>
      </c>
      <c r="V13" t="s">
        <v>39</v>
      </c>
      <c r="X13" t="s">
        <v>35</v>
      </c>
    </row>
    <row r="14" spans="2:24" x14ac:dyDescent="0.25">
      <c r="B14" t="s">
        <v>193</v>
      </c>
      <c r="C14" t="s">
        <v>21</v>
      </c>
      <c r="D14" t="s">
        <v>181</v>
      </c>
      <c r="E14">
        <v>2022</v>
      </c>
      <c r="F14">
        <v>4.7E-2</v>
      </c>
      <c r="G14">
        <v>1</v>
      </c>
      <c r="H14" s="1">
        <v>1018</v>
      </c>
      <c r="I14" s="2">
        <v>16.064040000000002</v>
      </c>
      <c r="J14" s="2">
        <v>0</v>
      </c>
      <c r="K14">
        <v>35</v>
      </c>
      <c r="L14" s="3">
        <v>0.15309859852159369</v>
      </c>
      <c r="Q14" t="s">
        <v>31</v>
      </c>
      <c r="R14" t="s">
        <v>188</v>
      </c>
      <c r="S14" t="s">
        <v>38</v>
      </c>
      <c r="T14" t="s">
        <v>32</v>
      </c>
      <c r="U14" t="s">
        <v>33</v>
      </c>
      <c r="V14" t="s">
        <v>39</v>
      </c>
      <c r="X14" t="s">
        <v>35</v>
      </c>
    </row>
    <row r="15" spans="2:24" x14ac:dyDescent="0.25">
      <c r="B15" t="s">
        <v>189</v>
      </c>
      <c r="C15" t="s">
        <v>21</v>
      </c>
      <c r="D15" t="s">
        <v>182</v>
      </c>
      <c r="E15">
        <v>2022</v>
      </c>
      <c r="F15">
        <v>0.04</v>
      </c>
      <c r="G15">
        <v>1</v>
      </c>
      <c r="H15" s="1">
        <v>1018</v>
      </c>
      <c r="I15" s="2">
        <v>16.064040000000002</v>
      </c>
      <c r="J15" s="2">
        <v>0</v>
      </c>
      <c r="K15">
        <v>35</v>
      </c>
      <c r="L15" s="3">
        <v>0.15619560585976827</v>
      </c>
      <c r="Q15" t="s">
        <v>31</v>
      </c>
      <c r="R15" t="s">
        <v>193</v>
      </c>
      <c r="S15" t="s">
        <v>38</v>
      </c>
      <c r="T15" t="s">
        <v>32</v>
      </c>
      <c r="U15" t="s">
        <v>33</v>
      </c>
      <c r="V15" t="s">
        <v>39</v>
      </c>
      <c r="X15" t="s">
        <v>35</v>
      </c>
    </row>
    <row r="16" spans="2:24" x14ac:dyDescent="0.25">
      <c r="B16" t="s">
        <v>190</v>
      </c>
      <c r="C16" t="s">
        <v>21</v>
      </c>
      <c r="D16" t="s">
        <v>176</v>
      </c>
      <c r="E16">
        <v>2022</v>
      </c>
      <c r="F16">
        <v>0.24199999999999999</v>
      </c>
      <c r="G16">
        <v>1</v>
      </c>
      <c r="H16" s="1">
        <v>1018</v>
      </c>
      <c r="I16" s="2">
        <v>16.064040000000002</v>
      </c>
      <c r="J16" s="2">
        <v>0</v>
      </c>
      <c r="K16">
        <v>35</v>
      </c>
      <c r="L16" s="3">
        <v>0.14537310453496291</v>
      </c>
      <c r="Q16" t="s">
        <v>31</v>
      </c>
      <c r="R16" t="s">
        <v>189</v>
      </c>
      <c r="S16" t="s">
        <v>38</v>
      </c>
      <c r="T16" t="s">
        <v>32</v>
      </c>
      <c r="U16" t="s">
        <v>33</v>
      </c>
      <c r="V16" t="s">
        <v>39</v>
      </c>
      <c r="X16" t="s">
        <v>35</v>
      </c>
    </row>
    <row r="17" spans="2:24" x14ac:dyDescent="0.25">
      <c r="B17" t="s">
        <v>191</v>
      </c>
      <c r="C17" t="s">
        <v>21</v>
      </c>
      <c r="D17" t="s">
        <v>183</v>
      </c>
      <c r="E17">
        <v>2022</v>
      </c>
      <c r="F17">
        <v>4.2999999999999997E-2</v>
      </c>
      <c r="G17">
        <v>1</v>
      </c>
      <c r="H17" s="1">
        <v>1018</v>
      </c>
      <c r="I17" s="2">
        <v>16.064040000000002</v>
      </c>
      <c r="J17" s="2">
        <v>0</v>
      </c>
      <c r="K17">
        <v>35</v>
      </c>
      <c r="L17" s="3">
        <v>0.14763873655681015</v>
      </c>
      <c r="Q17" t="s">
        <v>31</v>
      </c>
      <c r="R17" t="s">
        <v>190</v>
      </c>
      <c r="S17" t="s">
        <v>38</v>
      </c>
      <c r="T17" t="s">
        <v>32</v>
      </c>
      <c r="U17" t="s">
        <v>33</v>
      </c>
      <c r="V17" t="s">
        <v>39</v>
      </c>
      <c r="X17" t="s">
        <v>35</v>
      </c>
    </row>
    <row r="18" spans="2:24" x14ac:dyDescent="0.25">
      <c r="B18" t="s">
        <v>192</v>
      </c>
      <c r="C18" t="s">
        <v>21</v>
      </c>
      <c r="D18" t="s">
        <v>179</v>
      </c>
      <c r="E18">
        <v>2022</v>
      </c>
      <c r="F18">
        <v>0.08</v>
      </c>
      <c r="G18">
        <v>1</v>
      </c>
      <c r="H18" s="1">
        <v>1018</v>
      </c>
      <c r="I18" s="2">
        <v>16.064040000000002</v>
      </c>
      <c r="J18" s="2">
        <v>0</v>
      </c>
      <c r="K18">
        <v>35</v>
      </c>
      <c r="L18" s="3">
        <v>0.1532628310027955</v>
      </c>
      <c r="Q18" t="s">
        <v>31</v>
      </c>
      <c r="R18" t="s">
        <v>191</v>
      </c>
      <c r="S18" t="s">
        <v>38</v>
      </c>
      <c r="T18" t="s">
        <v>32</v>
      </c>
      <c r="U18" t="s">
        <v>33</v>
      </c>
      <c r="V18" t="s">
        <v>39</v>
      </c>
      <c r="X18" t="s">
        <v>35</v>
      </c>
    </row>
    <row r="19" spans="2:24" x14ac:dyDescent="0.25">
      <c r="B19" t="s">
        <v>208</v>
      </c>
      <c r="C19" t="s">
        <v>21</v>
      </c>
      <c r="D19" t="s">
        <v>212</v>
      </c>
      <c r="E19">
        <v>2022</v>
      </c>
      <c r="F19">
        <v>3.5000000000000003E-2</v>
      </c>
      <c r="G19">
        <v>1</v>
      </c>
      <c r="H19" s="1">
        <v>1019</v>
      </c>
      <c r="I19" s="2">
        <v>16.079820000000002</v>
      </c>
      <c r="J19" s="2">
        <v>0</v>
      </c>
      <c r="K19">
        <v>35</v>
      </c>
      <c r="L19" s="3">
        <v>0.1461854238754417</v>
      </c>
      <c r="Q19" t="s">
        <v>31</v>
      </c>
      <c r="R19" t="s">
        <v>192</v>
      </c>
      <c r="S19" t="s">
        <v>38</v>
      </c>
      <c r="T19" t="s">
        <v>32</v>
      </c>
      <c r="U19" t="s">
        <v>33</v>
      </c>
      <c r="V19" t="s">
        <v>39</v>
      </c>
      <c r="X19" t="s">
        <v>35</v>
      </c>
    </row>
    <row r="20" spans="2:24" x14ac:dyDescent="0.25">
      <c r="B20" t="s">
        <v>209</v>
      </c>
      <c r="C20" t="s">
        <v>21</v>
      </c>
      <c r="D20" t="s">
        <v>213</v>
      </c>
      <c r="E20">
        <v>2022</v>
      </c>
      <c r="F20">
        <v>3.1E-2</v>
      </c>
      <c r="G20">
        <v>1</v>
      </c>
      <c r="H20" s="1">
        <v>1020</v>
      </c>
      <c r="I20" s="2">
        <v>16.095600000000001</v>
      </c>
      <c r="J20" s="2">
        <v>0</v>
      </c>
      <c r="K20">
        <v>35</v>
      </c>
      <c r="L20" s="3">
        <v>0.1461854238754417</v>
      </c>
      <c r="Q20" t="s">
        <v>31</v>
      </c>
      <c r="R20" t="s">
        <v>208</v>
      </c>
      <c r="S20" t="s">
        <v>38</v>
      </c>
      <c r="T20" t="s">
        <v>32</v>
      </c>
      <c r="U20" t="s">
        <v>33</v>
      </c>
      <c r="V20" t="s">
        <v>39</v>
      </c>
      <c r="X20" t="s">
        <v>35</v>
      </c>
    </row>
    <row r="21" spans="2:24" x14ac:dyDescent="0.25">
      <c r="B21" t="s">
        <v>215</v>
      </c>
      <c r="C21" t="s">
        <v>21</v>
      </c>
      <c r="D21" t="s">
        <v>214</v>
      </c>
      <c r="E21">
        <v>2022</v>
      </c>
      <c r="F21">
        <v>2.9000000000000001E-2</v>
      </c>
      <c r="G21">
        <v>1</v>
      </c>
      <c r="H21" s="1">
        <v>1021</v>
      </c>
      <c r="I21" s="2">
        <v>16.111380000000004</v>
      </c>
      <c r="J21" s="2">
        <v>0</v>
      </c>
      <c r="K21">
        <v>35</v>
      </c>
      <c r="L21" s="3">
        <v>0.1461854238754417</v>
      </c>
      <c r="Q21" t="s">
        <v>31</v>
      </c>
      <c r="R21" t="s">
        <v>209</v>
      </c>
      <c r="S21" t="s">
        <v>38</v>
      </c>
      <c r="T21" t="s">
        <v>32</v>
      </c>
      <c r="U21" t="s">
        <v>33</v>
      </c>
      <c r="V21" t="s">
        <v>39</v>
      </c>
      <c r="X21" t="s">
        <v>35</v>
      </c>
    </row>
    <row r="22" spans="2:24" x14ac:dyDescent="0.25">
      <c r="B22" t="s">
        <v>210</v>
      </c>
      <c r="C22" t="s">
        <v>21</v>
      </c>
      <c r="D22" t="s">
        <v>216</v>
      </c>
      <c r="E22">
        <v>2022</v>
      </c>
      <c r="F22">
        <v>0.01</v>
      </c>
      <c r="G22">
        <v>1</v>
      </c>
      <c r="H22" s="1">
        <v>1022</v>
      </c>
      <c r="I22" s="2">
        <v>16.127160000000003</v>
      </c>
      <c r="J22" s="2">
        <v>0</v>
      </c>
      <c r="K22">
        <v>35</v>
      </c>
      <c r="L22" s="3">
        <v>0.1461854238754417</v>
      </c>
      <c r="Q22" t="s">
        <v>31</v>
      </c>
      <c r="R22" t="s">
        <v>215</v>
      </c>
      <c r="S22" t="s">
        <v>38</v>
      </c>
      <c r="T22" t="s">
        <v>32</v>
      </c>
      <c r="U22" t="s">
        <v>33</v>
      </c>
      <c r="V22" t="s">
        <v>39</v>
      </c>
      <c r="X22" t="s">
        <v>35</v>
      </c>
    </row>
    <row r="23" spans="2:24" x14ac:dyDescent="0.25">
      <c r="B23" t="s">
        <v>211</v>
      </c>
      <c r="C23" t="s">
        <v>21</v>
      </c>
      <c r="D23" t="s">
        <v>217</v>
      </c>
      <c r="E23">
        <v>2022</v>
      </c>
      <c r="F23">
        <v>5.0000000000000001E-3</v>
      </c>
      <c r="G23">
        <v>1</v>
      </c>
      <c r="H23" s="1">
        <v>1023</v>
      </c>
      <c r="I23" s="2">
        <v>16.142940000000003</v>
      </c>
      <c r="J23" s="2">
        <v>0</v>
      </c>
      <c r="K23">
        <v>35</v>
      </c>
      <c r="L23" s="3">
        <v>0.1461854238754417</v>
      </c>
      <c r="Q23" t="s">
        <v>31</v>
      </c>
      <c r="R23" t="s">
        <v>210</v>
      </c>
      <c r="S23" t="s">
        <v>38</v>
      </c>
      <c r="T23" t="s">
        <v>32</v>
      </c>
      <c r="U23" t="s">
        <v>33</v>
      </c>
      <c r="V23" t="s">
        <v>39</v>
      </c>
      <c r="X23" t="s">
        <v>35</v>
      </c>
    </row>
    <row r="24" spans="2:24" x14ac:dyDescent="0.25">
      <c r="B24" t="s">
        <v>24</v>
      </c>
      <c r="C24" t="s">
        <v>23</v>
      </c>
      <c r="D24" t="s">
        <v>195</v>
      </c>
      <c r="E24">
        <v>2024</v>
      </c>
      <c r="F24">
        <v>7.9699999999999993E-2</v>
      </c>
      <c r="G24">
        <v>1</v>
      </c>
      <c r="H24" s="1">
        <v>1494.4630999999999</v>
      </c>
      <c r="I24" s="2">
        <v>18.701711233400001</v>
      </c>
      <c r="J24" s="2">
        <v>2.0036999999999998</v>
      </c>
      <c r="K24">
        <v>27</v>
      </c>
      <c r="L24">
        <v>0.4</v>
      </c>
      <c r="Q24" t="s">
        <v>31</v>
      </c>
      <c r="R24" t="s">
        <v>211</v>
      </c>
      <c r="S24" t="s">
        <v>38</v>
      </c>
      <c r="T24" t="s">
        <v>32</v>
      </c>
      <c r="U24" t="s">
        <v>33</v>
      </c>
      <c r="V24" t="s">
        <v>39</v>
      </c>
      <c r="X24" t="s">
        <v>35</v>
      </c>
    </row>
    <row r="25" spans="2:24" x14ac:dyDescent="0.25">
      <c r="B25" t="s">
        <v>170</v>
      </c>
      <c r="C25" t="s">
        <v>23</v>
      </c>
      <c r="D25" t="s">
        <v>195</v>
      </c>
      <c r="E25">
        <v>2025</v>
      </c>
      <c r="F25">
        <v>0.17519999999999999</v>
      </c>
      <c r="G25">
        <v>1</v>
      </c>
      <c r="H25" s="1">
        <v>1494.4630999999999</v>
      </c>
      <c r="I25" s="2">
        <v>18.701711233400001</v>
      </c>
      <c r="J25" s="2">
        <v>2.0036999999999998</v>
      </c>
      <c r="K25">
        <v>27</v>
      </c>
      <c r="L25">
        <v>0.4</v>
      </c>
      <c r="Q25" t="s">
        <v>31</v>
      </c>
      <c r="R25" t="s">
        <v>172</v>
      </c>
      <c r="S25" t="s">
        <v>36</v>
      </c>
      <c r="T25" t="s">
        <v>32</v>
      </c>
      <c r="U25" t="s">
        <v>33</v>
      </c>
      <c r="V25" t="s">
        <v>34</v>
      </c>
      <c r="X25" t="s">
        <v>35</v>
      </c>
    </row>
    <row r="26" spans="2:24" x14ac:dyDescent="0.25">
      <c r="B26" t="s">
        <v>171</v>
      </c>
      <c r="C26" t="s">
        <v>23</v>
      </c>
      <c r="D26" t="s">
        <v>195</v>
      </c>
      <c r="E26">
        <v>2015</v>
      </c>
      <c r="F26">
        <v>8.130000000000015E-2</v>
      </c>
      <c r="G26">
        <v>1</v>
      </c>
      <c r="H26" s="1">
        <v>1494.4630999999999</v>
      </c>
      <c r="I26" s="2">
        <v>18.701711233400001</v>
      </c>
      <c r="J26" s="2">
        <v>2.0036999999999998</v>
      </c>
      <c r="K26">
        <v>27</v>
      </c>
      <c r="L26">
        <v>0.4</v>
      </c>
      <c r="Q26" t="s">
        <v>31</v>
      </c>
      <c r="R26" t="s">
        <v>24</v>
      </c>
      <c r="S26" t="s">
        <v>40</v>
      </c>
      <c r="T26" t="s">
        <v>32</v>
      </c>
      <c r="U26" t="s">
        <v>33</v>
      </c>
      <c r="V26" t="s">
        <v>39</v>
      </c>
      <c r="X26" t="s">
        <v>35</v>
      </c>
    </row>
    <row r="27" spans="2:24" x14ac:dyDescent="0.25">
      <c r="B27" t="s">
        <v>197</v>
      </c>
      <c r="C27" t="s">
        <v>23</v>
      </c>
      <c r="D27" t="s">
        <v>203</v>
      </c>
      <c r="E27">
        <v>2022</v>
      </c>
      <c r="F27">
        <v>1.6E-2</v>
      </c>
      <c r="G27">
        <v>1</v>
      </c>
      <c r="H27" s="1">
        <v>1494.4630999999999</v>
      </c>
      <c r="I27" s="2">
        <v>18.701711233400001</v>
      </c>
      <c r="J27" s="2">
        <v>2.0036999999999998</v>
      </c>
      <c r="K27">
        <v>27</v>
      </c>
      <c r="L27">
        <v>0.4</v>
      </c>
      <c r="Q27" t="s">
        <v>31</v>
      </c>
      <c r="R27" t="s">
        <v>170</v>
      </c>
      <c r="S27" t="s">
        <v>40</v>
      </c>
      <c r="T27" t="s">
        <v>32</v>
      </c>
      <c r="U27" t="s">
        <v>33</v>
      </c>
      <c r="V27" t="s">
        <v>39</v>
      </c>
      <c r="X27" t="s">
        <v>35</v>
      </c>
    </row>
    <row r="28" spans="2:24" x14ac:dyDescent="0.25">
      <c r="B28" t="s">
        <v>199</v>
      </c>
      <c r="C28" t="s">
        <v>23</v>
      </c>
      <c r="D28" t="s">
        <v>204</v>
      </c>
      <c r="E28">
        <v>2022</v>
      </c>
      <c r="F28">
        <v>3.27E-2</v>
      </c>
      <c r="G28">
        <v>1</v>
      </c>
      <c r="H28" s="1">
        <v>1494.4630999999999</v>
      </c>
      <c r="I28" s="2">
        <v>18.701711233400001</v>
      </c>
      <c r="J28" s="2">
        <v>2.0036999999999998</v>
      </c>
      <c r="K28">
        <v>27</v>
      </c>
      <c r="L28">
        <v>0.4</v>
      </c>
      <c r="Q28" t="s">
        <v>31</v>
      </c>
      <c r="R28" t="s">
        <v>171</v>
      </c>
      <c r="S28" t="s">
        <v>198</v>
      </c>
      <c r="T28" t="s">
        <v>32</v>
      </c>
      <c r="U28" t="s">
        <v>33</v>
      </c>
      <c r="V28" t="s">
        <v>39</v>
      </c>
      <c r="X28" t="s">
        <v>35</v>
      </c>
    </row>
    <row r="29" spans="2:24" x14ac:dyDescent="0.25">
      <c r="B29" t="s">
        <v>200</v>
      </c>
      <c r="C29" t="s">
        <v>23</v>
      </c>
      <c r="D29" t="s">
        <v>196</v>
      </c>
      <c r="E29">
        <v>2022</v>
      </c>
      <c r="F29">
        <v>6.3399999999999998E-2</v>
      </c>
      <c r="G29">
        <v>1</v>
      </c>
      <c r="H29" s="1">
        <v>1494.4630999999999</v>
      </c>
      <c r="I29" s="2">
        <v>18.701711233400001</v>
      </c>
      <c r="J29" s="2">
        <v>2.0036999999999998</v>
      </c>
      <c r="K29">
        <v>27</v>
      </c>
      <c r="L29">
        <v>0.4</v>
      </c>
      <c r="Q29" t="s">
        <v>31</v>
      </c>
      <c r="R29" t="s">
        <v>197</v>
      </c>
      <c r="S29" t="s">
        <v>38</v>
      </c>
      <c r="T29" t="s">
        <v>32</v>
      </c>
      <c r="U29" t="s">
        <v>33</v>
      </c>
      <c r="V29" t="s">
        <v>39</v>
      </c>
      <c r="X29" t="s">
        <v>35</v>
      </c>
    </row>
    <row r="30" spans="2:24" x14ac:dyDescent="0.25">
      <c r="B30" t="s">
        <v>201</v>
      </c>
      <c r="C30" t="s">
        <v>23</v>
      </c>
      <c r="D30" t="s">
        <v>205</v>
      </c>
      <c r="E30">
        <v>2022</v>
      </c>
      <c r="F30">
        <v>0.06</v>
      </c>
      <c r="G30">
        <v>1</v>
      </c>
      <c r="H30" s="1">
        <v>1494.4630999999999</v>
      </c>
      <c r="I30" s="2">
        <v>18.701711233400001</v>
      </c>
      <c r="J30" s="2">
        <v>2.0036999999999998</v>
      </c>
      <c r="K30">
        <v>27</v>
      </c>
      <c r="L30">
        <v>0.4</v>
      </c>
      <c r="Q30" t="s">
        <v>31</v>
      </c>
      <c r="R30" t="s">
        <v>199</v>
      </c>
      <c r="S30" t="s">
        <v>38</v>
      </c>
      <c r="T30" t="s">
        <v>32</v>
      </c>
      <c r="U30" t="s">
        <v>33</v>
      </c>
      <c r="V30" t="s">
        <v>39</v>
      </c>
      <c r="X30" t="s">
        <v>35</v>
      </c>
    </row>
    <row r="31" spans="2:24" x14ac:dyDescent="0.25">
      <c r="B31" t="s">
        <v>202</v>
      </c>
      <c r="C31" t="s">
        <v>23</v>
      </c>
      <c r="D31" t="s">
        <v>207</v>
      </c>
      <c r="E31">
        <v>2022</v>
      </c>
      <c r="F31">
        <v>8.2000000000000003E-2</v>
      </c>
      <c r="G31">
        <v>1</v>
      </c>
      <c r="H31" s="1">
        <v>1494.4630999999999</v>
      </c>
      <c r="I31" s="2">
        <v>18.701711233400001</v>
      </c>
      <c r="J31" s="2">
        <v>2.0036999999999998</v>
      </c>
      <c r="K31">
        <v>27</v>
      </c>
      <c r="L31">
        <v>0.4</v>
      </c>
      <c r="Q31" t="s">
        <v>31</v>
      </c>
      <c r="R31" t="s">
        <v>200</v>
      </c>
      <c r="S31" t="s">
        <v>38</v>
      </c>
      <c r="T31" t="s">
        <v>32</v>
      </c>
      <c r="U31" t="s">
        <v>33</v>
      </c>
      <c r="V31" t="s">
        <v>39</v>
      </c>
      <c r="X31" t="s">
        <v>35</v>
      </c>
    </row>
    <row r="32" spans="2:24" x14ac:dyDescent="0.25">
      <c r="B32" t="s">
        <v>206</v>
      </c>
      <c r="C32" t="s">
        <v>23</v>
      </c>
      <c r="D32" t="s">
        <v>195</v>
      </c>
      <c r="E32">
        <v>2022</v>
      </c>
      <c r="F32">
        <v>0.1036</v>
      </c>
      <c r="G32">
        <v>1</v>
      </c>
      <c r="H32" s="1">
        <v>1494.4630999999999</v>
      </c>
      <c r="I32" s="2">
        <v>18.701711233400001</v>
      </c>
      <c r="J32" s="2">
        <v>2.0036999999999998</v>
      </c>
      <c r="K32">
        <v>27</v>
      </c>
      <c r="L32">
        <v>0.4</v>
      </c>
      <c r="Q32" t="s">
        <v>31</v>
      </c>
      <c r="R32" t="s">
        <v>201</v>
      </c>
      <c r="S32" t="s">
        <v>38</v>
      </c>
      <c r="T32" t="s">
        <v>32</v>
      </c>
      <c r="U32" t="s">
        <v>33</v>
      </c>
      <c r="V32" t="s">
        <v>39</v>
      </c>
      <c r="X32" t="s">
        <v>35</v>
      </c>
    </row>
    <row r="33" spans="2:24" x14ac:dyDescent="0.25">
      <c r="B33" t="s">
        <v>172</v>
      </c>
      <c r="C33" t="s">
        <v>12</v>
      </c>
      <c r="D33" t="s">
        <v>13</v>
      </c>
      <c r="E33">
        <v>1982</v>
      </c>
      <c r="F33">
        <v>1.7000000000000001E-2</v>
      </c>
      <c r="G33">
        <v>0.56000000000000005</v>
      </c>
      <c r="H33" s="1">
        <v>1175.5066999999999</v>
      </c>
      <c r="I33" s="2">
        <v>160.216352398</v>
      </c>
      <c r="J33" s="2">
        <v>5.8775000000000004</v>
      </c>
      <c r="K33">
        <v>53</v>
      </c>
      <c r="Q33" t="s">
        <v>31</v>
      </c>
      <c r="R33" t="s">
        <v>202</v>
      </c>
      <c r="S33" t="s">
        <v>38</v>
      </c>
      <c r="T33" t="s">
        <v>32</v>
      </c>
      <c r="U33" t="s">
        <v>33</v>
      </c>
      <c r="V33" t="s">
        <v>39</v>
      </c>
      <c r="X33" t="s">
        <v>35</v>
      </c>
    </row>
    <row r="34" spans="2:24" x14ac:dyDescent="0.25">
      <c r="B34" t="s">
        <v>152</v>
      </c>
      <c r="C34" t="s">
        <v>148</v>
      </c>
      <c r="D34" t="s">
        <v>13</v>
      </c>
      <c r="E34">
        <v>1965</v>
      </c>
      <c r="F34">
        <v>0.77</v>
      </c>
      <c r="G34">
        <v>0.33</v>
      </c>
      <c r="H34" s="1">
        <v>4812.0244000000002</v>
      </c>
      <c r="I34" s="2">
        <v>63.037519640000006</v>
      </c>
      <c r="J34" s="2">
        <v>4.1005000000000003</v>
      </c>
      <c r="K34">
        <v>70</v>
      </c>
      <c r="Q34" t="s">
        <v>31</v>
      </c>
      <c r="R34" t="s">
        <v>206</v>
      </c>
      <c r="S34" t="s">
        <v>38</v>
      </c>
      <c r="T34" t="s">
        <v>32</v>
      </c>
      <c r="U34" t="s">
        <v>33</v>
      </c>
      <c r="V34" t="s">
        <v>39</v>
      </c>
      <c r="X34" t="s">
        <v>35</v>
      </c>
    </row>
    <row r="35" spans="2:24" x14ac:dyDescent="0.25">
      <c r="B35" t="s">
        <v>150</v>
      </c>
      <c r="C35" t="s">
        <v>148</v>
      </c>
      <c r="D35" t="s">
        <v>13</v>
      </c>
      <c r="E35">
        <v>2015</v>
      </c>
      <c r="F35">
        <v>0.26</v>
      </c>
      <c r="G35">
        <v>0.33</v>
      </c>
      <c r="H35" s="1">
        <v>4812.0244000000002</v>
      </c>
      <c r="I35" s="2">
        <v>63.037519640000006</v>
      </c>
      <c r="J35" s="2">
        <v>4.1005000000000003</v>
      </c>
      <c r="K35">
        <v>40</v>
      </c>
      <c r="Q35" t="s">
        <v>31</v>
      </c>
      <c r="R35" t="s">
        <v>150</v>
      </c>
      <c r="S35" t="s">
        <v>120</v>
      </c>
      <c r="T35" t="s">
        <v>32</v>
      </c>
      <c r="U35" t="s">
        <v>33</v>
      </c>
      <c r="V35" t="s">
        <v>39</v>
      </c>
      <c r="X35" t="s">
        <v>35</v>
      </c>
    </row>
    <row r="36" spans="2:24" x14ac:dyDescent="0.25">
      <c r="B36" t="s">
        <v>151</v>
      </c>
      <c r="C36" t="s">
        <v>148</v>
      </c>
      <c r="D36" t="s">
        <v>13</v>
      </c>
      <c r="E36">
        <v>2025</v>
      </c>
      <c r="F36">
        <f>0.01</f>
        <v>0.01</v>
      </c>
      <c r="G36">
        <v>0.33</v>
      </c>
      <c r="H36" s="1">
        <v>4812.0244000000002</v>
      </c>
      <c r="I36" s="2">
        <v>63.037519640000006</v>
      </c>
      <c r="J36" s="2">
        <v>4.1005000000000003</v>
      </c>
      <c r="K36">
        <v>40</v>
      </c>
      <c r="Q36" t="s">
        <v>31</v>
      </c>
      <c r="R36" t="s">
        <v>149</v>
      </c>
      <c r="S36" t="s">
        <v>105</v>
      </c>
      <c r="T36" t="s">
        <v>32</v>
      </c>
      <c r="U36" t="s">
        <v>33</v>
      </c>
      <c r="V36" t="s">
        <v>39</v>
      </c>
      <c r="X36" t="s">
        <v>35</v>
      </c>
    </row>
    <row r="37" spans="2:24" x14ac:dyDescent="0.25">
      <c r="B37" t="s">
        <v>149</v>
      </c>
      <c r="C37" t="s">
        <v>148</v>
      </c>
      <c r="D37" t="s">
        <v>13</v>
      </c>
      <c r="E37">
        <v>1956</v>
      </c>
      <c r="F37">
        <v>0.185</v>
      </c>
      <c r="G37">
        <v>0.33</v>
      </c>
      <c r="H37" s="1">
        <v>4812.0244000000002</v>
      </c>
      <c r="I37" s="2">
        <v>63.037519640000006</v>
      </c>
      <c r="J37" s="2">
        <v>4.1005000000000003</v>
      </c>
      <c r="K37">
        <v>73</v>
      </c>
      <c r="Q37" t="s">
        <v>31</v>
      </c>
      <c r="R37" t="s">
        <v>151</v>
      </c>
      <c r="S37" t="s">
        <v>106</v>
      </c>
      <c r="T37" t="s">
        <v>32</v>
      </c>
      <c r="U37" t="s">
        <v>33</v>
      </c>
      <c r="V37" t="s">
        <v>39</v>
      </c>
      <c r="X37" t="s">
        <v>35</v>
      </c>
    </row>
    <row r="38" spans="2:24" x14ac:dyDescent="0.25">
      <c r="B38" t="s">
        <v>99</v>
      </c>
      <c r="C38" t="s">
        <v>15</v>
      </c>
      <c r="D38" t="s">
        <v>13</v>
      </c>
      <c r="E38">
        <v>2021</v>
      </c>
      <c r="F38">
        <v>7.6999999999999999E-2</v>
      </c>
      <c r="G38">
        <v>0.56000000000000005</v>
      </c>
      <c r="H38" s="1">
        <v>1175.5066999999999</v>
      </c>
      <c r="I38" s="2">
        <v>39.138495576499992</v>
      </c>
      <c r="J38" s="2">
        <v>5.8775000000000004</v>
      </c>
      <c r="K38">
        <v>40</v>
      </c>
      <c r="Q38" t="s">
        <v>31</v>
      </c>
      <c r="R38" t="s">
        <v>152</v>
      </c>
      <c r="S38" t="s">
        <v>107</v>
      </c>
      <c r="T38" t="s">
        <v>32</v>
      </c>
      <c r="U38" t="s">
        <v>33</v>
      </c>
      <c r="V38" t="s">
        <v>39</v>
      </c>
      <c r="X38" t="s">
        <v>35</v>
      </c>
    </row>
    <row r="39" spans="2:24" x14ac:dyDescent="0.25">
      <c r="B39" t="s">
        <v>100</v>
      </c>
      <c r="C39" t="s">
        <v>12</v>
      </c>
      <c r="D39" t="s">
        <v>13</v>
      </c>
      <c r="E39">
        <v>2018</v>
      </c>
      <c r="F39">
        <v>3.9E-2</v>
      </c>
      <c r="G39">
        <v>0.46800000000000003</v>
      </c>
      <c r="H39" s="1">
        <v>2950.7891</v>
      </c>
      <c r="I39" s="2">
        <v>133.5792717679</v>
      </c>
      <c r="J39" s="2">
        <v>2.8138000000000001</v>
      </c>
      <c r="K39">
        <v>40</v>
      </c>
      <c r="Q39" t="s">
        <v>31</v>
      </c>
      <c r="R39" t="s">
        <v>99</v>
      </c>
      <c r="S39" t="s">
        <v>118</v>
      </c>
      <c r="T39" t="s">
        <v>32</v>
      </c>
      <c r="U39" t="s">
        <v>33</v>
      </c>
      <c r="V39" t="s">
        <v>39</v>
      </c>
      <c r="X39" t="s">
        <v>35</v>
      </c>
    </row>
    <row r="40" spans="2:24" x14ac:dyDescent="0.25">
      <c r="B40" t="s">
        <v>101</v>
      </c>
      <c r="C40" t="s">
        <v>12</v>
      </c>
      <c r="D40" t="s">
        <v>13</v>
      </c>
      <c r="E40">
        <v>2009</v>
      </c>
      <c r="F40">
        <v>2.2100000000000002E-2</v>
      </c>
      <c r="G40">
        <v>0.46800000000000003</v>
      </c>
      <c r="H40" s="1">
        <v>2950.7891</v>
      </c>
      <c r="I40" s="2">
        <v>133.5792717679</v>
      </c>
      <c r="J40" s="2">
        <v>2.8138000000000001</v>
      </c>
      <c r="K40">
        <v>40</v>
      </c>
      <c r="Q40" t="s">
        <v>31</v>
      </c>
      <c r="R40" t="s">
        <v>100</v>
      </c>
      <c r="S40" t="s">
        <v>108</v>
      </c>
      <c r="T40" t="s">
        <v>32</v>
      </c>
      <c r="U40" t="s">
        <v>33</v>
      </c>
      <c r="V40" t="s">
        <v>39</v>
      </c>
      <c r="X40" t="s">
        <v>35</v>
      </c>
    </row>
    <row r="41" spans="2:24" x14ac:dyDescent="0.25">
      <c r="B41" t="s">
        <v>102</v>
      </c>
      <c r="C41" t="s">
        <v>12</v>
      </c>
      <c r="D41" t="s">
        <v>13</v>
      </c>
      <c r="E41">
        <v>2011</v>
      </c>
      <c r="F41">
        <v>2.0500000000000001E-2</v>
      </c>
      <c r="G41">
        <v>0.46800000000000003</v>
      </c>
      <c r="H41" s="1">
        <v>2950.7891</v>
      </c>
      <c r="I41" s="2">
        <v>133.5792717679</v>
      </c>
      <c r="J41" s="2">
        <v>2.8138000000000001</v>
      </c>
      <c r="K41">
        <v>40</v>
      </c>
      <c r="Q41" t="s">
        <v>31</v>
      </c>
      <c r="R41" t="s">
        <v>101</v>
      </c>
      <c r="S41" t="s">
        <v>109</v>
      </c>
      <c r="T41" t="s">
        <v>32</v>
      </c>
      <c r="U41" t="s">
        <v>33</v>
      </c>
      <c r="V41" t="s">
        <v>39</v>
      </c>
      <c r="X41" t="s">
        <v>35</v>
      </c>
    </row>
    <row r="42" spans="2:24" x14ac:dyDescent="0.25">
      <c r="B42" t="s">
        <v>103</v>
      </c>
      <c r="C42" t="s">
        <v>12</v>
      </c>
      <c r="D42" t="s">
        <v>13</v>
      </c>
      <c r="E42">
        <v>2010</v>
      </c>
      <c r="F42">
        <v>1.3900000000000001E-2</v>
      </c>
      <c r="G42">
        <v>0.46800000000000003</v>
      </c>
      <c r="H42" s="1">
        <v>2950.7891</v>
      </c>
      <c r="I42" s="2">
        <v>133.5792717679</v>
      </c>
      <c r="J42" s="2">
        <v>2.8138000000000001</v>
      </c>
      <c r="K42">
        <v>40</v>
      </c>
      <c r="Q42" t="s">
        <v>31</v>
      </c>
      <c r="R42" t="s">
        <v>102</v>
      </c>
      <c r="S42" t="s">
        <v>110</v>
      </c>
      <c r="T42" t="s">
        <v>32</v>
      </c>
      <c r="U42" t="s">
        <v>33</v>
      </c>
      <c r="V42" t="s">
        <v>39</v>
      </c>
      <c r="X42" t="s">
        <v>35</v>
      </c>
    </row>
    <row r="43" spans="2:24" x14ac:dyDescent="0.25">
      <c r="B43" t="s">
        <v>153</v>
      </c>
      <c r="C43" t="s">
        <v>148</v>
      </c>
      <c r="D43" t="s">
        <v>13</v>
      </c>
      <c r="E43">
        <v>1997</v>
      </c>
      <c r="F43">
        <v>0.01</v>
      </c>
      <c r="G43">
        <v>0.33</v>
      </c>
      <c r="H43" s="1">
        <v>4812.0244000000002</v>
      </c>
      <c r="I43" s="2">
        <v>63.037519640000006</v>
      </c>
      <c r="J43" s="2">
        <v>4.1005000000000003</v>
      </c>
      <c r="K43">
        <v>40</v>
      </c>
      <c r="Q43" t="s">
        <v>31</v>
      </c>
      <c r="R43" t="s">
        <v>103</v>
      </c>
      <c r="S43" t="s">
        <v>104</v>
      </c>
      <c r="T43" t="s">
        <v>32</v>
      </c>
      <c r="U43" t="s">
        <v>33</v>
      </c>
      <c r="V43" t="s">
        <v>39</v>
      </c>
      <c r="X43" t="s">
        <v>35</v>
      </c>
    </row>
    <row r="44" spans="2:24" x14ac:dyDescent="0.25">
      <c r="B44" t="s">
        <v>111</v>
      </c>
      <c r="C44" t="s">
        <v>12</v>
      </c>
      <c r="D44" t="s">
        <v>13</v>
      </c>
      <c r="E44">
        <v>2016</v>
      </c>
      <c r="F44">
        <v>0.01</v>
      </c>
      <c r="G44">
        <v>0.28999999999999998</v>
      </c>
      <c r="H44" s="1">
        <v>4516.7133000000003</v>
      </c>
      <c r="I44" s="2">
        <v>162.96753257730003</v>
      </c>
      <c r="J44" s="2">
        <v>2.8138000000000001</v>
      </c>
      <c r="K44">
        <v>40</v>
      </c>
      <c r="Q44" t="s">
        <v>31</v>
      </c>
      <c r="R44" t="s">
        <v>153</v>
      </c>
      <c r="S44" t="s">
        <v>119</v>
      </c>
      <c r="T44" t="s">
        <v>32</v>
      </c>
      <c r="U44" t="s">
        <v>33</v>
      </c>
      <c r="V44" t="s">
        <v>39</v>
      </c>
      <c r="X44" t="s">
        <v>35</v>
      </c>
    </row>
    <row r="45" spans="2:24" x14ac:dyDescent="0.25">
      <c r="B45" t="s">
        <v>113</v>
      </c>
      <c r="C45" t="s">
        <v>12</v>
      </c>
      <c r="D45" t="s">
        <v>13</v>
      </c>
      <c r="E45">
        <v>2017</v>
      </c>
      <c r="F45">
        <v>0.01</v>
      </c>
      <c r="G45">
        <v>0.28999999999999998</v>
      </c>
      <c r="H45" s="1">
        <v>4516.7133000000003</v>
      </c>
      <c r="I45" s="2">
        <v>162.96753257730003</v>
      </c>
      <c r="J45" s="2">
        <v>2.8138000000000001</v>
      </c>
      <c r="K45">
        <v>40</v>
      </c>
      <c r="Q45" t="s">
        <v>31</v>
      </c>
      <c r="R45" t="s">
        <v>111</v>
      </c>
      <c r="S45" t="s">
        <v>112</v>
      </c>
      <c r="T45" t="s">
        <v>32</v>
      </c>
      <c r="U45" t="s">
        <v>33</v>
      </c>
      <c r="V45" t="s">
        <v>39</v>
      </c>
      <c r="X45" t="s">
        <v>35</v>
      </c>
    </row>
    <row r="46" spans="2:24" x14ac:dyDescent="0.25">
      <c r="B46" t="s">
        <v>127</v>
      </c>
      <c r="C46" t="s">
        <v>12</v>
      </c>
      <c r="D46" t="s">
        <v>13</v>
      </c>
      <c r="E46">
        <v>2019</v>
      </c>
      <c r="F46">
        <v>9.300000000000001E-3</v>
      </c>
      <c r="G46">
        <v>0.28999999999999998</v>
      </c>
      <c r="H46" s="1">
        <v>4516.7133000000003</v>
      </c>
      <c r="I46" s="2">
        <v>162.96753257730003</v>
      </c>
      <c r="J46" s="2">
        <v>2.8138000000000001</v>
      </c>
      <c r="K46">
        <v>40</v>
      </c>
      <c r="Q46" t="s">
        <v>31</v>
      </c>
      <c r="R46" t="s">
        <v>113</v>
      </c>
      <c r="S46" t="s">
        <v>114</v>
      </c>
      <c r="T46" t="s">
        <v>32</v>
      </c>
      <c r="U46" t="s">
        <v>33</v>
      </c>
      <c r="V46" t="s">
        <v>39</v>
      </c>
      <c r="X46" t="s">
        <v>35</v>
      </c>
    </row>
    <row r="47" spans="2:24" x14ac:dyDescent="0.25">
      <c r="B47" t="s">
        <v>115</v>
      </c>
      <c r="C47" t="s">
        <v>12</v>
      </c>
      <c r="D47" t="s">
        <v>13</v>
      </c>
      <c r="E47">
        <v>1963</v>
      </c>
      <c r="F47">
        <v>7.0999999999999995E-3</v>
      </c>
      <c r="G47">
        <v>0.28999999999999998</v>
      </c>
      <c r="H47" s="1">
        <v>4516.7133000000003</v>
      </c>
      <c r="I47" s="2">
        <v>162.96753257730003</v>
      </c>
      <c r="J47" s="2">
        <v>2.8138000000000001</v>
      </c>
      <c r="K47">
        <v>72</v>
      </c>
      <c r="Q47" t="s">
        <v>31</v>
      </c>
      <c r="R47" t="s">
        <v>127</v>
      </c>
      <c r="S47" t="s">
        <v>128</v>
      </c>
      <c r="T47" t="s">
        <v>32</v>
      </c>
      <c r="U47" t="s">
        <v>33</v>
      </c>
      <c r="V47" t="s">
        <v>39</v>
      </c>
      <c r="X47" t="s">
        <v>35</v>
      </c>
    </row>
    <row r="48" spans="2:24" x14ac:dyDescent="0.25">
      <c r="B48" t="s">
        <v>126</v>
      </c>
      <c r="C48" t="s">
        <v>15</v>
      </c>
      <c r="D48" t="s">
        <v>13</v>
      </c>
      <c r="E48">
        <v>2020</v>
      </c>
      <c r="F48">
        <v>5.7999999999999996E-3</v>
      </c>
      <c r="G48">
        <v>0.56000000000000005</v>
      </c>
      <c r="H48" s="1">
        <v>1175.5066999999999</v>
      </c>
      <c r="I48" s="2">
        <v>39.138495576499992</v>
      </c>
      <c r="J48" s="2">
        <v>5.8775000000000004</v>
      </c>
      <c r="K48">
        <v>40</v>
      </c>
      <c r="Q48" t="s">
        <v>31</v>
      </c>
      <c r="R48" t="s">
        <v>115</v>
      </c>
      <c r="S48" t="s">
        <v>116</v>
      </c>
      <c r="T48" t="s">
        <v>32</v>
      </c>
      <c r="U48" t="s">
        <v>33</v>
      </c>
      <c r="V48" t="s">
        <v>39</v>
      </c>
      <c r="X48" t="s">
        <v>35</v>
      </c>
    </row>
    <row r="49" spans="2:24" x14ac:dyDescent="0.25">
      <c r="B49" t="s">
        <v>121</v>
      </c>
      <c r="C49" t="s">
        <v>12</v>
      </c>
      <c r="D49" t="s">
        <v>13</v>
      </c>
      <c r="E49">
        <v>2013</v>
      </c>
      <c r="F49">
        <v>6.4999999999999997E-3</v>
      </c>
      <c r="G49">
        <v>0.28999999999999998</v>
      </c>
      <c r="H49" s="1">
        <v>4516.7133000000003</v>
      </c>
      <c r="I49" s="2">
        <v>162.96753257730003</v>
      </c>
      <c r="J49" s="2">
        <v>2.8138000000000001</v>
      </c>
      <c r="K49">
        <v>40</v>
      </c>
      <c r="Q49" t="s">
        <v>31</v>
      </c>
      <c r="R49" t="s">
        <v>126</v>
      </c>
      <c r="S49" t="s">
        <v>117</v>
      </c>
      <c r="T49" t="s">
        <v>32</v>
      </c>
      <c r="U49" t="s">
        <v>33</v>
      </c>
      <c r="V49" t="s">
        <v>39</v>
      </c>
      <c r="X49" t="s">
        <v>35</v>
      </c>
    </row>
    <row r="50" spans="2:24" x14ac:dyDescent="0.25">
      <c r="B50" t="s">
        <v>125</v>
      </c>
      <c r="C50" t="s">
        <v>15</v>
      </c>
      <c r="D50" t="s">
        <v>13</v>
      </c>
      <c r="E50">
        <v>2015</v>
      </c>
      <c r="F50">
        <v>4.0999999999999995E-3</v>
      </c>
      <c r="G50">
        <v>0.56000000000000005</v>
      </c>
      <c r="H50" s="1">
        <v>1175.5066999999999</v>
      </c>
      <c r="I50" s="2">
        <v>39.138495576499992</v>
      </c>
      <c r="J50" s="2">
        <v>5.8775000000000004</v>
      </c>
      <c r="K50">
        <v>40</v>
      </c>
      <c r="Q50" t="s">
        <v>31</v>
      </c>
      <c r="R50" t="s">
        <v>121</v>
      </c>
      <c r="S50" t="s">
        <v>122</v>
      </c>
      <c r="T50" t="s">
        <v>32</v>
      </c>
      <c r="U50" t="s">
        <v>33</v>
      </c>
      <c r="V50" t="s">
        <v>39</v>
      </c>
      <c r="X50" t="s">
        <v>35</v>
      </c>
    </row>
    <row r="51" spans="2:24" x14ac:dyDescent="0.25">
      <c r="B51" t="s">
        <v>154</v>
      </c>
      <c r="C51" t="s">
        <v>148</v>
      </c>
      <c r="D51" t="s">
        <v>13</v>
      </c>
      <c r="E51">
        <v>2012</v>
      </c>
      <c r="F51">
        <v>1.4E-3</v>
      </c>
      <c r="G51">
        <v>0.33</v>
      </c>
      <c r="H51" s="1">
        <v>4812.0244000000002</v>
      </c>
      <c r="I51" s="2">
        <v>173.62265237640003</v>
      </c>
      <c r="J51" s="2">
        <v>4.1005000000000003</v>
      </c>
      <c r="K51">
        <v>40</v>
      </c>
      <c r="Q51" t="s">
        <v>31</v>
      </c>
      <c r="R51" t="s">
        <v>125</v>
      </c>
      <c r="S51" t="s">
        <v>123</v>
      </c>
      <c r="T51" t="s">
        <v>32</v>
      </c>
      <c r="U51" t="s">
        <v>33</v>
      </c>
      <c r="V51" t="s">
        <v>39</v>
      </c>
      <c r="X51" t="s">
        <v>35</v>
      </c>
    </row>
    <row r="52" spans="2:24" x14ac:dyDescent="0.25">
      <c r="B52" t="s">
        <v>129</v>
      </c>
      <c r="C52" t="s">
        <v>12</v>
      </c>
      <c r="D52" t="s">
        <v>13</v>
      </c>
      <c r="E52">
        <v>2013</v>
      </c>
      <c r="F52">
        <v>1.8E-3</v>
      </c>
      <c r="G52">
        <v>0.28999999999999998</v>
      </c>
      <c r="H52" s="1">
        <v>4516.7133000000003</v>
      </c>
      <c r="I52" s="2">
        <v>162.96753257730003</v>
      </c>
      <c r="J52" s="2">
        <v>2.8138000000000001</v>
      </c>
      <c r="K52">
        <v>40</v>
      </c>
      <c r="Q52" t="s">
        <v>31</v>
      </c>
      <c r="R52" t="s">
        <v>154</v>
      </c>
      <c r="S52" t="s">
        <v>124</v>
      </c>
      <c r="T52" t="s">
        <v>32</v>
      </c>
      <c r="U52" t="s">
        <v>33</v>
      </c>
      <c r="V52" t="s">
        <v>39</v>
      </c>
      <c r="X52" t="s">
        <v>35</v>
      </c>
    </row>
    <row r="53" spans="2:24" x14ac:dyDescent="0.25">
      <c r="B53" t="s">
        <v>131</v>
      </c>
      <c r="C53" t="s">
        <v>12</v>
      </c>
      <c r="D53" t="s">
        <v>13</v>
      </c>
      <c r="E53">
        <v>2015</v>
      </c>
      <c r="F53">
        <v>1.6999999999999999E-3</v>
      </c>
      <c r="G53">
        <v>0.28999999999999998</v>
      </c>
      <c r="H53" s="1">
        <v>4516.7133000000003</v>
      </c>
      <c r="I53" s="2">
        <v>162.96753257730003</v>
      </c>
      <c r="J53" s="2">
        <v>2.8138000000000001</v>
      </c>
      <c r="K53">
        <v>40</v>
      </c>
      <c r="Q53" t="s">
        <v>31</v>
      </c>
      <c r="R53" t="s">
        <v>129</v>
      </c>
      <c r="S53" t="s">
        <v>130</v>
      </c>
      <c r="T53" t="s">
        <v>32</v>
      </c>
      <c r="U53" t="s">
        <v>33</v>
      </c>
      <c r="V53" t="s">
        <v>39</v>
      </c>
      <c r="X53" t="s">
        <v>35</v>
      </c>
    </row>
    <row r="54" spans="2:24" x14ac:dyDescent="0.25">
      <c r="B54" t="s">
        <v>133</v>
      </c>
      <c r="C54" t="s">
        <v>15</v>
      </c>
      <c r="D54" t="s">
        <v>13</v>
      </c>
      <c r="E54">
        <v>2009</v>
      </c>
      <c r="F54">
        <v>1.8E-3</v>
      </c>
      <c r="G54">
        <v>0.56000000000000005</v>
      </c>
      <c r="H54" s="1">
        <v>1175.5066999999999</v>
      </c>
      <c r="I54" s="2">
        <v>39.138495576499992</v>
      </c>
      <c r="J54" s="2">
        <v>5.8775000000000004</v>
      </c>
      <c r="K54">
        <v>40</v>
      </c>
      <c r="Q54" t="s">
        <v>31</v>
      </c>
      <c r="R54" t="s">
        <v>131</v>
      </c>
      <c r="S54" t="s">
        <v>132</v>
      </c>
      <c r="T54" t="s">
        <v>32</v>
      </c>
      <c r="U54" t="s">
        <v>33</v>
      </c>
      <c r="V54" t="s">
        <v>39</v>
      </c>
      <c r="X54" t="s">
        <v>35</v>
      </c>
    </row>
    <row r="55" spans="2:24" x14ac:dyDescent="0.25">
      <c r="B55" t="s">
        <v>135</v>
      </c>
      <c r="C55" t="s">
        <v>15</v>
      </c>
      <c r="D55" t="s">
        <v>13</v>
      </c>
      <c r="E55">
        <v>2015</v>
      </c>
      <c r="F55">
        <v>1.8E-3</v>
      </c>
      <c r="G55">
        <v>0.56000000000000005</v>
      </c>
      <c r="H55" s="1">
        <v>1175.5066999999999</v>
      </c>
      <c r="I55" s="2">
        <v>39.138495576499992</v>
      </c>
      <c r="J55" s="2">
        <v>5.8775000000000004</v>
      </c>
      <c r="K55">
        <v>40</v>
      </c>
      <c r="Q55" t="s">
        <v>31</v>
      </c>
      <c r="R55" t="s">
        <v>133</v>
      </c>
      <c r="S55" t="s">
        <v>134</v>
      </c>
      <c r="T55" t="s">
        <v>32</v>
      </c>
      <c r="U55" t="s">
        <v>33</v>
      </c>
      <c r="V55" t="s">
        <v>39</v>
      </c>
      <c r="X55" t="s">
        <v>35</v>
      </c>
    </row>
    <row r="56" spans="2:24" x14ac:dyDescent="0.25">
      <c r="B56" t="s">
        <v>137</v>
      </c>
      <c r="C56" t="s">
        <v>12</v>
      </c>
      <c r="D56" t="s">
        <v>13</v>
      </c>
      <c r="E56">
        <v>2022</v>
      </c>
      <c r="F56">
        <v>1.5E-3</v>
      </c>
      <c r="G56">
        <v>0.28999999999999998</v>
      </c>
      <c r="H56" s="1">
        <v>4516.7133000000003</v>
      </c>
      <c r="I56" s="2">
        <v>162.96753257730003</v>
      </c>
      <c r="J56" s="2">
        <v>2.8138000000000001</v>
      </c>
      <c r="K56">
        <v>40</v>
      </c>
      <c r="Q56" t="s">
        <v>31</v>
      </c>
      <c r="R56" t="s">
        <v>135</v>
      </c>
      <c r="S56" t="s">
        <v>136</v>
      </c>
      <c r="T56" t="s">
        <v>32</v>
      </c>
      <c r="U56" t="s">
        <v>33</v>
      </c>
      <c r="V56" t="s">
        <v>39</v>
      </c>
      <c r="X56" t="s">
        <v>35</v>
      </c>
    </row>
    <row r="57" spans="2:24" x14ac:dyDescent="0.25">
      <c r="B57" t="s">
        <v>139</v>
      </c>
      <c r="C57" t="s">
        <v>12</v>
      </c>
      <c r="D57" t="s">
        <v>13</v>
      </c>
      <c r="E57">
        <v>2013</v>
      </c>
      <c r="F57">
        <v>1.4E-3</v>
      </c>
      <c r="G57">
        <v>0.28999999999999998</v>
      </c>
      <c r="H57" s="1">
        <v>4516.7133000000003</v>
      </c>
      <c r="I57" s="2">
        <v>162.96753257730003</v>
      </c>
      <c r="J57" s="2">
        <v>2.8138000000000001</v>
      </c>
      <c r="K57">
        <v>40</v>
      </c>
      <c r="Q57" t="s">
        <v>31</v>
      </c>
      <c r="R57" t="s">
        <v>137</v>
      </c>
      <c r="S57" t="s">
        <v>138</v>
      </c>
      <c r="T57" t="s">
        <v>32</v>
      </c>
      <c r="U57" t="s">
        <v>33</v>
      </c>
      <c r="V57" t="s">
        <v>39</v>
      </c>
      <c r="X57" t="s">
        <v>35</v>
      </c>
    </row>
    <row r="58" spans="2:24" x14ac:dyDescent="0.25">
      <c r="B58" t="s">
        <v>141</v>
      </c>
      <c r="C58" t="s">
        <v>12</v>
      </c>
      <c r="D58" t="s">
        <v>13</v>
      </c>
      <c r="E58">
        <v>2016</v>
      </c>
      <c r="F58">
        <v>1.1999999999999999E-3</v>
      </c>
      <c r="G58">
        <v>0.28999999999999998</v>
      </c>
      <c r="H58" s="1">
        <v>4516.7133000000003</v>
      </c>
      <c r="I58" s="2">
        <v>162.96753257730003</v>
      </c>
      <c r="J58" s="2">
        <v>2.8138000000000001</v>
      </c>
      <c r="K58">
        <v>40</v>
      </c>
      <c r="Q58" t="s">
        <v>31</v>
      </c>
      <c r="R58" t="s">
        <v>139</v>
      </c>
      <c r="S58" t="s">
        <v>140</v>
      </c>
      <c r="T58" t="s">
        <v>32</v>
      </c>
      <c r="U58" t="s">
        <v>33</v>
      </c>
      <c r="V58" t="s">
        <v>39</v>
      </c>
      <c r="X58" t="s">
        <v>35</v>
      </c>
    </row>
    <row r="59" spans="2:24" x14ac:dyDescent="0.25">
      <c r="B59" t="s">
        <v>143</v>
      </c>
      <c r="C59" t="s">
        <v>12</v>
      </c>
      <c r="D59" t="s">
        <v>13</v>
      </c>
      <c r="E59">
        <v>2009</v>
      </c>
      <c r="F59">
        <v>1.9E-3</v>
      </c>
      <c r="G59">
        <v>0.28999999999999998</v>
      </c>
      <c r="H59" s="1">
        <v>4516.7133000000003</v>
      </c>
      <c r="I59" s="2">
        <v>162.96753257730003</v>
      </c>
      <c r="J59" s="2">
        <v>2.8138000000000001</v>
      </c>
      <c r="K59">
        <v>40</v>
      </c>
      <c r="Q59" t="s">
        <v>31</v>
      </c>
      <c r="R59" t="s">
        <v>141</v>
      </c>
      <c r="S59" t="s">
        <v>142</v>
      </c>
      <c r="T59" t="s">
        <v>32</v>
      </c>
      <c r="U59" t="s">
        <v>33</v>
      </c>
      <c r="V59" t="s">
        <v>39</v>
      </c>
      <c r="X59" t="s">
        <v>35</v>
      </c>
    </row>
    <row r="60" spans="2:24" x14ac:dyDescent="0.25">
      <c r="B60" t="s">
        <v>144</v>
      </c>
      <c r="C60" t="s">
        <v>12</v>
      </c>
      <c r="D60" t="s">
        <v>13</v>
      </c>
      <c r="E60">
        <v>2012</v>
      </c>
      <c r="F60">
        <v>8.9999999999999998E-4</v>
      </c>
      <c r="G60">
        <v>0.28999999999999998</v>
      </c>
      <c r="H60" s="1">
        <v>4516.7133000000003</v>
      </c>
      <c r="I60" s="2">
        <v>162.96753257730003</v>
      </c>
      <c r="J60" s="2">
        <v>2.8138000000000001</v>
      </c>
      <c r="K60">
        <v>40</v>
      </c>
      <c r="Q60" t="s">
        <v>31</v>
      </c>
      <c r="R60" t="s">
        <v>143</v>
      </c>
      <c r="S60" t="s">
        <v>145</v>
      </c>
      <c r="T60" t="s">
        <v>32</v>
      </c>
      <c r="U60" t="s">
        <v>33</v>
      </c>
      <c r="V60" t="s">
        <v>39</v>
      </c>
      <c r="X60" t="s">
        <v>35</v>
      </c>
    </row>
    <row r="61" spans="2:24" x14ac:dyDescent="0.25">
      <c r="B61" t="s">
        <v>147</v>
      </c>
      <c r="C61" t="s">
        <v>12</v>
      </c>
      <c r="D61" t="s">
        <v>13</v>
      </c>
      <c r="E61">
        <v>2015</v>
      </c>
      <c r="F61">
        <v>5.0000000000000001E-4</v>
      </c>
      <c r="G61">
        <v>0.28999999999999998</v>
      </c>
      <c r="H61" s="1">
        <v>4516.7133000000003</v>
      </c>
      <c r="I61" s="2">
        <v>162.96753257730003</v>
      </c>
      <c r="J61" s="2">
        <v>2.8138000000000001</v>
      </c>
      <c r="K61">
        <v>40</v>
      </c>
      <c r="Q61" t="s">
        <v>31</v>
      </c>
      <c r="R61" t="s">
        <v>144</v>
      </c>
      <c r="S61" t="s">
        <v>146</v>
      </c>
      <c r="T61" t="s">
        <v>32</v>
      </c>
      <c r="U61" t="s">
        <v>33</v>
      </c>
      <c r="V61" t="s">
        <v>39</v>
      </c>
      <c r="X61" t="s">
        <v>35</v>
      </c>
    </row>
    <row r="62" spans="2:24" x14ac:dyDescent="0.25">
      <c r="B62" t="s">
        <v>17</v>
      </c>
      <c r="C62" t="s">
        <v>18</v>
      </c>
      <c r="D62" t="s">
        <v>13</v>
      </c>
      <c r="E62">
        <v>2022</v>
      </c>
      <c r="F62">
        <v>8.0000000000000002E-3</v>
      </c>
      <c r="G62" s="3">
        <v>0.33123000000000002</v>
      </c>
      <c r="Q62" t="s">
        <v>31</v>
      </c>
      <c r="R62" t="s">
        <v>147</v>
      </c>
      <c r="S62" t="s">
        <v>174</v>
      </c>
      <c r="T62" t="s">
        <v>32</v>
      </c>
      <c r="U62" t="s">
        <v>33</v>
      </c>
      <c r="V62" t="s">
        <v>39</v>
      </c>
      <c r="X62" t="s">
        <v>35</v>
      </c>
    </row>
    <row r="63" spans="2:24" x14ac:dyDescent="0.25">
      <c r="Q63" t="s">
        <v>31</v>
      </c>
      <c r="R63" t="s">
        <v>17</v>
      </c>
      <c r="S63" t="s">
        <v>38</v>
      </c>
      <c r="T63" t="s">
        <v>32</v>
      </c>
      <c r="U63" t="s">
        <v>33</v>
      </c>
      <c r="V63" t="s">
        <v>34</v>
      </c>
      <c r="X63" t="s">
        <v>37</v>
      </c>
    </row>
    <row r="76" spans="15:19" x14ac:dyDescent="0.25">
      <c r="P76" t="s">
        <v>162</v>
      </c>
      <c r="Q76" t="s">
        <v>167</v>
      </c>
      <c r="R76" t="s">
        <v>168</v>
      </c>
      <c r="S76" t="s">
        <v>169</v>
      </c>
    </row>
    <row r="77" spans="15:19" x14ac:dyDescent="0.25">
      <c r="O77" t="s">
        <v>148</v>
      </c>
      <c r="P77" s="3">
        <v>1.31</v>
      </c>
      <c r="Q77" s="1">
        <v>4812.0244000000002</v>
      </c>
      <c r="R77">
        <v>0.33</v>
      </c>
      <c r="S77">
        <v>4.1005000000000003</v>
      </c>
    </row>
    <row r="78" spans="15:19" x14ac:dyDescent="0.25">
      <c r="O78" t="s">
        <v>165</v>
      </c>
      <c r="P78" s="3">
        <v>3.3294999999999999</v>
      </c>
      <c r="Q78" s="1">
        <v>1175.5066999999999</v>
      </c>
      <c r="R78">
        <v>0.56000000000000005</v>
      </c>
      <c r="S78">
        <v>5.8775000000000004</v>
      </c>
    </row>
    <row r="79" spans="15:19" x14ac:dyDescent="0.25">
      <c r="O79" t="s">
        <v>166</v>
      </c>
      <c r="P79" s="3"/>
      <c r="Q79" s="1"/>
    </row>
    <row r="80" spans="15:19" x14ac:dyDescent="0.25">
      <c r="O80" t="s">
        <v>163</v>
      </c>
      <c r="P80">
        <v>4.5269000000000004</v>
      </c>
      <c r="Q80" s="1">
        <v>2950.7891</v>
      </c>
      <c r="R80">
        <v>0.46800000000000003</v>
      </c>
      <c r="S80">
        <v>2.8138000000000001</v>
      </c>
    </row>
    <row r="81" spans="15:19" x14ac:dyDescent="0.25">
      <c r="O81" t="s">
        <v>164</v>
      </c>
      <c r="P81">
        <v>3.6080999999999999</v>
      </c>
      <c r="Q81" s="1">
        <v>4516.7133000000003</v>
      </c>
      <c r="R81">
        <v>0.2994</v>
      </c>
      <c r="S81">
        <v>2.8138000000000001</v>
      </c>
    </row>
    <row r="82" spans="15:19" x14ac:dyDescent="0.25">
      <c r="O82" t="s">
        <v>21</v>
      </c>
      <c r="P82" s="2">
        <v>1.5780000000000001</v>
      </c>
      <c r="Q82" s="3"/>
    </row>
    <row r="83" spans="15:19" x14ac:dyDescent="0.25">
      <c r="O83" t="s">
        <v>23</v>
      </c>
      <c r="P83" s="2">
        <v>1.2514000000000001</v>
      </c>
      <c r="Q83" s="3"/>
      <c r="S83">
        <v>2.0036999999999998</v>
      </c>
    </row>
    <row r="84" spans="15:19" x14ac:dyDescent="0.25">
      <c r="P84" s="2"/>
      <c r="Q84" s="3"/>
    </row>
    <row r="85" spans="15:19" x14ac:dyDescent="0.25">
      <c r="P85" s="2"/>
      <c r="Q85" s="3"/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ccs_retrofits</vt:lpstr>
      <vt:lpstr>new_options</vt:lpstr>
      <vt:lpstr>existing_stock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2025-09-25T11:16:12Z</dcterms:created>
  <dcterms:modified xsi:type="dcterms:W3CDTF">2026-06-11T10:57:00Z</dcterms:modified>
</cp:coreProperties>
</file>