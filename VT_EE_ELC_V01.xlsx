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threadedComments/threadedComment1.xml" ContentType="application/vnd.ms-excel.threaded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showObjects="placeholders" codeName="ThisWorkbook"/>
  <mc:AlternateContent xmlns:mc="http://schemas.openxmlformats.org/markup-compatibility/2006">
    <mc:Choice Requires="x15">
      <x15ac:absPath xmlns:x15ac="http://schemas.microsoft.com/office/spreadsheetml/2010/11/ac" url="C:\Users\Admin\PycharmProjects\ee-times\"/>
    </mc:Choice>
  </mc:AlternateContent>
  <xr:revisionPtr revIDLastSave="0" documentId="13_ncr:1_{D8ABDFE5-FEB1-4AAD-9D8D-E1F2E6BC29D9}" xr6:coauthVersionLast="47" xr6:coauthVersionMax="47" xr10:uidLastSave="{00000000-0000-0000-0000-000000000000}"/>
  <bookViews>
    <workbookView xWindow="-110" yWindow="-110" windowWidth="19420" windowHeight="11500" tabRatio="901" activeTab="5" xr2:uid="{00000000-000D-0000-FFFF-FFFF00000000}"/>
  </bookViews>
  <sheets>
    <sheet name="EB1" sheetId="133" r:id="rId1"/>
    <sheet name="Intra_areas" sheetId="150" r:id="rId2"/>
    <sheet name="Sector_Fuels_ELC" sheetId="140" r:id="rId3"/>
    <sheet name="ELC" sheetId="143" r:id="rId4"/>
    <sheet name="CHP" sheetId="151" r:id="rId5"/>
    <sheet name="Emi" sheetId="149" r:id="rId6"/>
    <sheet name="TOTCO2" sheetId="152" r:id="rId7"/>
  </sheets>
  <externalReferences>
    <externalReference r:id="rId8"/>
    <externalReference r:id="rId9"/>
  </externalReferences>
  <definedNames>
    <definedName name="FID_1">[1]AGR_Fuels!$A$2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43" l="1"/>
  <c r="K13" i="143"/>
  <c r="K14" i="143"/>
  <c r="K15" i="143"/>
  <c r="K16" i="143"/>
  <c r="K17" i="143"/>
  <c r="K18" i="143"/>
  <c r="K19" i="143"/>
  <c r="K20" i="143"/>
  <c r="K21" i="143"/>
  <c r="K22" i="143"/>
  <c r="K23" i="143"/>
  <c r="K24" i="143"/>
  <c r="K25" i="143"/>
  <c r="K26" i="143"/>
  <c r="K27" i="143"/>
  <c r="K28" i="143"/>
  <c r="K29" i="143"/>
  <c r="K30" i="143"/>
  <c r="K31" i="143"/>
  <c r="K32" i="143"/>
  <c r="K33" i="143"/>
  <c r="K34" i="143"/>
  <c r="K35" i="143"/>
  <c r="K36" i="143"/>
  <c r="K37" i="143"/>
  <c r="K38" i="143"/>
  <c r="K39" i="143"/>
  <c r="K40" i="143"/>
  <c r="K41" i="143"/>
  <c r="K42" i="143"/>
  <c r="K43" i="143"/>
  <c r="K44" i="143"/>
  <c r="K45" i="143"/>
  <c r="K46" i="143"/>
  <c r="K47" i="143"/>
  <c r="K48" i="143"/>
  <c r="K12" i="143"/>
  <c r="F12" i="152"/>
  <c r="D12" i="152"/>
  <c r="S12" i="151" l="1"/>
  <c r="B36" i="140" l="1"/>
  <c r="D36" i="140"/>
  <c r="C36" i="140" s="1"/>
  <c r="G6" i="149" l="1"/>
  <c r="F6" i="149"/>
  <c r="D13" i="151" l="1"/>
  <c r="D14" i="151"/>
  <c r="D15" i="151"/>
  <c r="D16" i="151"/>
  <c r="D17" i="151"/>
  <c r="D18" i="151"/>
  <c r="D19" i="151"/>
  <c r="D20" i="151"/>
  <c r="D21" i="151"/>
  <c r="D22" i="151"/>
  <c r="D23" i="151"/>
  <c r="D24" i="151"/>
  <c r="D12" i="151"/>
  <c r="D48" i="143"/>
  <c r="D47" i="143"/>
  <c r="D43" i="143"/>
  <c r="D44" i="143"/>
  <c r="D45" i="143"/>
  <c r="D46" i="143"/>
  <c r="D42" i="143"/>
  <c r="D39" i="143" l="1"/>
  <c r="D40" i="143"/>
  <c r="D41" i="143"/>
  <c r="D38" i="143"/>
  <c r="L33" i="140" l="1"/>
  <c r="M33" i="140"/>
  <c r="N33" i="140"/>
  <c r="O33" i="140"/>
  <c r="F11" i="151"/>
  <c r="E11" i="151"/>
  <c r="G2" i="151"/>
  <c r="E2" i="151"/>
  <c r="C2" i="151"/>
  <c r="B2" i="151"/>
  <c r="D37" i="143"/>
  <c r="D35" i="140"/>
  <c r="C35" i="140" s="1"/>
  <c r="C24" i="151" l="1"/>
  <c r="C21" i="151"/>
  <c r="C20" i="151"/>
  <c r="C19" i="151"/>
  <c r="C18" i="151"/>
  <c r="C13" i="151"/>
  <c r="C17" i="151"/>
  <c r="C16" i="151"/>
  <c r="C15" i="151"/>
  <c r="C14" i="151"/>
  <c r="C12" i="151"/>
  <c r="C22" i="151"/>
  <c r="C23" i="151"/>
  <c r="S19" i="151"/>
  <c r="S13" i="151"/>
  <c r="S18" i="151"/>
  <c r="S24" i="151"/>
  <c r="S17" i="151"/>
  <c r="S23" i="151"/>
  <c r="S14" i="151"/>
  <c r="S22" i="151"/>
  <c r="S21" i="151"/>
  <c r="S16" i="151"/>
  <c r="S20" i="151"/>
  <c r="S15" i="151"/>
  <c r="K11" i="151"/>
  <c r="I11" i="151"/>
  <c r="J11" i="151"/>
  <c r="L32" i="140"/>
  <c r="B35" i="140" s="1"/>
  <c r="M32" i="140"/>
  <c r="T14" i="151" l="1"/>
  <c r="B14" i="151"/>
  <c r="T19" i="151"/>
  <c r="B19" i="151"/>
  <c r="T15" i="151"/>
  <c r="B15" i="151"/>
  <c r="T17" i="151"/>
  <c r="B17" i="151"/>
  <c r="T24" i="151"/>
  <c r="B24" i="151"/>
  <c r="T22" i="151"/>
  <c r="B22" i="151"/>
  <c r="T12" i="151"/>
  <c r="B12" i="151"/>
  <c r="T16" i="151"/>
  <c r="B16" i="151"/>
  <c r="T23" i="151"/>
  <c r="B23" i="151"/>
  <c r="T18" i="151"/>
  <c r="B18" i="151"/>
  <c r="T20" i="151"/>
  <c r="B20" i="151"/>
  <c r="T21" i="151"/>
  <c r="B21" i="151"/>
  <c r="T13" i="151"/>
  <c r="B13" i="151"/>
  <c r="D28" i="143" l="1"/>
  <c r="D29" i="143"/>
  <c r="D30" i="143"/>
  <c r="D31" i="143"/>
  <c r="D32" i="143"/>
  <c r="D33" i="143"/>
  <c r="D34" i="143"/>
  <c r="D35" i="143"/>
  <c r="D36" i="143"/>
  <c r="D33" i="140" l="1"/>
  <c r="B32" i="140"/>
  <c r="D32" i="140"/>
  <c r="L30" i="140"/>
  <c r="B33" i="140" s="1"/>
  <c r="M30" i="140"/>
  <c r="L29" i="140"/>
  <c r="M29" i="140"/>
  <c r="D22" i="143"/>
  <c r="D23" i="143"/>
  <c r="D24" i="143"/>
  <c r="D25" i="143"/>
  <c r="D26" i="143"/>
  <c r="D27" i="143"/>
  <c r="H11" i="143"/>
  <c r="D13" i="143"/>
  <c r="D14" i="143"/>
  <c r="D15" i="143"/>
  <c r="D16" i="143"/>
  <c r="D17" i="143"/>
  <c r="D18" i="143"/>
  <c r="D19" i="143"/>
  <c r="D20" i="143"/>
  <c r="D21" i="143"/>
  <c r="F11" i="143" l="1"/>
  <c r="E11" i="143"/>
  <c r="T12" i="143"/>
  <c r="G9" i="133"/>
  <c r="M9" i="133"/>
  <c r="N9" i="133"/>
  <c r="AA12" i="143"/>
  <c r="C2" i="140"/>
  <c r="M9" i="140" s="1"/>
  <c r="M26" i="140" s="1"/>
  <c r="B2" i="140"/>
  <c r="L10" i="140" s="1"/>
  <c r="C27" i="140"/>
  <c r="C26" i="140"/>
  <c r="C25" i="140"/>
  <c r="C24" i="140"/>
  <c r="G11" i="143"/>
  <c r="Z6" i="143"/>
  <c r="G2" i="143"/>
  <c r="C2" i="143"/>
  <c r="Y6" i="143" s="1"/>
  <c r="B2" i="143"/>
  <c r="Y5" i="143"/>
  <c r="F2" i="140"/>
  <c r="F21" i="140" s="1"/>
  <c r="E2" i="140"/>
  <c r="L9" i="133"/>
  <c r="P9" i="133"/>
  <c r="W9" i="133"/>
  <c r="K9" i="133"/>
  <c r="E25" i="140"/>
  <c r="T9" i="133"/>
  <c r="F9" i="133"/>
  <c r="H9" i="133"/>
  <c r="U9" i="133"/>
  <c r="I9" i="133"/>
  <c r="V9" i="133"/>
  <c r="D9" i="133"/>
  <c r="L5" i="140"/>
  <c r="E9" i="133"/>
  <c r="J9" i="133"/>
  <c r="X29" i="143" l="1"/>
  <c r="X48" i="143"/>
  <c r="X30" i="143"/>
  <c r="C48" i="143"/>
  <c r="X31" i="143"/>
  <c r="X35" i="143"/>
  <c r="X36" i="143"/>
  <c r="X32" i="143"/>
  <c r="X33" i="143"/>
  <c r="X34" i="143"/>
  <c r="X28" i="143"/>
  <c r="X43" i="143"/>
  <c r="C44" i="143"/>
  <c r="C43" i="143"/>
  <c r="X46" i="143"/>
  <c r="C47" i="143"/>
  <c r="X42" i="143"/>
  <c r="C45" i="143"/>
  <c r="C42" i="143"/>
  <c r="X47" i="143"/>
  <c r="X45" i="143"/>
  <c r="C46" i="143"/>
  <c r="X44" i="143"/>
  <c r="C39" i="143"/>
  <c r="C40" i="143"/>
  <c r="C41" i="143"/>
  <c r="C38" i="143"/>
  <c r="X41" i="143"/>
  <c r="X40" i="143"/>
  <c r="Y40" i="143" s="1"/>
  <c r="X39" i="143"/>
  <c r="X38" i="143"/>
  <c r="B38" i="143" s="1"/>
  <c r="X37" i="143"/>
  <c r="Y37" i="143" s="1"/>
  <c r="C37" i="143"/>
  <c r="C6" i="149"/>
  <c r="Y38" i="143"/>
  <c r="N32" i="140"/>
  <c r="O32" i="140"/>
  <c r="C29" i="143"/>
  <c r="C31" i="143"/>
  <c r="C32" i="143"/>
  <c r="C33" i="143"/>
  <c r="C34" i="143"/>
  <c r="C35" i="143"/>
  <c r="C36" i="143"/>
  <c r="C28" i="143"/>
  <c r="C30" i="143"/>
  <c r="N11" i="143"/>
  <c r="N29" i="140"/>
  <c r="O29" i="140"/>
  <c r="N31" i="140"/>
  <c r="O31" i="140"/>
  <c r="N30" i="140"/>
  <c r="O30" i="140"/>
  <c r="E27" i="140"/>
  <c r="X9" i="133"/>
  <c r="Q9" i="133"/>
  <c r="O9" i="133"/>
  <c r="M10" i="140"/>
  <c r="M27" i="140" s="1"/>
  <c r="M6" i="140"/>
  <c r="M23" i="140" s="1"/>
  <c r="M5" i="140"/>
  <c r="M22" i="140" s="1"/>
  <c r="M8" i="140"/>
  <c r="M25" i="140" s="1"/>
  <c r="L8" i="140"/>
  <c r="L11" i="140"/>
  <c r="L28" i="140" s="1"/>
  <c r="L7" i="140"/>
  <c r="L6" i="140"/>
  <c r="L9" i="140"/>
  <c r="L14" i="140"/>
  <c r="L27" i="140"/>
  <c r="B30" i="140" s="1"/>
  <c r="D30" i="140"/>
  <c r="C30" i="140" s="1"/>
  <c r="O23" i="140"/>
  <c r="O22" i="140"/>
  <c r="N11" i="140"/>
  <c r="O26" i="140"/>
  <c r="N27" i="140"/>
  <c r="N28" i="140"/>
  <c r="D22" i="140"/>
  <c r="C22" i="140" s="1"/>
  <c r="L22" i="140"/>
  <c r="B22" i="140" s="1"/>
  <c r="N6" i="140"/>
  <c r="O25" i="140"/>
  <c r="M11" i="143"/>
  <c r="X12" i="143"/>
  <c r="Y12" i="143" s="1"/>
  <c r="M11" i="140"/>
  <c r="M28" i="140" s="1"/>
  <c r="M14" i="140"/>
  <c r="M31" i="140" s="1"/>
  <c r="N14" i="140"/>
  <c r="N24" i="140"/>
  <c r="N7" i="140"/>
  <c r="N8" i="140"/>
  <c r="D12" i="143"/>
  <c r="N23" i="140"/>
  <c r="O24" i="140"/>
  <c r="O28" i="140"/>
  <c r="O27" i="140"/>
  <c r="N5" i="140"/>
  <c r="C12" i="143"/>
  <c r="E24" i="140"/>
  <c r="X6" i="143"/>
  <c r="B8" i="149" s="1"/>
  <c r="E26" i="140"/>
  <c r="N9" i="140"/>
  <c r="N10" i="140"/>
  <c r="N22" i="140"/>
  <c r="N26" i="140"/>
  <c r="M7" i="140"/>
  <c r="M24" i="140" s="1"/>
  <c r="N25" i="140"/>
  <c r="Y48" i="143" l="1"/>
  <c r="B48" i="143"/>
  <c r="Y44" i="143"/>
  <c r="B44" i="143"/>
  <c r="Y45" i="143"/>
  <c r="B45" i="143"/>
  <c r="B47" i="143"/>
  <c r="Y47" i="143"/>
  <c r="B42" i="143"/>
  <c r="Y42" i="143"/>
  <c r="Y46" i="143"/>
  <c r="B46" i="143"/>
  <c r="B43" i="143"/>
  <c r="Y43" i="143"/>
  <c r="B39" i="143"/>
  <c r="Y39" i="143"/>
  <c r="B40" i="143"/>
  <c r="B37" i="143"/>
  <c r="Y41" i="143"/>
  <c r="B41" i="143"/>
  <c r="C20" i="143"/>
  <c r="D34" i="140"/>
  <c r="C34" i="140" s="1"/>
  <c r="L31" i="140"/>
  <c r="B34" i="140" s="1"/>
  <c r="X13" i="143"/>
  <c r="Y13" i="143" s="1"/>
  <c r="C16" i="143"/>
  <c r="C17" i="143"/>
  <c r="C18" i="143"/>
  <c r="C19" i="143"/>
  <c r="C23" i="143"/>
  <c r="X17" i="143"/>
  <c r="Y17" i="143" s="1"/>
  <c r="C22" i="143"/>
  <c r="X18" i="143"/>
  <c r="Y18" i="143" s="1"/>
  <c r="X19" i="143"/>
  <c r="Y19" i="143" s="1"/>
  <c r="X20" i="143"/>
  <c r="Y20" i="143" s="1"/>
  <c r="X22" i="143"/>
  <c r="Y22" i="143" s="1"/>
  <c r="X23" i="143"/>
  <c r="Y23" i="143" s="1"/>
  <c r="X25" i="143"/>
  <c r="Y25" i="143" s="1"/>
  <c r="C27" i="143"/>
  <c r="X16" i="143"/>
  <c r="Y16" i="143" s="1"/>
  <c r="X21" i="143"/>
  <c r="Y21" i="143" s="1"/>
  <c r="X27" i="143"/>
  <c r="C24" i="143"/>
  <c r="X26" i="143"/>
  <c r="Y26" i="143" s="1"/>
  <c r="X24" i="143"/>
  <c r="Y24" i="143" s="1"/>
  <c r="C26" i="143"/>
  <c r="X14" i="143"/>
  <c r="Y14" i="143" s="1"/>
  <c r="C25" i="143"/>
  <c r="X15" i="143"/>
  <c r="Y15" i="143" s="1"/>
  <c r="C21" i="143"/>
  <c r="C13" i="143"/>
  <c r="C14" i="143"/>
  <c r="C15" i="143"/>
  <c r="L25" i="140"/>
  <c r="B28" i="140" s="1"/>
  <c r="D28" i="140"/>
  <c r="C28" i="140" s="1"/>
  <c r="D31" i="140"/>
  <c r="C31" i="140" s="1"/>
  <c r="E6" i="149"/>
  <c r="D24" i="140"/>
  <c r="L24" i="140"/>
  <c r="B24" i="140" s="1"/>
  <c r="L26" i="140"/>
  <c r="B29" i="140" s="1"/>
  <c r="D29" i="140"/>
  <c r="C29" i="140" s="1"/>
  <c r="B31" i="140"/>
  <c r="L23" i="140"/>
  <c r="B23" i="140" s="1"/>
  <c r="D6" i="149"/>
  <c r="D23" i="140"/>
  <c r="C23" i="140" s="1"/>
  <c r="B12" i="143"/>
  <c r="B36" i="143" l="1"/>
  <c r="Y36" i="143"/>
  <c r="B34" i="143"/>
  <c r="Y34" i="143"/>
  <c r="B35" i="143"/>
  <c r="Y35" i="143"/>
  <c r="B31" i="143"/>
  <c r="Y31" i="143"/>
  <c r="B32" i="143"/>
  <c r="Y32" i="143"/>
  <c r="B29" i="143"/>
  <c r="Y29" i="143"/>
  <c r="B33" i="143"/>
  <c r="Y33" i="143"/>
  <c r="Y30" i="143"/>
  <c r="B30" i="143"/>
  <c r="B28" i="143"/>
  <c r="Y28" i="143"/>
  <c r="B13" i="143"/>
  <c r="B27" i="143"/>
  <c r="Y27" i="143"/>
  <c r="B19" i="143"/>
  <c r="B21" i="143"/>
  <c r="B24" i="143"/>
  <c r="B18" i="143"/>
  <c r="B16" i="143"/>
  <c r="B26" i="143"/>
  <c r="B15" i="143"/>
  <c r="B17" i="143"/>
  <c r="B25" i="143"/>
  <c r="B23" i="143"/>
  <c r="B22" i="143"/>
  <c r="B20" i="143"/>
  <c r="B14" i="14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J3" authorId="0" shapeId="0" xr:uid="{00000000-0006-0000-02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O3" authorId="1" shapeId="0" xr:uid="{00000000-0006-0000-02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P3" authorId="2" shapeId="0" xr:uid="{00000000-0006-0000-02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3" authorId="2" shapeId="0" xr:uid="{00000000-0006-0000-02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R3" authorId="2" shapeId="0" xr:uid="{00000000-0006-0000-02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P19" authorId="2" shapeId="0" xr:uid="{00000000-0006-0000-0200-000006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19" authorId="1" shapeId="0" xr:uid="{00000000-0006-0000-02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R19" authorId="2" shapeId="0" xr:uid="{00000000-0006-0000-02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J20" authorId="2" shapeId="0" xr:uid="{00000000-0006-0000-0200-000009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  <author>Kristopher Raik</author>
  </authors>
  <commentList>
    <comment ref="V3" authorId="0" shapeId="0" xr:uid="{00000000-0006-0000-03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AA3" authorId="1" shapeId="0" xr:uid="{00000000-0006-0000-03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AB3" authorId="2" shapeId="0" xr:uid="{00000000-0006-0000-03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AC3" authorId="2" shapeId="0" xr:uid="{00000000-0006-0000-03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AD3" authorId="2" shapeId="0" xr:uid="{00000000-0006-0000-03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G9" authorId="3" shapeId="0" xr:uid="{4CC104A8-D70F-4C07-9649-7404261279B2}">
      <text>
        <r>
          <rPr>
            <b/>
            <sz val="9"/>
            <color indexed="81"/>
            <rFont val="Tahoma"/>
            <family val="2"/>
            <charset val="186"/>
          </rPr>
          <t>Kristopher Raik:</t>
        </r>
        <r>
          <rPr>
            <sz val="9"/>
            <color indexed="81"/>
            <rFont val="Tahoma"/>
            <family val="2"/>
            <charset val="186"/>
          </rPr>
          <t xml:space="preserve">
use PASTI (2024) is constant over technical life</t>
        </r>
      </text>
    </comment>
    <comment ref="AB9" authorId="2" shapeId="0" xr:uid="{00000000-0006-0000-0300-000006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AC9" authorId="1" shapeId="0" xr:uid="{00000000-0006-0000-03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AD9" authorId="2" shapeId="0" xr:uid="{00000000-0006-0000-03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V10" authorId="2" shapeId="0" xr:uid="{00000000-0006-0000-0300-000009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  <comment ref="I12" authorId="3" shapeId="0" xr:uid="{49F8970F-654D-4377-A47F-D4881BFD24ED}">
      <text>
        <r>
          <rPr>
            <b/>
            <sz val="9"/>
            <color indexed="81"/>
            <rFont val="Tahoma"/>
            <family val="2"/>
            <charset val="186"/>
          </rPr>
          <t>Kristopher Raik:</t>
        </r>
        <r>
          <rPr>
            <sz val="9"/>
            <color indexed="81"/>
            <rFont val="Tahoma"/>
            <family val="2"/>
            <charset val="186"/>
          </rPr>
          <t xml:space="preserve">
Variable == 2 means that. So new capacity = 0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Amit Kanudia</author>
  </authors>
  <commentList>
    <comment ref="W9" authorId="0" shapeId="0" xr:uid="{8D31B832-0A34-455E-8E68-4081B61E92A5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X9" authorId="1" shapeId="0" xr:uid="{5C55A955-88D5-4297-B97A-C5CCA6A69957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Y9" authorId="0" shapeId="0" xr:uid="{B59FE625-F08C-45E7-A39D-3E0EAFD7A7B5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Q10" authorId="0" shapeId="0" xr:uid="{89AF1D2E-C150-43C7-A482-2EB853D30173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tc={93CDE302-2DCC-4595-B2D6-E3674F8196EC}</author>
  </authors>
  <commentList>
    <comment ref="G8" authorId="0" shapeId="0" xr:uid="{93CDE302-2DCC-4595-B2D6-E3674F8196EC}">
      <text>
        <t>[Threaded comment]
Your version of Excel allows you to read this threaded comment; however, any edits to it will get removed if the file is opened in a newer version of Excel. Learn more: https://go.microsoft.com/fwlink/?linkid=870924
Comment:
    Kliimaarvestus 45% of ~92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B10" authorId="0" shapeId="0" xr:uid="{B80C0A32-9BAB-467C-A52E-A3D5F8071DF6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G10" authorId="1" shapeId="0" xr:uid="{1BF15F39-25A1-4915-939C-3CD63DDA4131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H10" authorId="2" shapeId="0" xr:uid="{6AEF663A-72C5-451F-846F-204EA9232134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10" authorId="2" shapeId="0" xr:uid="{C47A33E3-F10F-41FB-8D28-B632D3DFA5DE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J10" authorId="2" shapeId="0" xr:uid="{821CB189-F643-4165-98CA-7DAA1583205B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</commentList>
</comments>
</file>

<file path=xl/sharedStrings.xml><?xml version="1.0" encoding="utf-8"?>
<sst xmlns="http://schemas.openxmlformats.org/spreadsheetml/2006/main" count="616" uniqueCount="211">
  <si>
    <t>CommName</t>
  </si>
  <si>
    <t>TechName</t>
  </si>
  <si>
    <t>TechDesc</t>
  </si>
  <si>
    <t>CommDesc</t>
  </si>
  <si>
    <t>Unit</t>
  </si>
  <si>
    <t>Comm-IN</t>
  </si>
  <si>
    <t>Comm-OUT</t>
  </si>
  <si>
    <t>Csets</t>
  </si>
  <si>
    <t>LimType</t>
  </si>
  <si>
    <t>CTSLvl</t>
  </si>
  <si>
    <t>PeakTS</t>
  </si>
  <si>
    <t>Sets</t>
  </si>
  <si>
    <t>Ctype</t>
  </si>
  <si>
    <t>~FI_T</t>
  </si>
  <si>
    <t>~FI_Comm</t>
  </si>
  <si>
    <t>~FI_Process</t>
  </si>
  <si>
    <t>Tact</t>
  </si>
  <si>
    <t>Tcap</t>
  </si>
  <si>
    <t>Tslvl</t>
  </si>
  <si>
    <t>PrimaryCG</t>
  </si>
  <si>
    <t>Vintage</t>
  </si>
  <si>
    <t>Technology Name</t>
  </si>
  <si>
    <t>Technology Description</t>
  </si>
  <si>
    <t>Activity Unit</t>
  </si>
  <si>
    <t>Capacity Unit</t>
  </si>
  <si>
    <t>Vintage Tracking</t>
  </si>
  <si>
    <t>Commodity Name</t>
  </si>
  <si>
    <t>Commodity Description</t>
  </si>
  <si>
    <t>Peak Monitoring</t>
  </si>
  <si>
    <t>Electricity Indicator</t>
  </si>
  <si>
    <t>Region</t>
  </si>
  <si>
    <t>Region Name</t>
  </si>
  <si>
    <t>Input Commodity</t>
  </si>
  <si>
    <t>Output Commodity</t>
  </si>
  <si>
    <t>Existing Installed Capacity</t>
  </si>
  <si>
    <t>*Commodity Set Membership</t>
  </si>
  <si>
    <t>*Process Set Membership</t>
  </si>
  <si>
    <t>*Technology Name</t>
  </si>
  <si>
    <t>Sense of the Balance EQN.</t>
  </si>
  <si>
    <t>Timeslice Level</t>
  </si>
  <si>
    <t>Primary Commodity Group</t>
  </si>
  <si>
    <t>TimeSlice level of Process Activity</t>
  </si>
  <si>
    <t>COA</t>
  </si>
  <si>
    <t>GAS</t>
  </si>
  <si>
    <t>OIL</t>
  </si>
  <si>
    <t>NUC</t>
  </si>
  <si>
    <t>SLU</t>
  </si>
  <si>
    <t>HET</t>
  </si>
  <si>
    <t>ELC</t>
  </si>
  <si>
    <t>Solid Fuels</t>
  </si>
  <si>
    <t>Natural Gas</t>
  </si>
  <si>
    <t>Nuclear Energy</t>
  </si>
  <si>
    <t>Industrial Wastes</t>
  </si>
  <si>
    <t>Derived Heat</t>
  </si>
  <si>
    <t>Total</t>
  </si>
  <si>
    <t>CONVERSION</t>
  </si>
  <si>
    <t>ESC</t>
  </si>
  <si>
    <t>Energy Sector Consumption</t>
  </si>
  <si>
    <t>Electricity Plants</t>
  </si>
  <si>
    <t>HPL</t>
  </si>
  <si>
    <t>Heat Plants</t>
  </si>
  <si>
    <t>REF</t>
  </si>
  <si>
    <t>Petroleum Refineries</t>
  </si>
  <si>
    <t>Total Conversion</t>
  </si>
  <si>
    <t>NRG</t>
  </si>
  <si>
    <t>Sector Name</t>
  </si>
  <si>
    <t>Commodity</t>
  </si>
  <si>
    <t>Description</t>
  </si>
  <si>
    <t>PJ</t>
  </si>
  <si>
    <t>Currency Unit</t>
  </si>
  <si>
    <t>LIFE</t>
  </si>
  <si>
    <t>*</t>
  </si>
  <si>
    <t>FIXOM</t>
  </si>
  <si>
    <t>EFF</t>
  </si>
  <si>
    <t>Electricity</t>
  </si>
  <si>
    <t>Efficiency</t>
  </si>
  <si>
    <t>*Units</t>
  </si>
  <si>
    <t>Years</t>
  </si>
  <si>
    <t>Default Units</t>
  </si>
  <si>
    <t>Currency</t>
  </si>
  <si>
    <t>Activity</t>
  </si>
  <si>
    <t>Fixed O&amp;M Cost</t>
  </si>
  <si>
    <t>Utilisation Factor</t>
  </si>
  <si>
    <t>Existing</t>
  </si>
  <si>
    <t>E</t>
  </si>
  <si>
    <t>N</t>
  </si>
  <si>
    <t>Emissions</t>
  </si>
  <si>
    <t>kt</t>
  </si>
  <si>
    <t>ENV</t>
  </si>
  <si>
    <t>CO2</t>
  </si>
  <si>
    <t>Nox</t>
  </si>
  <si>
    <t>VOC</t>
  </si>
  <si>
    <t>Carbon dioxide</t>
  </si>
  <si>
    <t>NOX</t>
  </si>
  <si>
    <t>Sector Fuel</t>
  </si>
  <si>
    <t>PRE</t>
  </si>
  <si>
    <t>Deafult unit</t>
  </si>
  <si>
    <t>Type</t>
  </si>
  <si>
    <t>Emission by sector</t>
  </si>
  <si>
    <t>Capacity unit</t>
  </si>
  <si>
    <t>Power Plants</t>
  </si>
  <si>
    <t>GW</t>
  </si>
  <si>
    <t>ELE</t>
  </si>
  <si>
    <t>VAROM</t>
  </si>
  <si>
    <t>Total Production</t>
  </si>
  <si>
    <t>Variable O&amp;M Cost</t>
  </si>
  <si>
    <t>Capacity to Activity Factor</t>
  </si>
  <si>
    <t>Power Plant Type</t>
  </si>
  <si>
    <t>CHP</t>
  </si>
  <si>
    <t>Renewable</t>
  </si>
  <si>
    <t>R</t>
  </si>
  <si>
    <t>C</t>
  </si>
  <si>
    <t>T</t>
  </si>
  <si>
    <t>Code</t>
  </si>
  <si>
    <t>Thermal</t>
  </si>
  <si>
    <t>CALIBRATION</t>
  </si>
  <si>
    <t>DAYNITE</t>
  </si>
  <si>
    <t>Peak</t>
  </si>
  <si>
    <t>% contribution to PEAK</t>
  </si>
  <si>
    <t>Retirement Capacity</t>
  </si>
  <si>
    <t>REG1</t>
  </si>
  <si>
    <t>Nuclear</t>
  </si>
  <si>
    <t>STOCK</t>
  </si>
  <si>
    <t>Crude oil</t>
  </si>
  <si>
    <t>DSL</t>
  </si>
  <si>
    <t>KER</t>
  </si>
  <si>
    <t>LPG</t>
  </si>
  <si>
    <t>GSL</t>
  </si>
  <si>
    <t>NAP</t>
  </si>
  <si>
    <t>HFO</t>
  </si>
  <si>
    <t>OPP</t>
  </si>
  <si>
    <t>Heavy Fuel Oil</t>
  </si>
  <si>
    <t>Other Petroleum Products</t>
  </si>
  <si>
    <t>Kerosenes</t>
  </si>
  <si>
    <t>Motor spirit</t>
  </si>
  <si>
    <t>Naphtha</t>
  </si>
  <si>
    <t>Diesel oil</t>
  </si>
  <si>
    <t>~COMEMI</t>
  </si>
  <si>
    <t>Input Share</t>
  </si>
  <si>
    <t>Share-I~UP</t>
  </si>
  <si>
    <t>Data used in the template to buld the model</t>
  </si>
  <si>
    <t>kt/PJ</t>
  </si>
  <si>
    <t>User inputs</t>
  </si>
  <si>
    <t>Linked to the Energy Balance</t>
  </si>
  <si>
    <t>STOCK~2030</t>
  </si>
  <si>
    <t>Dynamic coefficients for combustion emissions in power sector</t>
  </si>
  <si>
    <t>TOT</t>
  </si>
  <si>
    <t>HYD</t>
  </si>
  <si>
    <t>Hydro power</t>
  </si>
  <si>
    <t>Wind energy</t>
  </si>
  <si>
    <t>Solar energy</t>
  </si>
  <si>
    <t>BIO</t>
  </si>
  <si>
    <t>WIN</t>
  </si>
  <si>
    <t>SOL</t>
  </si>
  <si>
    <t>Biomass</t>
  </si>
  <si>
    <t>Lifetime</t>
  </si>
  <si>
    <t>CAP2ACT</t>
  </si>
  <si>
    <t>INVCOST</t>
  </si>
  <si>
    <t>Invesctment Cost</t>
  </si>
  <si>
    <t>PASTI~1960</t>
  </si>
  <si>
    <t>PASTI~1980</t>
  </si>
  <si>
    <t>Past Investment Capacity</t>
  </si>
  <si>
    <t>AFA</t>
  </si>
  <si>
    <t>PARNU</t>
  </si>
  <si>
    <t>TARTU</t>
  </si>
  <si>
    <t>LVIRU</t>
  </si>
  <si>
    <t>IVIRU</t>
  </si>
  <si>
    <t>JARVA</t>
  </si>
  <si>
    <t>JOGEVA</t>
  </si>
  <si>
    <t>POLVA</t>
  </si>
  <si>
    <t>VALGA</t>
  </si>
  <si>
    <t>VILJANDI</t>
  </si>
  <si>
    <t>Solar</t>
  </si>
  <si>
    <t>VORU</t>
  </si>
  <si>
    <t>SAARE</t>
  </si>
  <si>
    <t>RAPLA</t>
  </si>
  <si>
    <t>LAANE</t>
  </si>
  <si>
    <t>HIIU</t>
  </si>
  <si>
    <t>HARJU</t>
  </si>
  <si>
    <t>M€2025</t>
  </si>
  <si>
    <t>TWh</t>
  </si>
  <si>
    <t>Windon</t>
  </si>
  <si>
    <t>SOPIPURTSE</t>
  </si>
  <si>
    <t>OTHER</t>
  </si>
  <si>
    <t>SOPITOOTSI</t>
  </si>
  <si>
    <t>ELCWON</t>
  </si>
  <si>
    <t>Electricity Plants Wind Offshore energy</t>
  </si>
  <si>
    <t>Electricity Plants Wind Onshore energy</t>
  </si>
  <si>
    <t>ELCWOF</t>
  </si>
  <si>
    <t>Wind onshore energy</t>
  </si>
  <si>
    <t>Wind offshore energy</t>
  </si>
  <si>
    <t>ELCMSW</t>
  </si>
  <si>
    <t>Electricity Plants Municipal Waste</t>
  </si>
  <si>
    <t>TWh/GW</t>
  </si>
  <si>
    <t>ELCSHL</t>
  </si>
  <si>
    <t>Electricity Plants Oil Shale</t>
  </si>
  <si>
    <t>~COMAGG</t>
  </si>
  <si>
    <t>AGRCO2</t>
  </si>
  <si>
    <t>COMCO2</t>
  </si>
  <si>
    <t>RSDCO2</t>
  </si>
  <si>
    <t>ELCCO2</t>
  </si>
  <si>
    <t>TRACO2</t>
  </si>
  <si>
    <t>INDCO2</t>
  </si>
  <si>
    <t>TOTCO2</t>
  </si>
  <si>
    <t>Total CO2</t>
  </si>
  <si>
    <t>NCAP_BND~0</t>
  </si>
  <si>
    <t>TWh2PJ</t>
  </si>
  <si>
    <t>Efficiency TWh -&gt; PJ</t>
  </si>
  <si>
    <t>EFF TWh</t>
  </si>
  <si>
    <t>M€2025/TWh</t>
  </si>
  <si>
    <t>PASTI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</si>
</sst>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0.000"/>
    <numFmt numFmtId="165" formatCode="General_)"/>
    <numFmt numFmtId="166" formatCode="0.0"/>
    <numFmt numFmtId="167" formatCode="0.0000"/>
    <numFmt numFmtId="168" formatCode="\Te\x\t"/>
  </numFmts>
  <fonts count="30" x14ac:knownFonts="1">
    <font>
      <sz val="10"/>
      <name val="Arial"/>
    </font>
    <font>
      <sz val="10"/>
      <name val="Arial"/>
      <family val="2"/>
      <charset val="186"/>
    </font>
    <font>
      <sz val="10"/>
      <name val="Courier"/>
      <family val="3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9"/>
      <name val="Arial"/>
      <family val="2"/>
    </font>
    <font>
      <sz val="9"/>
      <name val="Arial"/>
      <family val="2"/>
    </font>
    <font>
      <sz val="14"/>
      <color indexed="9"/>
      <name val="Arial"/>
      <family val="2"/>
    </font>
    <font>
      <sz val="10"/>
      <name val="Arial"/>
      <family val="2"/>
    </font>
    <font>
      <sz val="10"/>
      <name val="Arial"/>
      <family val="2"/>
      <charset val="186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color theme="1"/>
      <name val="Arial"/>
      <family val="2"/>
    </font>
    <font>
      <b/>
      <sz val="10"/>
      <color rgb="FFFF0000"/>
      <name val="Arial"/>
      <family val="2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9" tint="-0.249977111117893"/>
      <name val="Arial"/>
      <family val="2"/>
    </font>
    <font>
      <sz val="18"/>
      <color theme="0"/>
      <name val="Calibri"/>
      <family val="2"/>
      <scheme val="minor"/>
    </font>
    <font>
      <sz val="9"/>
      <color indexed="81"/>
      <name val="Tahoma"/>
      <family val="2"/>
      <charset val="186"/>
    </font>
    <font>
      <b/>
      <sz val="9"/>
      <color indexed="81"/>
      <name val="Tahoma"/>
      <family val="2"/>
      <charset val="186"/>
    </font>
  </fonts>
  <fills count="1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5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7F7F7F"/>
      </right>
      <top style="thin">
        <color indexed="64"/>
      </top>
      <bottom style="thin">
        <color indexed="64"/>
      </bottom>
      <diagonal/>
    </border>
  </borders>
  <cellStyleXfs count="31">
    <xf numFmtId="0" fontId="0" fillId="0" borderId="0"/>
    <xf numFmtId="0" fontId="13" fillId="4" borderId="0" applyNumberFormat="0" applyBorder="0" applyAlignment="0" applyProtection="0"/>
    <xf numFmtId="0" fontId="13" fillId="5" borderId="0" applyNumberFormat="0" applyBorder="0" applyAlignment="0" applyProtection="0"/>
    <xf numFmtId="0" fontId="14" fillId="6" borderId="0" applyNumberFormat="0" applyBorder="0" applyAlignment="0" applyProtection="0"/>
    <xf numFmtId="0" fontId="15" fillId="7" borderId="16" applyNumberFormat="0" applyAlignment="0" applyProtection="0"/>
    <xf numFmtId="43" fontId="13" fillId="0" borderId="0" applyFont="0" applyFill="0" applyBorder="0" applyAlignment="0" applyProtection="0"/>
    <xf numFmtId="0" fontId="16" fillId="8" borderId="0" applyNumberFormat="0" applyBorder="0" applyAlignment="0" applyProtection="0"/>
    <xf numFmtId="0" fontId="17" fillId="9" borderId="16" applyNumberFormat="0" applyAlignment="0" applyProtection="0"/>
    <xf numFmtId="0" fontId="18" fillId="10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4" fillId="0" borderId="0"/>
    <xf numFmtId="0" fontId="2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</cellStyleXfs>
  <cellXfs count="105">
    <xf numFmtId="0" fontId="0" fillId="0" borderId="0" xfId="0"/>
    <xf numFmtId="0" fontId="4" fillId="0" borderId="0" xfId="0" applyFont="1"/>
    <xf numFmtId="0" fontId="5" fillId="0" borderId="0" xfId="0" applyFont="1"/>
    <xf numFmtId="0" fontId="4" fillId="0" borderId="0" xfId="11" applyAlignment="1">
      <alignment horizontal="right"/>
    </xf>
    <xf numFmtId="0" fontId="5" fillId="0" borderId="0" xfId="11" applyFont="1" applyAlignment="1">
      <alignment horizontal="left"/>
    </xf>
    <xf numFmtId="0" fontId="4" fillId="0" borderId="0" xfId="11" applyAlignment="1">
      <alignment horizontal="left"/>
    </xf>
    <xf numFmtId="0" fontId="0" fillId="0" borderId="1" xfId="0" applyBorder="1"/>
    <xf numFmtId="1" fontId="0" fillId="0" borderId="0" xfId="0" applyNumberFormat="1"/>
    <xf numFmtId="0" fontId="14" fillId="6" borderId="0" xfId="3"/>
    <xf numFmtId="0" fontId="19" fillId="0" borderId="0" xfId="6" applyFont="1" applyFill="1"/>
    <xf numFmtId="0" fontId="19" fillId="11" borderId="0" xfId="6" applyFont="1" applyFill="1"/>
    <xf numFmtId="0" fontId="4" fillId="0" borderId="0" xfId="8" applyFont="1" applyFill="1"/>
    <xf numFmtId="1" fontId="4" fillId="0" borderId="0" xfId="0" applyNumberFormat="1" applyFont="1"/>
    <xf numFmtId="0" fontId="20" fillId="4" borderId="2" xfId="1" applyFont="1" applyBorder="1" applyAlignment="1">
      <alignment horizontal="center" wrapText="1"/>
    </xf>
    <xf numFmtId="0" fontId="20" fillId="4" borderId="2" xfId="1" applyFont="1" applyBorder="1" applyAlignment="1">
      <alignment horizontal="left" wrapText="1"/>
    </xf>
    <xf numFmtId="0" fontId="20" fillId="4" borderId="3" xfId="1" applyFont="1" applyBorder="1" applyAlignment="1">
      <alignment horizontal="left" wrapText="1"/>
    </xf>
    <xf numFmtId="0" fontId="3" fillId="2" borderId="3" xfId="11" applyFont="1" applyFill="1" applyBorder="1" applyAlignment="1">
      <alignment horizontal="left" vertical="center"/>
    </xf>
    <xf numFmtId="0" fontId="3" fillId="2" borderId="3" xfId="11" applyFont="1" applyFill="1" applyBorder="1" applyAlignment="1">
      <alignment horizontal="left" vertical="center" wrapText="1"/>
    </xf>
    <xf numFmtId="0" fontId="19" fillId="11" borderId="0" xfId="6" applyFont="1" applyFill="1" applyAlignment="1">
      <alignment wrapText="1"/>
    </xf>
    <xf numFmtId="0" fontId="21" fillId="0" borderId="0" xfId="0" applyFont="1"/>
    <xf numFmtId="0" fontId="14" fillId="6" borderId="0" xfId="3" applyAlignment="1">
      <alignment wrapText="1"/>
    </xf>
    <xf numFmtId="0" fontId="4" fillId="0" borderId="0" xfId="9"/>
    <xf numFmtId="0" fontId="4" fillId="0" borderId="0" xfId="9" applyAlignment="1">
      <alignment wrapText="1"/>
    </xf>
    <xf numFmtId="0" fontId="3" fillId="0" borderId="0" xfId="11" applyFont="1" applyAlignment="1">
      <alignment horizontal="right" vertical="center" wrapText="1"/>
    </xf>
    <xf numFmtId="0" fontId="22" fillId="0" borderId="0" xfId="6" applyFont="1" applyFill="1"/>
    <xf numFmtId="0" fontId="23" fillId="0" borderId="0" xfId="3" applyFont="1" applyFill="1" applyAlignment="1">
      <alignment wrapText="1"/>
    </xf>
    <xf numFmtId="1" fontId="24" fillId="12" borderId="0" xfId="2" applyNumberFormat="1" applyFont="1" applyFill="1" applyBorder="1" applyAlignment="1">
      <alignment horizontal="right" wrapText="1"/>
    </xf>
    <xf numFmtId="0" fontId="25" fillId="0" borderId="0" xfId="2" applyFont="1" applyFill="1" applyBorder="1" applyAlignment="1">
      <alignment horizontal="right" wrapText="1"/>
    </xf>
    <xf numFmtId="0" fontId="20" fillId="0" borderId="0" xfId="2" applyFont="1" applyFill="1" applyBorder="1" applyAlignment="1">
      <alignment horizontal="right" wrapText="1"/>
    </xf>
    <xf numFmtId="1" fontId="24" fillId="0" borderId="0" xfId="2" applyNumberFormat="1" applyFont="1" applyFill="1" applyBorder="1" applyAlignment="1">
      <alignment horizontal="right" wrapText="1"/>
    </xf>
    <xf numFmtId="0" fontId="20" fillId="5" borderId="4" xfId="2" applyFont="1" applyBorder="1" applyAlignment="1">
      <alignment wrapText="1"/>
    </xf>
    <xf numFmtId="0" fontId="14" fillId="0" borderId="0" xfId="3" applyFill="1"/>
    <xf numFmtId="0" fontId="5" fillId="0" borderId="0" xfId="0" applyFont="1" applyAlignment="1">
      <alignment horizontal="left"/>
    </xf>
    <xf numFmtId="0" fontId="10" fillId="0" borderId="0" xfId="0" applyFont="1"/>
    <xf numFmtId="0" fontId="10" fillId="3" borderId="0" xfId="0" quotePrefix="1" applyFont="1" applyFill="1"/>
    <xf numFmtId="0" fontId="10" fillId="0" borderId="0" xfId="0" quotePrefix="1" applyFont="1"/>
    <xf numFmtId="0" fontId="3" fillId="2" borderId="2" xfId="11" applyFont="1" applyFill="1" applyBorder="1" applyAlignment="1">
      <alignment horizontal="left" vertical="center"/>
    </xf>
    <xf numFmtId="0" fontId="26" fillId="0" borderId="0" xfId="0" applyFont="1"/>
    <xf numFmtId="0" fontId="19" fillId="11" borderId="0" xfId="6" applyFont="1" applyFill="1" applyAlignment="1">
      <alignment horizontal="left"/>
    </xf>
    <xf numFmtId="0" fontId="26" fillId="13" borderId="1" xfId="0" applyFont="1" applyFill="1" applyBorder="1" applyAlignment="1">
      <alignment wrapText="1"/>
    </xf>
    <xf numFmtId="0" fontId="3" fillId="13" borderId="1" xfId="0" applyFont="1" applyFill="1" applyBorder="1" applyAlignment="1">
      <alignment wrapText="1"/>
    </xf>
    <xf numFmtId="0" fontId="26" fillId="13" borderId="0" xfId="0" applyFont="1" applyFill="1"/>
    <xf numFmtId="1" fontId="0" fillId="14" borderId="0" xfId="0" applyNumberFormat="1" applyFill="1"/>
    <xf numFmtId="0" fontId="0" fillId="14" borderId="0" xfId="0" applyFill="1"/>
    <xf numFmtId="1" fontId="17" fillId="9" borderId="0" xfId="7" applyNumberFormat="1" applyBorder="1" applyAlignment="1"/>
    <xf numFmtId="1" fontId="17" fillId="9" borderId="5" xfId="7" applyNumberFormat="1" applyBorder="1" applyAlignment="1"/>
    <xf numFmtId="165" fontId="15" fillId="7" borderId="6" xfId="4" applyNumberFormat="1" applyBorder="1" applyAlignment="1">
      <alignment horizontal="right" vertical="center"/>
    </xf>
    <xf numFmtId="1" fontId="15" fillId="7" borderId="17" xfId="4" applyNumberFormat="1" applyBorder="1" applyAlignment="1">
      <alignment horizontal="right"/>
    </xf>
    <xf numFmtId="1" fontId="15" fillId="7" borderId="18" xfId="4" applyNumberFormat="1" applyBorder="1" applyAlignment="1">
      <alignment horizontal="right"/>
    </xf>
    <xf numFmtId="1" fontId="15" fillId="7" borderId="19" xfId="4" applyNumberFormat="1" applyBorder="1" applyAlignment="1">
      <alignment horizontal="right"/>
    </xf>
    <xf numFmtId="165" fontId="9" fillId="14" borderId="7" xfId="0" applyNumberFormat="1" applyFont="1" applyFill="1" applyBorder="1" applyAlignment="1">
      <alignment horizontal="left" vertical="center"/>
    </xf>
    <xf numFmtId="165" fontId="9" fillId="14" borderId="8" xfId="0" applyNumberFormat="1" applyFont="1" applyFill="1" applyBorder="1" applyAlignment="1">
      <alignment horizontal="left" vertical="center"/>
    </xf>
    <xf numFmtId="0" fontId="3" fillId="13" borderId="9" xfId="0" applyFont="1" applyFill="1" applyBorder="1" applyAlignment="1">
      <alignment wrapText="1"/>
    </xf>
    <xf numFmtId="0" fontId="3" fillId="13" borderId="6" xfId="0" applyFont="1" applyFill="1" applyBorder="1" applyAlignment="1">
      <alignment wrapText="1"/>
    </xf>
    <xf numFmtId="165" fontId="9" fillId="15" borderId="10" xfId="0" applyNumberFormat="1" applyFont="1" applyFill="1" applyBorder="1" applyAlignment="1">
      <alignment horizontal="center" vertical="center"/>
    </xf>
    <xf numFmtId="0" fontId="26" fillId="13" borderId="9" xfId="0" applyFont="1" applyFill="1" applyBorder="1" applyAlignment="1">
      <alignment wrapText="1"/>
    </xf>
    <xf numFmtId="0" fontId="26" fillId="13" borderId="11" xfId="0" applyFont="1" applyFill="1" applyBorder="1" applyAlignment="1">
      <alignment wrapText="1"/>
    </xf>
    <xf numFmtId="0" fontId="26" fillId="13" borderId="6" xfId="0" applyFont="1" applyFill="1" applyBorder="1" applyAlignment="1">
      <alignment wrapText="1"/>
    </xf>
    <xf numFmtId="0" fontId="27" fillId="6" borderId="1" xfId="3" applyFont="1" applyBorder="1" applyAlignment="1">
      <alignment horizontal="left" vertical="center"/>
    </xf>
    <xf numFmtId="0" fontId="0" fillId="16" borderId="0" xfId="0" applyFill="1"/>
    <xf numFmtId="9" fontId="4" fillId="16" borderId="0" xfId="16" applyFont="1" applyFill="1"/>
    <xf numFmtId="2" fontId="4" fillId="14" borderId="0" xfId="8" applyNumberFormat="1" applyFont="1" applyFill="1"/>
    <xf numFmtId="0" fontId="4" fillId="14" borderId="0" xfId="8" applyFont="1" applyFill="1"/>
    <xf numFmtId="2" fontId="0" fillId="14" borderId="0" xfId="0" applyNumberFormat="1" applyFill="1"/>
    <xf numFmtId="0" fontId="4" fillId="14" borderId="0" xfId="9" applyFill="1"/>
    <xf numFmtId="2" fontId="4" fillId="14" borderId="0" xfId="9" applyNumberFormat="1" applyFill="1"/>
    <xf numFmtId="2" fontId="4" fillId="0" borderId="0" xfId="8" applyNumberFormat="1" applyFont="1" applyFill="1"/>
    <xf numFmtId="0" fontId="3" fillId="2" borderId="3" xfId="11" applyFont="1" applyFill="1" applyBorder="1" applyAlignment="1">
      <alignment horizontal="center" vertical="center" wrapText="1"/>
    </xf>
    <xf numFmtId="0" fontId="20" fillId="4" borderId="12" xfId="1" applyFont="1" applyBorder="1" applyAlignment="1">
      <alignment horizontal="center" wrapText="1"/>
    </xf>
    <xf numFmtId="0" fontId="3" fillId="2" borderId="3" xfId="12" applyFont="1" applyFill="1" applyBorder="1" applyAlignment="1">
      <alignment horizontal="center" vertical="center" wrapText="1"/>
    </xf>
    <xf numFmtId="165" fontId="8" fillId="0" borderId="13" xfId="0" applyNumberFormat="1" applyFont="1" applyBorder="1" applyAlignment="1">
      <alignment horizontal="left" vertical="center"/>
    </xf>
    <xf numFmtId="0" fontId="3" fillId="0" borderId="14" xfId="0" applyFont="1" applyBorder="1"/>
    <xf numFmtId="1" fontId="3" fillId="14" borderId="15" xfId="0" applyNumberFormat="1" applyFont="1" applyFill="1" applyBorder="1"/>
    <xf numFmtId="0" fontId="20" fillId="4" borderId="4" xfId="1" applyFont="1" applyBorder="1" applyAlignment="1">
      <alignment horizontal="left" wrapText="1"/>
    </xf>
    <xf numFmtId="2" fontId="0" fillId="0" borderId="0" xfId="0" applyNumberFormat="1"/>
    <xf numFmtId="165" fontId="9" fillId="15" borderId="13" xfId="0" applyNumberFormat="1" applyFont="1" applyFill="1" applyBorder="1" applyAlignment="1">
      <alignment horizontal="center" vertical="center"/>
    </xf>
    <xf numFmtId="165" fontId="9" fillId="15" borderId="14" xfId="0" applyNumberFormat="1" applyFont="1" applyFill="1" applyBorder="1" applyAlignment="1">
      <alignment horizontal="center" vertical="center"/>
    </xf>
    <xf numFmtId="1" fontId="17" fillId="0" borderId="0" xfId="7" applyNumberFormat="1" applyFill="1" applyBorder="1" applyAlignment="1"/>
    <xf numFmtId="164" fontId="0" fillId="0" borderId="0" xfId="0" applyNumberFormat="1"/>
    <xf numFmtId="1" fontId="4" fillId="0" borderId="0" xfId="9" applyNumberFormat="1"/>
    <xf numFmtId="0" fontId="25" fillId="5" borderId="4" xfId="2" applyFont="1" applyBorder="1" applyAlignment="1">
      <alignment horizontal="center" wrapText="1"/>
    </xf>
    <xf numFmtId="0" fontId="20" fillId="12" borderId="2" xfId="2" applyFont="1" applyFill="1" applyBorder="1" applyAlignment="1">
      <alignment horizontal="center" wrapText="1"/>
    </xf>
    <xf numFmtId="167" fontId="0" fillId="0" borderId="0" xfId="0" applyNumberFormat="1"/>
    <xf numFmtId="166" fontId="0" fillId="0" borderId="0" xfId="0" applyNumberFormat="1"/>
    <xf numFmtId="168" fontId="5" fillId="0" borderId="0" xfId="0" applyNumberFormat="1" applyFont="1"/>
    <xf numFmtId="168" fontId="4" fillId="0" borderId="0" xfId="0" applyNumberFormat="1" applyFont="1"/>
    <xf numFmtId="168" fontId="3" fillId="2" borderId="3" xfId="0" applyNumberFormat="1" applyFont="1" applyFill="1" applyBorder="1" applyAlignment="1">
      <alignment horizontal="left"/>
    </xf>
    <xf numFmtId="168" fontId="3" fillId="2" borderId="4" xfId="0" applyNumberFormat="1" applyFont="1" applyFill="1" applyBorder="1" applyAlignment="1">
      <alignment horizontal="left"/>
    </xf>
    <xf numFmtId="168" fontId="20" fillId="4" borderId="2" xfId="1" applyNumberFormat="1" applyFont="1" applyBorder="1" applyAlignment="1">
      <alignment horizontal="left" wrapText="1"/>
    </xf>
    <xf numFmtId="168" fontId="0" fillId="0" borderId="0" xfId="0" applyNumberFormat="1"/>
    <xf numFmtId="168" fontId="0" fillId="0" borderId="0" xfId="0" applyNumberFormat="1" applyAlignment="1">
      <alignment wrapText="1"/>
    </xf>
    <xf numFmtId="168" fontId="20" fillId="4" borderId="2" xfId="1" applyNumberFormat="1" applyFont="1" applyBorder="1" applyAlignment="1">
      <alignment horizontal="center" wrapText="1"/>
    </xf>
    <xf numFmtId="168" fontId="4" fillId="0" borderId="0" xfId="9" applyNumberFormat="1"/>
    <xf numFmtId="2" fontId="4" fillId="0" borderId="0" xfId="9" applyNumberFormat="1"/>
    <xf numFmtId="168" fontId="3" fillId="0" borderId="0" xfId="0" applyNumberFormat="1" applyFont="1" applyAlignment="1">
      <alignment horizontal="left"/>
    </xf>
    <xf numFmtId="168" fontId="20" fillId="0" borderId="0" xfId="1" applyNumberFormat="1" applyFont="1" applyFill="1" applyBorder="1" applyAlignment="1">
      <alignment horizontal="left" wrapText="1"/>
    </xf>
    <xf numFmtId="0" fontId="20" fillId="4" borderId="3" xfId="1" applyFont="1" applyBorder="1" applyAlignment="1">
      <alignment horizontal="center" wrapText="1"/>
    </xf>
    <xf numFmtId="0" fontId="20" fillId="4" borderId="0" xfId="1" applyFont="1" applyBorder="1" applyAlignment="1">
      <alignment horizontal="center" wrapText="1"/>
    </xf>
    <xf numFmtId="168" fontId="20" fillId="4" borderId="3" xfId="1" applyNumberFormat="1" applyFont="1" applyBorder="1" applyAlignment="1">
      <alignment horizontal="left" wrapText="1"/>
    </xf>
    <xf numFmtId="0" fontId="5" fillId="0" borderId="0" xfId="9" applyFont="1"/>
    <xf numFmtId="0" fontId="4" fillId="2" borderId="2" xfId="0" applyFont="1" applyFill="1" applyBorder="1"/>
    <xf numFmtId="0" fontId="4" fillId="17" borderId="2" xfId="0" applyFont="1" applyFill="1" applyBorder="1"/>
    <xf numFmtId="0" fontId="4" fillId="0" borderId="0" xfId="0" applyFont="1" applyAlignment="1">
      <alignment horizontal="left" vertical="center" wrapText="1"/>
    </xf>
    <xf numFmtId="1" fontId="4" fillId="0" borderId="0" xfId="30" applyNumberFormat="1" applyFill="1" applyBorder="1" applyAlignment="1">
      <alignment horizontal="center"/>
    </xf>
    <xf numFmtId="0" fontId="1" fillId="0" borderId="0" xfId="0" applyFont="1"/>
  </cellXfs>
  <cellStyles count="31">
    <cellStyle name="20% - Accent5" xfId="1" builtinId="46"/>
    <cellStyle name="40% - Accent3" xfId="2" builtinId="39"/>
    <cellStyle name="Accent2" xfId="3" builtinId="33"/>
    <cellStyle name="Calculation" xfId="4" builtinId="22"/>
    <cellStyle name="Comma 2" xfId="5" xr:uid="{00000000-0005-0000-0000-000004000000}"/>
    <cellStyle name="Good" xfId="6" builtinId="26"/>
    <cellStyle name="Input" xfId="7" builtinId="20"/>
    <cellStyle name="Migliaia_tab emissioni" xfId="30" xr:uid="{68D37FEC-E0B2-4C94-81BB-226DC57F7266}"/>
    <cellStyle name="Neutral" xfId="8" builtinId="28"/>
    <cellStyle name="Normal" xfId="0" builtinId="0"/>
    <cellStyle name="Normal 10" xfId="9" xr:uid="{00000000-0005-0000-0000-000009000000}"/>
    <cellStyle name="Normal 2" xfId="10" xr:uid="{00000000-0005-0000-0000-00000A000000}"/>
    <cellStyle name="Normal 4" xfId="11" xr:uid="{00000000-0005-0000-0000-00000B000000}"/>
    <cellStyle name="Normal 4 2" xfId="12" xr:uid="{00000000-0005-0000-0000-00000C000000}"/>
    <cellStyle name="Normal 8" xfId="13" xr:uid="{00000000-0005-0000-0000-00000D000000}"/>
    <cellStyle name="Normal 9 2" xfId="14" xr:uid="{00000000-0005-0000-0000-00000E000000}"/>
    <cellStyle name="Normale_B2020" xfId="15" xr:uid="{00000000-0005-0000-0000-00000F000000}"/>
    <cellStyle name="Percent" xfId="16" builtinId="5"/>
    <cellStyle name="Percent 2" xfId="17" xr:uid="{00000000-0005-0000-0000-000011000000}"/>
    <cellStyle name="Percent 3" xfId="18" xr:uid="{00000000-0005-0000-0000-000012000000}"/>
    <cellStyle name="Percent 3 2" xfId="19" xr:uid="{00000000-0005-0000-0000-000013000000}"/>
    <cellStyle name="Percent 3 3" xfId="20" xr:uid="{00000000-0005-0000-0000-000014000000}"/>
    <cellStyle name="Percent 3 4" xfId="21" xr:uid="{00000000-0005-0000-0000-000015000000}"/>
    <cellStyle name="Percent 4" xfId="22" xr:uid="{00000000-0005-0000-0000-000016000000}"/>
    <cellStyle name="Percent 4 2" xfId="23" xr:uid="{00000000-0005-0000-0000-000017000000}"/>
    <cellStyle name="Percent 4 3" xfId="24" xr:uid="{00000000-0005-0000-0000-000018000000}"/>
    <cellStyle name="Percent 4 4" xfId="25" xr:uid="{00000000-0005-0000-0000-000019000000}"/>
    <cellStyle name="Percent 5" xfId="26" xr:uid="{00000000-0005-0000-0000-00001A000000}"/>
    <cellStyle name="Percent 6" xfId="27" xr:uid="{00000000-0005-0000-0000-00001B000000}"/>
    <cellStyle name="Percent 7" xfId="28" xr:uid="{00000000-0005-0000-0000-00001C000000}"/>
    <cellStyle name="Standard_Sce_D_Extraction" xfId="29" xr:uid="{00000000-0005-0000-0000-00001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3810</xdr:colOff>
      <xdr:row>50</xdr:row>
      <xdr:rowOff>57149</xdr:rowOff>
    </xdr:from>
    <xdr:to>
      <xdr:col>14</xdr:col>
      <xdr:colOff>407670</xdr:colOff>
      <xdr:row>56</xdr:row>
      <xdr:rowOff>66674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6B2F145-8850-4388-9ADE-B2C38CEC5F7B}"/>
            </a:ext>
          </a:extLst>
        </xdr:cNvPr>
        <xdr:cNvSpPr txBox="1"/>
      </xdr:nvSpPr>
      <xdr:spPr>
        <a:xfrm>
          <a:off x="6537960" y="8058149"/>
          <a:ext cx="6376035" cy="9810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sectoral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energy commodities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(FI_COMM table) and define each ssectoral fuel technology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fuel technology to convert the fuel commodity name from the supply sector to a sectoral specific fuel commodity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(e.g. from GAS to RSDGAS)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871640</xdr:colOff>
      <xdr:row>63</xdr:row>
      <xdr:rowOff>120128</xdr:rowOff>
    </xdr:from>
    <xdr:to>
      <xdr:col>26</xdr:col>
      <xdr:colOff>692699</xdr:colOff>
      <xdr:row>71</xdr:row>
      <xdr:rowOff>115715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2D1CAE3-AB1F-44E7-83A8-8CFE9F3A6676}"/>
            </a:ext>
          </a:extLst>
        </xdr:cNvPr>
        <xdr:cNvSpPr txBox="1"/>
      </xdr:nvSpPr>
      <xdr:spPr>
        <a:xfrm>
          <a:off x="13473948" y="12614974"/>
          <a:ext cx="8242136" cy="1324203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 electricity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 energy commodity and  electricity plants carbon dioxide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 environmental commodity (FI_COMM table) and define power plant options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power plant option for each fuel commodity.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109641</xdr:colOff>
      <xdr:row>53</xdr:row>
      <xdr:rowOff>146261</xdr:rowOff>
    </xdr:from>
    <xdr:to>
      <xdr:col>24</xdr:col>
      <xdr:colOff>74063</xdr:colOff>
      <xdr:row>61</xdr:row>
      <xdr:rowOff>138673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1CF7748-CB74-4FE8-B3BC-39E21B0439C9}"/>
            </a:ext>
          </a:extLst>
        </xdr:cNvPr>
        <xdr:cNvSpPr txBox="1"/>
      </xdr:nvSpPr>
      <xdr:spPr>
        <a:xfrm>
          <a:off x="13628791" y="9928436"/>
          <a:ext cx="8232122" cy="131321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 electricity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 energy commodity and  electricity plants carbon dioxide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 environmental commodity (FI_COMM table) and define power plant options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power plant option for each fuel commodity.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0</xdr:rowOff>
    </xdr:from>
    <xdr:to>
      <xdr:col>7</xdr:col>
      <xdr:colOff>381000</xdr:colOff>
      <xdr:row>15</xdr:row>
      <xdr:rowOff>66675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D1A3727-B21E-4010-995E-8645C474E6C5}"/>
            </a:ext>
          </a:extLst>
        </xdr:cNvPr>
        <xdr:cNvSpPr txBox="1"/>
      </xdr:nvSpPr>
      <xdr:spPr>
        <a:xfrm>
          <a:off x="609600" y="1971675"/>
          <a:ext cx="4391025" cy="5524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transport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carbon dioxide emission coefficients for each unit of fuel commodity consumed.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</xdr:row>
      <xdr:rowOff>0</xdr:rowOff>
    </xdr:from>
    <xdr:to>
      <xdr:col>9</xdr:col>
      <xdr:colOff>14653</xdr:colOff>
      <xdr:row>17</xdr:row>
      <xdr:rowOff>153866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A02594B-3B5C-4362-9FC5-B674C592FA9B}"/>
            </a:ext>
          </a:extLst>
        </xdr:cNvPr>
        <xdr:cNvSpPr txBox="1"/>
      </xdr:nvSpPr>
      <xdr:spPr>
        <a:xfrm>
          <a:off x="609600" y="2552700"/>
          <a:ext cx="5062903" cy="639641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 algn="l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~COMAGG </a:t>
          </a:r>
          <a:r>
            <a:rPr lang="en-GB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used to define an aggregated commodity, TOTCO2</a:t>
          </a:r>
          <a:r>
            <a:rPr lang="en-GB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 this example, multiplying the sectoral</a:t>
          </a:r>
          <a:r>
            <a:rPr lang="en-GB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emissions by a coefficient 1 (cells C1:H1). It is possible to add more aggregated commodities and change multipliers.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Veda/Veda_models/Demo_models/DemoS_012/VT_REG1_PRI_V12.xlsx" TargetMode="External"/><Relationship Id="rId2" Type="http://schemas.openxmlformats.org/officeDocument/2006/relationships/externalLinkPath" Target="file:///C:\Veda\Veda_models\Demo_models\DemoS_012\VT_REG1_PRI_V12.xlsx" TargetMode="External"/><Relationship Id="rId1" Type="http://schemas.openxmlformats.org/officeDocument/2006/relationships/externalLinkPath" Target="/Veda/Veda_models/Demo_models/DemoS_012/VT_REG1_PRI_V1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B1"/>
      <sheetName val="RES_PRI"/>
      <sheetName val="Pri_COA"/>
      <sheetName val="Pri_GAS"/>
      <sheetName val="Pri_OIL"/>
      <sheetName val="Pri_NUC"/>
      <sheetName val="Pri_RNW"/>
      <sheetName val="Pri_PP"/>
      <sheetName val="Pri_ELC"/>
      <sheetName val="Con_REF"/>
      <sheetName val="TOTCO2"/>
    </sheetNames>
    <sheetDataSet>
      <sheetData sheetId="0">
        <row r="2">
          <cell r="AA2" t="str">
            <v>kt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Kristopher Raik" id="{A1A5B81E-CD06-4628-8001-D7897AF02153}" userId="S::krraik@taltech.ee::b956339b-354b-46f9-8dd3-3584d8dbf76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8" dT="2026-09-21T05:35:17.90" personId="{A1A5B81E-CD06-4628-8001-D7897AF02153}" id="{93CDE302-2DCC-4595-B2D6-E3674F8196EC}">
    <text>Kliimaarvestus 45% of ~92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Relationship Id="rId4" Type="http://schemas.microsoft.com/office/2017/10/relationships/threadedComment" Target="../threadedComments/threadedComment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B1:AC17"/>
  <sheetViews>
    <sheetView topLeftCell="C1" zoomScale="80" zoomScaleNormal="80" workbookViewId="0">
      <selection activeCell="V25" sqref="V25"/>
    </sheetView>
  </sheetViews>
  <sheetFormatPr defaultRowHeight="12.75" x14ac:dyDescent="0.2"/>
  <cols>
    <col min="1" max="1" width="3" bestFit="1" customWidth="1"/>
    <col min="2" max="2" width="20.5703125" bestFit="1" customWidth="1"/>
    <col min="3" max="3" width="41.140625" bestFit="1" customWidth="1"/>
    <col min="4" max="7" width="10.85546875" customWidth="1"/>
    <col min="8" max="8" width="12.140625" customWidth="1"/>
    <col min="9" max="12" width="10.85546875" customWidth="1"/>
    <col min="13" max="13" width="17.85546875" bestFit="1" customWidth="1"/>
    <col min="14" max="23" width="10.85546875" customWidth="1"/>
    <col min="24" max="24" width="7.28515625" bestFit="1" customWidth="1"/>
    <col min="25" max="25" width="2" bestFit="1" customWidth="1"/>
    <col min="26" max="26" width="12.5703125" bestFit="1" customWidth="1"/>
    <col min="28" max="28" width="6.7109375" bestFit="1" customWidth="1"/>
    <col min="29" max="29" width="9.28515625" bestFit="1" customWidth="1"/>
  </cols>
  <sheetData>
    <row r="1" spans="2:29" x14ac:dyDescent="0.2">
      <c r="Z1" s="19" t="s">
        <v>78</v>
      </c>
      <c r="AA1" s="1" t="s">
        <v>79</v>
      </c>
      <c r="AB1" s="1" t="s">
        <v>80</v>
      </c>
      <c r="AC1" s="1" t="s">
        <v>86</v>
      </c>
    </row>
    <row r="2" spans="2:29" ht="15.75" x14ac:dyDescent="0.25">
      <c r="D2" s="39" t="s">
        <v>42</v>
      </c>
      <c r="E2" s="39" t="s">
        <v>43</v>
      </c>
      <c r="F2" s="39" t="s">
        <v>44</v>
      </c>
      <c r="G2" s="39" t="s">
        <v>124</v>
      </c>
      <c r="H2" s="39" t="s">
        <v>125</v>
      </c>
      <c r="I2" s="39" t="s">
        <v>126</v>
      </c>
      <c r="J2" s="39" t="s">
        <v>127</v>
      </c>
      <c r="K2" s="39" t="s">
        <v>128</v>
      </c>
      <c r="L2" s="39" t="s">
        <v>129</v>
      </c>
      <c r="M2" s="39" t="s">
        <v>130</v>
      </c>
      <c r="N2" s="39" t="s">
        <v>45</v>
      </c>
      <c r="O2" s="39" t="s">
        <v>151</v>
      </c>
      <c r="P2" s="39" t="s">
        <v>147</v>
      </c>
      <c r="Q2" s="39" t="s">
        <v>152</v>
      </c>
      <c r="R2" s="39" t="s">
        <v>152</v>
      </c>
      <c r="S2" s="39" t="s">
        <v>152</v>
      </c>
      <c r="T2" s="39" t="s">
        <v>153</v>
      </c>
      <c r="U2" s="39" t="s">
        <v>46</v>
      </c>
      <c r="V2" s="39" t="s">
        <v>47</v>
      </c>
      <c r="W2" s="39" t="s">
        <v>48</v>
      </c>
      <c r="X2" s="39" t="s">
        <v>146</v>
      </c>
      <c r="AA2" s="38" t="s">
        <v>179</v>
      </c>
      <c r="AB2" s="10" t="s">
        <v>68</v>
      </c>
      <c r="AC2" s="10" t="s">
        <v>87</v>
      </c>
    </row>
    <row r="3" spans="2:29" ht="38.25" x14ac:dyDescent="0.2">
      <c r="C3" s="58" t="s">
        <v>120</v>
      </c>
      <c r="D3" s="40" t="s">
        <v>49</v>
      </c>
      <c r="E3" s="40" t="s">
        <v>50</v>
      </c>
      <c r="F3" s="40" t="s">
        <v>123</v>
      </c>
      <c r="G3" s="40" t="s">
        <v>136</v>
      </c>
      <c r="H3" s="40" t="s">
        <v>133</v>
      </c>
      <c r="I3" s="40" t="s">
        <v>126</v>
      </c>
      <c r="J3" s="40" t="s">
        <v>134</v>
      </c>
      <c r="K3" s="40" t="s">
        <v>135</v>
      </c>
      <c r="L3" s="40" t="s">
        <v>131</v>
      </c>
      <c r="M3" s="40" t="s">
        <v>132</v>
      </c>
      <c r="N3" s="40" t="s">
        <v>51</v>
      </c>
      <c r="O3" s="40" t="s">
        <v>154</v>
      </c>
      <c r="P3" s="40" t="s">
        <v>148</v>
      </c>
      <c r="Q3" s="40" t="s">
        <v>149</v>
      </c>
      <c r="R3" s="40" t="s">
        <v>189</v>
      </c>
      <c r="S3" s="40" t="s">
        <v>190</v>
      </c>
      <c r="T3" s="40" t="s">
        <v>150</v>
      </c>
      <c r="U3" s="40" t="s">
        <v>52</v>
      </c>
      <c r="V3" s="40" t="s">
        <v>53</v>
      </c>
      <c r="W3" s="40" t="s">
        <v>74</v>
      </c>
      <c r="X3" s="40" t="s">
        <v>54</v>
      </c>
    </row>
    <row r="4" spans="2:29" x14ac:dyDescent="0.2">
      <c r="B4" s="37"/>
      <c r="C4" s="70" t="s">
        <v>55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71"/>
    </row>
    <row r="5" spans="2:29" x14ac:dyDescent="0.2">
      <c r="B5" s="41" t="s">
        <v>56</v>
      </c>
      <c r="C5" s="50" t="s">
        <v>57</v>
      </c>
      <c r="D5" s="42">
        <v>-37.464700000000001</v>
      </c>
      <c r="E5" s="42">
        <v>-317.19200000000001</v>
      </c>
      <c r="F5" s="42">
        <v>0</v>
      </c>
      <c r="G5" s="42">
        <v>-16.283999999999999</v>
      </c>
      <c r="H5" s="42">
        <v>-2.1499999999999998E-2</v>
      </c>
      <c r="I5" s="42">
        <v>-528.76099999999997</v>
      </c>
      <c r="J5" s="42">
        <v>-164.50800000000001</v>
      </c>
      <c r="K5" s="42">
        <v>-0.61599999999999999</v>
      </c>
      <c r="L5" s="42">
        <v>-205.88</v>
      </c>
      <c r="M5" s="42">
        <v>0</v>
      </c>
      <c r="N5" s="42">
        <v>0</v>
      </c>
      <c r="O5" s="42">
        <v>-3.21225</v>
      </c>
      <c r="P5" s="42">
        <v>0</v>
      </c>
      <c r="Q5" s="42">
        <v>0</v>
      </c>
      <c r="R5" s="42"/>
      <c r="S5" s="42"/>
      <c r="T5" s="42">
        <v>0</v>
      </c>
      <c r="U5" s="42">
        <v>-0.76</v>
      </c>
      <c r="V5" s="42">
        <v>0</v>
      </c>
      <c r="W5" s="42">
        <v>0</v>
      </c>
      <c r="X5" s="72">
        <v>-1274.6994499999998</v>
      </c>
    </row>
    <row r="6" spans="2:29" ht="15" x14ac:dyDescent="0.25">
      <c r="B6" s="41" t="s">
        <v>48</v>
      </c>
      <c r="C6" s="51" t="s">
        <v>58</v>
      </c>
      <c r="D6" s="45">
        <v>-6238.7780000000012</v>
      </c>
      <c r="E6" s="44">
        <v>-2254.2175999999999</v>
      </c>
      <c r="F6" s="44">
        <v>0</v>
      </c>
      <c r="G6" s="44">
        <v>-30.160499999999999</v>
      </c>
      <c r="H6" s="44">
        <v>0</v>
      </c>
      <c r="I6" s="44">
        <v>-23.835000000000001</v>
      </c>
      <c r="J6" s="44">
        <v>0</v>
      </c>
      <c r="K6" s="44">
        <v>0</v>
      </c>
      <c r="L6" s="44">
        <v>-524.78</v>
      </c>
      <c r="M6" s="44">
        <v>-33.529000000000003</v>
      </c>
      <c r="N6" s="44">
        <v>-4455</v>
      </c>
      <c r="O6" s="44">
        <v>-527.25918750000005</v>
      </c>
      <c r="P6" s="44">
        <v>-502.66000000000008</v>
      </c>
      <c r="Q6" s="44">
        <v>-263.8965</v>
      </c>
      <c r="R6" s="44"/>
      <c r="S6" s="44"/>
      <c r="T6" s="44">
        <v>-68</v>
      </c>
      <c r="U6" s="42">
        <v>-16.474499999999999</v>
      </c>
      <c r="V6" s="42">
        <v>868.77949999999998</v>
      </c>
      <c r="W6" s="44">
        <v>5790.5</v>
      </c>
      <c r="X6" s="72">
        <v>-8279.3107875000023</v>
      </c>
      <c r="Z6" s="77"/>
    </row>
    <row r="7" spans="2:29" x14ac:dyDescent="0.2">
      <c r="B7" s="41" t="s">
        <v>59</v>
      </c>
      <c r="C7" s="51" t="s">
        <v>60</v>
      </c>
      <c r="D7" s="42">
        <v>-104.9074</v>
      </c>
      <c r="E7" s="42">
        <v>-120.5204</v>
      </c>
      <c r="F7" s="42">
        <v>0</v>
      </c>
      <c r="G7" s="42">
        <v>-7.6189999999999998</v>
      </c>
      <c r="H7" s="42">
        <v>0</v>
      </c>
      <c r="I7" s="42">
        <v>-0.23350000000000001</v>
      </c>
      <c r="J7" s="42">
        <v>0</v>
      </c>
      <c r="K7" s="42">
        <v>0</v>
      </c>
      <c r="L7" s="42">
        <v>-15.2</v>
      </c>
      <c r="M7" s="42">
        <v>-1.772</v>
      </c>
      <c r="N7" s="42">
        <v>0</v>
      </c>
      <c r="O7" s="42">
        <v>-105.15525</v>
      </c>
      <c r="P7" s="42">
        <v>0</v>
      </c>
      <c r="Q7" s="42">
        <v>0</v>
      </c>
      <c r="R7" s="42"/>
      <c r="S7" s="42"/>
      <c r="T7" s="42">
        <v>0</v>
      </c>
      <c r="U7" s="42">
        <v>-0.78449999999999998</v>
      </c>
      <c r="V7" s="42">
        <v>329.37150000000003</v>
      </c>
      <c r="W7" s="42">
        <v>0</v>
      </c>
      <c r="X7" s="72">
        <v>-26.820549999999912</v>
      </c>
    </row>
    <row r="8" spans="2:29" x14ac:dyDescent="0.2">
      <c r="B8" s="41" t="s">
        <v>61</v>
      </c>
      <c r="C8" s="51" t="s">
        <v>62</v>
      </c>
      <c r="D8" s="42">
        <v>0</v>
      </c>
      <c r="E8" s="42">
        <v>0</v>
      </c>
      <c r="F8" s="42">
        <v>-15868.2305</v>
      </c>
      <c r="G8" s="42">
        <v>5701.34</v>
      </c>
      <c r="H8" s="42">
        <v>969.47799999999995</v>
      </c>
      <c r="I8" s="42">
        <v>1086.3040000000001</v>
      </c>
      <c r="J8" s="42">
        <v>3354.9119999999998</v>
      </c>
      <c r="K8" s="42">
        <v>970.28800000000001</v>
      </c>
      <c r="L8" s="42">
        <v>2285.1019999999999</v>
      </c>
      <c r="M8" s="42">
        <v>1299.9449999999999</v>
      </c>
      <c r="N8" s="42">
        <v>0</v>
      </c>
      <c r="O8" s="42">
        <v>0</v>
      </c>
      <c r="P8" s="42">
        <v>0</v>
      </c>
      <c r="Q8" s="42">
        <v>0</v>
      </c>
      <c r="R8" s="42"/>
      <c r="S8" s="42"/>
      <c r="T8" s="42">
        <v>0</v>
      </c>
      <c r="U8" s="42">
        <v>0</v>
      </c>
      <c r="V8" s="42">
        <v>0</v>
      </c>
      <c r="W8" s="42">
        <v>0</v>
      </c>
      <c r="X8" s="72">
        <v>-200.86150000000021</v>
      </c>
    </row>
    <row r="9" spans="2:29" ht="15" x14ac:dyDescent="0.25">
      <c r="B9" s="37"/>
      <c r="C9" s="46" t="s">
        <v>63</v>
      </c>
      <c r="D9" s="49">
        <f>SUM(D5:D8)</f>
        <v>-6381.1501000000017</v>
      </c>
      <c r="E9" s="47">
        <f t="shared" ref="E9:W9" si="0">SUM(E5:E8)</f>
        <v>-2691.93</v>
      </c>
      <c r="F9" s="47">
        <f t="shared" si="0"/>
        <v>-15868.2305</v>
      </c>
      <c r="G9" s="47">
        <f t="shared" si="0"/>
        <v>5647.2764999999999</v>
      </c>
      <c r="H9" s="47">
        <f t="shared" si="0"/>
        <v>969.45650000000001</v>
      </c>
      <c r="I9" s="47">
        <f t="shared" si="0"/>
        <v>533.47450000000003</v>
      </c>
      <c r="J9" s="47">
        <f t="shared" si="0"/>
        <v>3190.404</v>
      </c>
      <c r="K9" s="47">
        <f t="shared" si="0"/>
        <v>969.67200000000003</v>
      </c>
      <c r="L9" s="47">
        <f t="shared" si="0"/>
        <v>1539.2419999999997</v>
      </c>
      <c r="M9" s="47">
        <f t="shared" si="0"/>
        <v>1264.644</v>
      </c>
      <c r="N9" s="47">
        <f t="shared" si="0"/>
        <v>-4455</v>
      </c>
      <c r="O9" s="47">
        <f t="shared" si="0"/>
        <v>-635.62668750000012</v>
      </c>
      <c r="P9" s="47">
        <f t="shared" si="0"/>
        <v>-502.66000000000008</v>
      </c>
      <c r="Q9" s="47">
        <f t="shared" si="0"/>
        <v>-263.8965</v>
      </c>
      <c r="R9" s="47"/>
      <c r="S9" s="47"/>
      <c r="T9" s="47">
        <f t="shared" si="0"/>
        <v>-68</v>
      </c>
      <c r="U9" s="47">
        <f t="shared" si="0"/>
        <v>-18.019000000000002</v>
      </c>
      <c r="V9" s="47">
        <f t="shared" si="0"/>
        <v>1198.1510000000001</v>
      </c>
      <c r="W9" s="47">
        <f t="shared" si="0"/>
        <v>5790.5</v>
      </c>
      <c r="X9" s="48">
        <f>SUM(X5:X8)</f>
        <v>-9781.6922875000037</v>
      </c>
    </row>
    <row r="10" spans="2:29" x14ac:dyDescent="0.2">
      <c r="D10" s="7"/>
      <c r="F10" s="7"/>
      <c r="G10" s="7"/>
      <c r="H10" s="7"/>
      <c r="I10" s="7"/>
      <c r="J10" s="7"/>
      <c r="K10" s="7"/>
      <c r="L10" s="7"/>
      <c r="M10" s="7"/>
    </row>
    <row r="11" spans="2:29" x14ac:dyDescent="0.2">
      <c r="D11" s="7"/>
      <c r="E11" s="7"/>
      <c r="F11" s="7"/>
      <c r="G11" s="7"/>
      <c r="H11" s="7"/>
      <c r="I11" s="7"/>
      <c r="J11" s="7"/>
      <c r="K11" s="7"/>
      <c r="L11" s="7"/>
      <c r="M11" s="7"/>
      <c r="O11" s="7"/>
      <c r="P11" s="78"/>
      <c r="Q11" s="78"/>
      <c r="R11" s="78"/>
      <c r="S11" s="78"/>
      <c r="T11" s="78"/>
    </row>
    <row r="12" spans="2:29" ht="15" x14ac:dyDescent="0.25">
      <c r="C12" s="44" t="s">
        <v>140</v>
      </c>
      <c r="D12" s="44"/>
      <c r="E12" s="44"/>
      <c r="F12" s="7"/>
      <c r="G12" s="7"/>
      <c r="H12" s="7"/>
      <c r="I12" s="7"/>
      <c r="J12" s="7"/>
      <c r="K12" s="7"/>
      <c r="L12" s="7"/>
      <c r="M12" s="7"/>
    </row>
    <row r="15" spans="2:29" x14ac:dyDescent="0.2">
      <c r="C15" s="55" t="s">
        <v>89</v>
      </c>
      <c r="D15" s="57" t="s">
        <v>90</v>
      </c>
      <c r="E15" s="56" t="s">
        <v>91</v>
      </c>
    </row>
    <row r="16" spans="2:29" x14ac:dyDescent="0.2">
      <c r="B16" s="19" t="s">
        <v>98</v>
      </c>
      <c r="C16" s="52" t="s">
        <v>92</v>
      </c>
      <c r="D16" s="52" t="s">
        <v>93</v>
      </c>
      <c r="E16" s="53" t="s">
        <v>91</v>
      </c>
    </row>
    <row r="17" spans="2:5" x14ac:dyDescent="0.2">
      <c r="B17" s="41" t="s">
        <v>48</v>
      </c>
      <c r="C17" s="75">
        <v>1</v>
      </c>
      <c r="D17" s="54"/>
      <c r="E17" s="76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3A684-055B-484D-8A1E-47060250CBEB}">
  <dimension ref="B2:C17"/>
  <sheetViews>
    <sheetView workbookViewId="0">
      <selection activeCell="F11" sqref="F11"/>
    </sheetView>
  </sheetViews>
  <sheetFormatPr defaultRowHeight="12.75" x14ac:dyDescent="0.2"/>
  <cols>
    <col min="3" max="3" width="12.85546875" bestFit="1" customWidth="1"/>
  </cols>
  <sheetData>
    <row r="2" spans="2:3" x14ac:dyDescent="0.2">
      <c r="B2" t="s">
        <v>172</v>
      </c>
      <c r="C2" t="s">
        <v>181</v>
      </c>
    </row>
    <row r="3" spans="2:3" x14ac:dyDescent="0.2">
      <c r="B3" t="s">
        <v>163</v>
      </c>
      <c r="C3" t="s">
        <v>184</v>
      </c>
    </row>
    <row r="4" spans="2:3" x14ac:dyDescent="0.2">
      <c r="B4" t="s">
        <v>164</v>
      </c>
      <c r="C4" t="s">
        <v>182</v>
      </c>
    </row>
    <row r="5" spans="2:3" x14ac:dyDescent="0.2">
      <c r="B5" t="s">
        <v>165</v>
      </c>
      <c r="C5" t="s">
        <v>183</v>
      </c>
    </row>
    <row r="6" spans="2:3" x14ac:dyDescent="0.2">
      <c r="B6" t="s">
        <v>166</v>
      </c>
      <c r="C6" t="s">
        <v>174</v>
      </c>
    </row>
    <row r="7" spans="2:3" x14ac:dyDescent="0.2">
      <c r="B7" t="s">
        <v>167</v>
      </c>
      <c r="C7" t="s">
        <v>165</v>
      </c>
    </row>
    <row r="8" spans="2:3" x14ac:dyDescent="0.2">
      <c r="B8" t="s">
        <v>168</v>
      </c>
      <c r="C8" t="s">
        <v>178</v>
      </c>
    </row>
    <row r="9" spans="2:3" x14ac:dyDescent="0.2">
      <c r="B9" t="s">
        <v>178</v>
      </c>
      <c r="C9" t="s">
        <v>176</v>
      </c>
    </row>
    <row r="10" spans="2:3" x14ac:dyDescent="0.2">
      <c r="B10" t="s">
        <v>169</v>
      </c>
      <c r="C10" t="s">
        <v>166</v>
      </c>
    </row>
    <row r="11" spans="2:3" x14ac:dyDescent="0.2">
      <c r="B11" t="s">
        <v>170</v>
      </c>
      <c r="C11" t="s">
        <v>163</v>
      </c>
    </row>
    <row r="12" spans="2:3" x14ac:dyDescent="0.2">
      <c r="B12" t="s">
        <v>171</v>
      </c>
    </row>
    <row r="13" spans="2:3" x14ac:dyDescent="0.2">
      <c r="B13" t="s">
        <v>173</v>
      </c>
    </row>
    <row r="14" spans="2:3" x14ac:dyDescent="0.2">
      <c r="B14" t="s">
        <v>174</v>
      </c>
    </row>
    <row r="15" spans="2:3" x14ac:dyDescent="0.2">
      <c r="B15" t="s">
        <v>175</v>
      </c>
    </row>
    <row r="16" spans="2:3" x14ac:dyDescent="0.2">
      <c r="B16" t="s">
        <v>176</v>
      </c>
    </row>
    <row r="17" spans="2:2" x14ac:dyDescent="0.2">
      <c r="B17" t="s">
        <v>177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R41"/>
  <sheetViews>
    <sheetView topLeftCell="A7" zoomScale="87" zoomScaleNormal="100" workbookViewId="0">
      <selection activeCell="M15" sqref="M15"/>
    </sheetView>
  </sheetViews>
  <sheetFormatPr defaultRowHeight="12.75" x14ac:dyDescent="0.2"/>
  <cols>
    <col min="1" max="1" width="3" customWidth="1"/>
    <col min="2" max="2" width="13.5703125" bestFit="1" customWidth="1"/>
    <col min="3" max="3" width="13.140625" bestFit="1" customWidth="1"/>
    <col min="4" max="4" width="11.85546875" bestFit="1" customWidth="1"/>
    <col min="5" max="5" width="11.5703125" bestFit="1" customWidth="1"/>
    <col min="6" max="6" width="13" bestFit="1" customWidth="1"/>
    <col min="7" max="7" width="8.28515625" bestFit="1" customWidth="1"/>
    <col min="8" max="8" width="9" customWidth="1"/>
    <col min="9" max="9" width="2.140625" bestFit="1" customWidth="1"/>
    <col min="10" max="10" width="12.42578125" customWidth="1"/>
    <col min="11" max="11" width="7.140625" customWidth="1"/>
    <col min="12" max="12" width="14.5703125" bestFit="1" customWidth="1"/>
    <col min="13" max="13" width="61.7109375" bestFit="1" customWidth="1"/>
    <col min="14" max="14" width="6.140625" customWidth="1"/>
    <col min="15" max="15" width="10.42578125" bestFit="1" customWidth="1"/>
    <col min="16" max="16" width="12.85546875" bestFit="1" customWidth="1"/>
    <col min="17" max="17" width="14.140625" bestFit="1" customWidth="1"/>
    <col min="18" max="18" width="8.140625" customWidth="1"/>
  </cols>
  <sheetData>
    <row r="1" spans="2:18" ht="15" x14ac:dyDescent="0.25">
      <c r="B1" s="8" t="s">
        <v>65</v>
      </c>
      <c r="C1" s="8" t="s">
        <v>66</v>
      </c>
      <c r="D1" s="8" t="s">
        <v>67</v>
      </c>
      <c r="E1" s="8" t="s">
        <v>96</v>
      </c>
      <c r="F1" s="8" t="s">
        <v>79</v>
      </c>
      <c r="G1" s="8" t="s">
        <v>83</v>
      </c>
      <c r="H1" s="31"/>
    </row>
    <row r="2" spans="2:18" ht="31.5" x14ac:dyDescent="0.25">
      <c r="B2" s="10" t="str">
        <f>'EB1'!B6</f>
        <v>ELC</v>
      </c>
      <c r="C2" s="18" t="str">
        <f>'EB1'!C6</f>
        <v>Electricity Plants</v>
      </c>
      <c r="D2" s="10" t="s">
        <v>94</v>
      </c>
      <c r="E2" s="10" t="str">
        <f>'EB1'!AB2</f>
        <v>PJ</v>
      </c>
      <c r="F2" s="10" t="str">
        <f>'EB1'!AA2</f>
        <v>M€2025</v>
      </c>
      <c r="G2" s="10" t="s">
        <v>84</v>
      </c>
      <c r="H2" s="9"/>
      <c r="J2" s="84" t="s">
        <v>14</v>
      </c>
      <c r="K2" s="84"/>
      <c r="L2" s="85"/>
      <c r="M2" s="85"/>
      <c r="N2" s="85"/>
      <c r="O2" s="85"/>
      <c r="P2" s="85"/>
      <c r="Q2" s="85"/>
      <c r="R2" s="85"/>
    </row>
    <row r="3" spans="2:18" x14ac:dyDescent="0.2">
      <c r="J3" s="86" t="s">
        <v>7</v>
      </c>
      <c r="K3" s="87" t="s">
        <v>30</v>
      </c>
      <c r="L3" s="86" t="s">
        <v>0</v>
      </c>
      <c r="M3" s="86" t="s">
        <v>3</v>
      </c>
      <c r="N3" s="86" t="s">
        <v>4</v>
      </c>
      <c r="O3" s="86" t="s">
        <v>8</v>
      </c>
      <c r="P3" s="86" t="s">
        <v>9</v>
      </c>
      <c r="Q3" s="86" t="s">
        <v>10</v>
      </c>
      <c r="R3" s="86" t="s">
        <v>12</v>
      </c>
    </row>
    <row r="4" spans="2:18" ht="24" thickBot="1" x14ac:dyDescent="0.3">
      <c r="B4" s="9"/>
      <c r="C4" s="9"/>
      <c r="D4" s="9"/>
      <c r="E4" s="9"/>
      <c r="G4" s="9"/>
      <c r="J4" s="88" t="s">
        <v>35</v>
      </c>
      <c r="K4" s="88" t="s">
        <v>31</v>
      </c>
      <c r="L4" s="88" t="s">
        <v>26</v>
      </c>
      <c r="M4" s="88" t="s">
        <v>27</v>
      </c>
      <c r="N4" s="88" t="s">
        <v>4</v>
      </c>
      <c r="O4" s="88" t="s">
        <v>38</v>
      </c>
      <c r="P4" s="88" t="s">
        <v>39</v>
      </c>
      <c r="Q4" s="88" t="s">
        <v>28</v>
      </c>
      <c r="R4" s="88" t="s">
        <v>29</v>
      </c>
    </row>
    <row r="5" spans="2:18" x14ac:dyDescent="0.2">
      <c r="E5" s="12"/>
      <c r="F5" s="12"/>
      <c r="G5" s="66"/>
      <c r="H5" s="11"/>
      <c r="J5" s="89" t="s">
        <v>64</v>
      </c>
      <c r="K5" s="89"/>
      <c r="L5" s="89" t="str">
        <f>$B$2&amp;'EB1'!$D$2</f>
        <v>ELCCOA</v>
      </c>
      <c r="M5" s="90" t="str">
        <f>$C$2&amp;" "&amp;'EB1'!$D$3</f>
        <v>Electricity Plants Solid Fuels</v>
      </c>
      <c r="N5" s="89" t="str">
        <f t="shared" ref="N5:N14" si="0">$E$2</f>
        <v>PJ</v>
      </c>
      <c r="O5" s="89"/>
      <c r="P5" s="89"/>
      <c r="Q5" s="89"/>
      <c r="R5" s="89"/>
    </row>
    <row r="6" spans="2:18" x14ac:dyDescent="0.2">
      <c r="E6" s="12"/>
      <c r="F6" s="12"/>
      <c r="G6" s="66"/>
      <c r="H6" s="11"/>
      <c r="J6" s="89" t="s">
        <v>64</v>
      </c>
      <c r="K6" s="89"/>
      <c r="L6" s="89" t="str">
        <f>$B$2&amp;'EB1'!$E$2</f>
        <v>ELCGAS</v>
      </c>
      <c r="M6" s="90" t="str">
        <f>$C$2&amp;" "&amp;'EB1'!$E$3</f>
        <v>Electricity Plants Natural Gas</v>
      </c>
      <c r="N6" s="89" t="str">
        <f t="shared" si="0"/>
        <v>PJ</v>
      </c>
      <c r="O6" s="89"/>
      <c r="P6" s="89"/>
      <c r="Q6" s="89"/>
      <c r="R6" s="89"/>
    </row>
    <row r="7" spans="2:18" x14ac:dyDescent="0.2">
      <c r="E7" s="12"/>
      <c r="F7" s="12"/>
      <c r="G7" s="66"/>
      <c r="H7" s="11"/>
      <c r="J7" s="89" t="s">
        <v>64</v>
      </c>
      <c r="K7" s="89"/>
      <c r="L7" s="89" t="str">
        <f>$B$2&amp;'EB1'!$F$2</f>
        <v>ELCOIL</v>
      </c>
      <c r="M7" s="90" t="str">
        <f>$C$2&amp;" "&amp;RIGHT('EB1'!$F$3,3)</f>
        <v>Electricity Plants oil</v>
      </c>
      <c r="N7" s="89" t="str">
        <f t="shared" si="0"/>
        <v>PJ</v>
      </c>
      <c r="O7" s="89"/>
      <c r="P7" s="89"/>
      <c r="Q7" s="89"/>
      <c r="R7" s="89"/>
    </row>
    <row r="8" spans="2:18" x14ac:dyDescent="0.2">
      <c r="E8" s="12"/>
      <c r="F8" s="12"/>
      <c r="G8" s="66"/>
      <c r="H8" s="11"/>
      <c r="J8" s="89" t="s">
        <v>64</v>
      </c>
      <c r="K8" s="89"/>
      <c r="L8" s="89" t="str">
        <f>$B$2&amp;'EB1'!$N$2</f>
        <v>ELCNUC</v>
      </c>
      <c r="M8" s="90" t="str">
        <f>$C$2&amp;" "&amp;'EB1'!$N$3</f>
        <v>Electricity Plants Nuclear Energy</v>
      </c>
      <c r="N8" s="89" t="str">
        <f t="shared" si="0"/>
        <v>PJ</v>
      </c>
      <c r="O8" s="89"/>
      <c r="P8" s="89"/>
      <c r="Q8" s="89"/>
      <c r="R8" s="89"/>
    </row>
    <row r="9" spans="2:18" x14ac:dyDescent="0.2">
      <c r="E9" s="12"/>
      <c r="F9" s="12"/>
      <c r="G9" s="66"/>
      <c r="H9" s="11"/>
      <c r="J9" s="89" t="s">
        <v>64</v>
      </c>
      <c r="K9" s="89"/>
      <c r="L9" s="89" t="str">
        <f>$B$2&amp;'EB1'!$O$2</f>
        <v>ELCBIO</v>
      </c>
      <c r="M9" s="90" t="str">
        <f>$C$2&amp;" "&amp;'EB1'!$O$3</f>
        <v>Electricity Plants Biomass</v>
      </c>
      <c r="N9" s="89" t="str">
        <f t="shared" si="0"/>
        <v>PJ</v>
      </c>
      <c r="O9" s="89"/>
      <c r="P9" s="89"/>
      <c r="Q9" s="89"/>
      <c r="R9" s="89"/>
    </row>
    <row r="10" spans="2:18" x14ac:dyDescent="0.2">
      <c r="E10" s="12"/>
      <c r="F10" s="12"/>
      <c r="G10" s="66"/>
      <c r="H10" s="11"/>
      <c r="J10" s="89" t="s">
        <v>64</v>
      </c>
      <c r="K10" s="89"/>
      <c r="L10" s="89" t="str">
        <f>$B$2&amp;'EB1'!$P$2</f>
        <v>ELCHYD</v>
      </c>
      <c r="M10" s="90" t="str">
        <f>$C$2&amp;" "&amp;'EB1'!$P$3</f>
        <v>Electricity Plants Hydro power</v>
      </c>
      <c r="N10" s="89" t="str">
        <f t="shared" si="0"/>
        <v>PJ</v>
      </c>
      <c r="O10" s="89"/>
      <c r="P10" s="89"/>
      <c r="Q10" s="89"/>
      <c r="R10" s="89"/>
    </row>
    <row r="11" spans="2:18" x14ac:dyDescent="0.2">
      <c r="E11" s="12"/>
      <c r="F11" s="12"/>
      <c r="G11" s="66"/>
      <c r="H11" s="11"/>
      <c r="J11" s="89" t="s">
        <v>64</v>
      </c>
      <c r="K11" s="89"/>
      <c r="L11" s="89" t="str">
        <f>$B$2&amp;'EB1'!$Q$2</f>
        <v>ELCWIN</v>
      </c>
      <c r="M11" s="90" t="str">
        <f>$C$2&amp;" "&amp;'EB1'!$Q$3</f>
        <v>Electricity Plants Wind energy</v>
      </c>
      <c r="N11" s="89" t="str">
        <f t="shared" si="0"/>
        <v>PJ</v>
      </c>
      <c r="O11" s="89"/>
      <c r="P11" s="89"/>
      <c r="Q11" s="89"/>
      <c r="R11" s="89"/>
    </row>
    <row r="12" spans="2:18" x14ac:dyDescent="0.2">
      <c r="E12" s="12"/>
      <c r="F12" s="12"/>
      <c r="G12" s="66"/>
      <c r="H12" s="11"/>
      <c r="J12" s="89" t="s">
        <v>64</v>
      </c>
      <c r="K12" s="89"/>
      <c r="L12" s="89" t="s">
        <v>185</v>
      </c>
      <c r="M12" s="90" t="s">
        <v>187</v>
      </c>
      <c r="N12" s="89" t="s">
        <v>68</v>
      </c>
      <c r="O12" s="89"/>
      <c r="P12" s="89"/>
      <c r="Q12" s="89"/>
      <c r="R12" s="89"/>
    </row>
    <row r="13" spans="2:18" x14ac:dyDescent="0.2">
      <c r="E13" s="12"/>
      <c r="F13" s="12"/>
      <c r="G13" s="66"/>
      <c r="H13" s="11"/>
      <c r="J13" s="89" t="s">
        <v>64</v>
      </c>
      <c r="K13" s="89"/>
      <c r="L13" s="89" t="s">
        <v>188</v>
      </c>
      <c r="M13" s="90" t="s">
        <v>186</v>
      </c>
      <c r="N13" s="89" t="s">
        <v>68</v>
      </c>
      <c r="O13" s="89"/>
      <c r="P13" s="89"/>
      <c r="Q13" s="89"/>
      <c r="R13" s="89"/>
    </row>
    <row r="14" spans="2:18" x14ac:dyDescent="0.2">
      <c r="E14" s="12"/>
      <c r="F14" s="12"/>
      <c r="G14" s="66"/>
      <c r="H14" s="11"/>
      <c r="J14" s="89" t="s">
        <v>64</v>
      </c>
      <c r="K14" s="89"/>
      <c r="L14" s="89" t="str">
        <f>$B$2&amp;'EB1'!$T$2</f>
        <v>ELCSOL</v>
      </c>
      <c r="M14" s="90" t="str">
        <f>$C$2&amp;" "&amp;'EB1'!$T$3</f>
        <v>Electricity Plants Solar energy</v>
      </c>
      <c r="N14" s="89" t="str">
        <f t="shared" si="0"/>
        <v>PJ</v>
      </c>
      <c r="O14" s="89"/>
      <c r="P14" s="89"/>
      <c r="Q14" s="89"/>
      <c r="R14" s="89"/>
    </row>
    <row r="15" spans="2:18" x14ac:dyDescent="0.2">
      <c r="E15" s="12"/>
      <c r="F15" s="12"/>
      <c r="G15" s="66"/>
      <c r="H15" s="11"/>
      <c r="J15" s="89" t="s">
        <v>64</v>
      </c>
      <c r="K15" s="89"/>
      <c r="L15" s="89" t="s">
        <v>191</v>
      </c>
      <c r="M15" s="90" t="s">
        <v>192</v>
      </c>
      <c r="N15" s="89" t="s">
        <v>68</v>
      </c>
      <c r="O15" s="89"/>
      <c r="P15" s="89"/>
      <c r="Q15" s="89"/>
      <c r="R15" s="89"/>
    </row>
    <row r="16" spans="2:18" x14ac:dyDescent="0.2">
      <c r="E16" s="12"/>
      <c r="F16" s="12"/>
      <c r="G16" s="66"/>
      <c r="H16" s="11"/>
      <c r="J16" s="89" t="s">
        <v>64</v>
      </c>
      <c r="K16" s="89"/>
      <c r="L16" s="89" t="s">
        <v>194</v>
      </c>
      <c r="M16" s="90" t="s">
        <v>195</v>
      </c>
      <c r="N16" s="89" t="s">
        <v>68</v>
      </c>
      <c r="O16" s="89"/>
      <c r="P16" s="89"/>
      <c r="Q16" s="89"/>
      <c r="R16" s="89"/>
    </row>
    <row r="17" spans="2:18" x14ac:dyDescent="0.2">
      <c r="L17" s="21"/>
      <c r="M17" s="22"/>
    </row>
    <row r="18" spans="2:18" x14ac:dyDescent="0.2">
      <c r="D18" s="4" t="s">
        <v>13</v>
      </c>
      <c r="E18" s="4"/>
      <c r="F18" s="4"/>
      <c r="J18" s="84" t="s">
        <v>15</v>
      </c>
      <c r="K18" s="84"/>
      <c r="L18" s="89"/>
      <c r="M18" s="89"/>
      <c r="N18" s="89"/>
      <c r="O18" s="89"/>
      <c r="P18" s="89"/>
      <c r="Q18" s="89"/>
      <c r="R18" s="89"/>
    </row>
    <row r="19" spans="2:18" x14ac:dyDescent="0.2">
      <c r="B19" s="16" t="s">
        <v>1</v>
      </c>
      <c r="C19" s="16" t="s">
        <v>5</v>
      </c>
      <c r="D19" s="16" t="s">
        <v>6</v>
      </c>
      <c r="E19" s="69" t="s">
        <v>139</v>
      </c>
      <c r="F19" s="67" t="s">
        <v>122</v>
      </c>
      <c r="G19" s="67" t="s">
        <v>73</v>
      </c>
      <c r="H19" s="67" t="s">
        <v>70</v>
      </c>
      <c r="J19" s="86" t="s">
        <v>11</v>
      </c>
      <c r="K19" s="87" t="s">
        <v>30</v>
      </c>
      <c r="L19" s="86" t="s">
        <v>1</v>
      </c>
      <c r="M19" s="86" t="s">
        <v>2</v>
      </c>
      <c r="N19" s="86" t="s">
        <v>16</v>
      </c>
      <c r="O19" s="86" t="s">
        <v>17</v>
      </c>
      <c r="P19" s="86" t="s">
        <v>18</v>
      </c>
      <c r="Q19" s="86" t="s">
        <v>19</v>
      </c>
      <c r="R19" s="86" t="s">
        <v>20</v>
      </c>
    </row>
    <row r="20" spans="2:18" ht="34.5" thickBot="1" x14ac:dyDescent="0.25">
      <c r="B20" s="15" t="s">
        <v>37</v>
      </c>
      <c r="C20" s="15" t="s">
        <v>32</v>
      </c>
      <c r="D20" s="15" t="s">
        <v>33</v>
      </c>
      <c r="E20" s="15" t="s">
        <v>138</v>
      </c>
      <c r="F20" s="15" t="s">
        <v>34</v>
      </c>
      <c r="G20" s="15" t="s">
        <v>75</v>
      </c>
      <c r="H20" s="15" t="s">
        <v>155</v>
      </c>
      <c r="J20" s="88" t="s">
        <v>36</v>
      </c>
      <c r="K20" s="88" t="s">
        <v>31</v>
      </c>
      <c r="L20" s="88" t="s">
        <v>21</v>
      </c>
      <c r="M20" s="88" t="s">
        <v>22</v>
      </c>
      <c r="N20" s="88" t="s">
        <v>23</v>
      </c>
      <c r="O20" s="88" t="s">
        <v>24</v>
      </c>
      <c r="P20" s="88" t="s">
        <v>41</v>
      </c>
      <c r="Q20" s="88" t="s">
        <v>40</v>
      </c>
      <c r="R20" s="88" t="s">
        <v>25</v>
      </c>
    </row>
    <row r="21" spans="2:18" ht="13.5" thickBot="1" x14ac:dyDescent="0.25">
      <c r="B21" s="14" t="s">
        <v>76</v>
      </c>
      <c r="C21" s="14"/>
      <c r="D21" s="14"/>
      <c r="E21" s="13"/>
      <c r="F21" s="13" t="str">
        <f>F2&amp;"a"</f>
        <v>M€2025a</v>
      </c>
      <c r="G21" s="13"/>
      <c r="H21" s="13" t="s">
        <v>77</v>
      </c>
      <c r="J21" s="88" t="s">
        <v>71</v>
      </c>
      <c r="K21" s="91"/>
      <c r="L21" s="91"/>
      <c r="M21" s="91"/>
      <c r="N21" s="91"/>
      <c r="O21" s="91"/>
      <c r="P21" s="91"/>
      <c r="Q21" s="91"/>
      <c r="R21" s="91"/>
    </row>
    <row r="22" spans="2:18" x14ac:dyDescent="0.2">
      <c r="B22" s="21" t="str">
        <f>Sector_Fuels_ELC!L22</f>
        <v>FTE-ELCCOA</v>
      </c>
      <c r="C22" t="str">
        <f>RIGHT(D22,3)</f>
        <v>COA</v>
      </c>
      <c r="D22" s="21" t="str">
        <f>L5</f>
        <v>ELCCOA</v>
      </c>
      <c r="E22" s="12"/>
      <c r="F22" s="12"/>
      <c r="G22" s="61">
        <v>1</v>
      </c>
      <c r="H22" s="62">
        <v>30</v>
      </c>
      <c r="J22" s="85" t="s">
        <v>95</v>
      </c>
      <c r="K22" s="92"/>
      <c r="L22" s="89" t="str">
        <f t="shared" ref="L22:L33" si="1">"FT"&amp;$G$2&amp;"-"&amp;L5</f>
        <v>FTE-ELCCOA</v>
      </c>
      <c r="M22" s="90" t="str">
        <f t="shared" ref="M22:M33" si="2">$D$2&amp;" Technology"&amp;" "&amp;$G$1&amp;" "&amp;M5</f>
        <v>Sector Fuel Technology Existing Electricity Plants Solid Fuels</v>
      </c>
      <c r="N22" s="89" t="str">
        <f t="shared" ref="N22:N33" si="3">$E$2</f>
        <v>PJ</v>
      </c>
      <c r="O22" s="89" t="str">
        <f t="shared" ref="O22:O33" si="4">$E$2&amp;"a"</f>
        <v>PJa</v>
      </c>
      <c r="P22" s="89"/>
      <c r="Q22" s="89"/>
      <c r="R22" s="89"/>
    </row>
    <row r="23" spans="2:18" x14ac:dyDescent="0.2">
      <c r="B23" s="21" t="str">
        <f>Sector_Fuels_ELC!L23</f>
        <v>FTE-ELCGAS</v>
      </c>
      <c r="C23" t="str">
        <f>RIGHT(D23,3)</f>
        <v>GAS</v>
      </c>
      <c r="D23" s="21" t="str">
        <f>L6</f>
        <v>ELCGAS</v>
      </c>
      <c r="E23" s="12"/>
      <c r="F23" s="12"/>
      <c r="G23" s="61">
        <v>1</v>
      </c>
      <c r="H23" s="62">
        <v>30</v>
      </c>
      <c r="J23" s="85" t="s">
        <v>95</v>
      </c>
      <c r="K23" s="92"/>
      <c r="L23" s="89" t="str">
        <f t="shared" si="1"/>
        <v>FTE-ELCGAS</v>
      </c>
      <c r="M23" s="90" t="str">
        <f t="shared" si="2"/>
        <v>Sector Fuel Technology Existing Electricity Plants Natural Gas</v>
      </c>
      <c r="N23" s="89" t="str">
        <f t="shared" si="3"/>
        <v>PJ</v>
      </c>
      <c r="O23" s="89" t="str">
        <f t="shared" si="4"/>
        <v>PJa</v>
      </c>
      <c r="P23" s="89"/>
      <c r="Q23" s="89"/>
      <c r="R23" s="89"/>
    </row>
    <row r="24" spans="2:18" x14ac:dyDescent="0.2">
      <c r="B24" s="21" t="str">
        <f>Sector_Fuels_ELC!L24</f>
        <v>FTE-ELCOIL</v>
      </c>
      <c r="C24" t="str">
        <f>'EB1'!G$2</f>
        <v>DSL</v>
      </c>
      <c r="D24" s="21" t="str">
        <f>L7</f>
        <v>ELCOIL</v>
      </c>
      <c r="E24" s="60">
        <f>-'EB1'!G$6/-SUM('EB1'!$G$6:$M$6)</f>
        <v>4.9257354796510562E-2</v>
      </c>
      <c r="F24" s="12"/>
      <c r="G24" s="61">
        <v>1</v>
      </c>
      <c r="H24" s="62">
        <v>30</v>
      </c>
      <c r="J24" s="85" t="s">
        <v>95</v>
      </c>
      <c r="K24" s="92"/>
      <c r="L24" s="89" t="str">
        <f t="shared" si="1"/>
        <v>FTE-ELCOIL</v>
      </c>
      <c r="M24" s="90" t="str">
        <f t="shared" si="2"/>
        <v>Sector Fuel Technology Existing Electricity Plants oil</v>
      </c>
      <c r="N24" s="89" t="str">
        <f t="shared" si="3"/>
        <v>PJ</v>
      </c>
      <c r="O24" s="89" t="str">
        <f t="shared" si="4"/>
        <v>PJa</v>
      </c>
      <c r="P24" s="89"/>
      <c r="Q24" s="89"/>
      <c r="R24" s="89"/>
    </row>
    <row r="25" spans="2:18" x14ac:dyDescent="0.2">
      <c r="B25" s="21"/>
      <c r="C25" t="str">
        <f>'EB1'!I$2</f>
        <v>LPG</v>
      </c>
      <c r="D25" s="21"/>
      <c r="E25" s="60">
        <f>-'EB1'!I$6/-SUM('EB1'!$G$6:$M$6)</f>
        <v>3.8926710484734312E-2</v>
      </c>
      <c r="F25" s="12"/>
      <c r="G25" s="61"/>
      <c r="H25" s="62"/>
      <c r="J25" s="85" t="s">
        <v>95</v>
      </c>
      <c r="K25" s="89"/>
      <c r="L25" s="89" t="str">
        <f t="shared" si="1"/>
        <v>FTE-ELCNUC</v>
      </c>
      <c r="M25" s="90" t="str">
        <f t="shared" si="2"/>
        <v>Sector Fuel Technology Existing Electricity Plants Nuclear Energy</v>
      </c>
      <c r="N25" s="89" t="str">
        <f t="shared" si="3"/>
        <v>PJ</v>
      </c>
      <c r="O25" s="89" t="str">
        <f t="shared" si="4"/>
        <v>PJa</v>
      </c>
      <c r="P25" s="89"/>
      <c r="Q25" s="89"/>
      <c r="R25" s="89"/>
    </row>
    <row r="26" spans="2:18" x14ac:dyDescent="0.2">
      <c r="B26" s="21"/>
      <c r="C26" t="str">
        <f>'EB1'!L$2</f>
        <v>HFO</v>
      </c>
      <c r="D26" s="21"/>
      <c r="E26" s="60">
        <f>-'EB1'!L$6/-SUM('EB1'!$G$6:$M$6)</f>
        <v>0.85705723214511731</v>
      </c>
      <c r="F26" s="12"/>
      <c r="G26" s="61"/>
      <c r="H26" s="62"/>
      <c r="J26" s="85" t="s">
        <v>95</v>
      </c>
      <c r="K26" s="89"/>
      <c r="L26" s="89" t="str">
        <f t="shared" si="1"/>
        <v>FTE-ELCBIO</v>
      </c>
      <c r="M26" s="90" t="str">
        <f t="shared" si="2"/>
        <v>Sector Fuel Technology Existing Electricity Plants Biomass</v>
      </c>
      <c r="N26" s="89" t="str">
        <f t="shared" si="3"/>
        <v>PJ</v>
      </c>
      <c r="O26" s="89" t="str">
        <f t="shared" si="4"/>
        <v>PJa</v>
      </c>
      <c r="P26" s="89"/>
      <c r="Q26" s="89"/>
      <c r="R26" s="89"/>
    </row>
    <row r="27" spans="2:18" x14ac:dyDescent="0.2">
      <c r="B27" s="21"/>
      <c r="C27" t="str">
        <f>'EB1'!M$2</f>
        <v>OPP</v>
      </c>
      <c r="D27" s="21"/>
      <c r="E27" s="60">
        <f>-'EB1'!M$6/-SUM('EB1'!$G$6:$M$6)</f>
        <v>5.4758702573637796E-2</v>
      </c>
      <c r="F27" s="12"/>
      <c r="G27" s="61"/>
      <c r="H27" s="62"/>
      <c r="J27" s="85" t="s">
        <v>95</v>
      </c>
      <c r="K27" s="89"/>
      <c r="L27" s="89" t="str">
        <f t="shared" si="1"/>
        <v>FTE-ELCHYD</v>
      </c>
      <c r="M27" s="90" t="str">
        <f t="shared" si="2"/>
        <v>Sector Fuel Technology Existing Electricity Plants Hydro power</v>
      </c>
      <c r="N27" s="89" t="str">
        <f t="shared" si="3"/>
        <v>PJ</v>
      </c>
      <c r="O27" s="89" t="str">
        <f t="shared" si="4"/>
        <v>PJa</v>
      </c>
      <c r="P27" s="89"/>
      <c r="Q27" s="89"/>
      <c r="R27" s="89"/>
    </row>
    <row r="28" spans="2:18" x14ac:dyDescent="0.2">
      <c r="B28" s="21" t="str">
        <f>Sector_Fuels_ELC!L25</f>
        <v>FTE-ELCNUC</v>
      </c>
      <c r="C28" t="str">
        <f>RIGHT(D28,3)</f>
        <v>NUC</v>
      </c>
      <c r="D28" s="21" t="str">
        <f t="shared" ref="D28:D36" si="5">L8</f>
        <v>ELCNUC</v>
      </c>
      <c r="E28" s="12"/>
      <c r="F28" s="12"/>
      <c r="G28" s="61">
        <v>1</v>
      </c>
      <c r="H28" s="62">
        <v>30</v>
      </c>
      <c r="J28" s="85" t="s">
        <v>95</v>
      </c>
      <c r="K28" s="89"/>
      <c r="L28" s="89" t="str">
        <f t="shared" si="1"/>
        <v>FTE-ELCWIN</v>
      </c>
      <c r="M28" s="90" t="str">
        <f t="shared" si="2"/>
        <v>Sector Fuel Technology Existing Electricity Plants Wind energy</v>
      </c>
      <c r="N28" s="89" t="str">
        <f t="shared" si="3"/>
        <v>PJ</v>
      </c>
      <c r="O28" s="89" t="str">
        <f t="shared" si="4"/>
        <v>PJa</v>
      </c>
      <c r="P28" s="89"/>
      <c r="Q28" s="89"/>
      <c r="R28" s="89"/>
    </row>
    <row r="29" spans="2:18" ht="25.5" x14ac:dyDescent="0.2">
      <c r="B29" s="21" t="str">
        <f>Sector_Fuels_ELC!L26</f>
        <v>FTE-ELCBIO</v>
      </c>
      <c r="C29" t="str">
        <f>RIGHT(D29,3)</f>
        <v>BIO</v>
      </c>
      <c r="D29" s="21" t="str">
        <f t="shared" si="5"/>
        <v>ELCBIO</v>
      </c>
      <c r="E29" s="12"/>
      <c r="F29" s="12"/>
      <c r="G29" s="61">
        <v>1</v>
      </c>
      <c r="H29" s="62">
        <v>30</v>
      </c>
      <c r="J29" s="85" t="s">
        <v>95</v>
      </c>
      <c r="K29" s="89"/>
      <c r="L29" s="89" t="str">
        <f t="shared" si="1"/>
        <v>FTE-ELCWON</v>
      </c>
      <c r="M29" s="90" t="str">
        <f t="shared" si="2"/>
        <v>Sector Fuel Technology Existing Electricity Plants Wind Onshore energy</v>
      </c>
      <c r="N29" s="89" t="str">
        <f t="shared" si="3"/>
        <v>PJ</v>
      </c>
      <c r="O29" s="89" t="str">
        <f t="shared" si="4"/>
        <v>PJa</v>
      </c>
      <c r="P29" s="89"/>
      <c r="Q29" s="89"/>
      <c r="R29" s="89"/>
    </row>
    <row r="30" spans="2:18" ht="25.5" x14ac:dyDescent="0.2">
      <c r="B30" s="21" t="str">
        <f>Sector_Fuels_ELC!L27</f>
        <v>FTE-ELCHYD</v>
      </c>
      <c r="C30" t="str">
        <f>RIGHT(D30,3)</f>
        <v>HYD</v>
      </c>
      <c r="D30" s="21" t="str">
        <f t="shared" si="5"/>
        <v>ELCHYD</v>
      </c>
      <c r="E30" s="12"/>
      <c r="F30" s="12"/>
      <c r="G30" s="61">
        <v>1</v>
      </c>
      <c r="H30" s="62">
        <v>30</v>
      </c>
      <c r="J30" s="85" t="s">
        <v>95</v>
      </c>
      <c r="K30" s="89"/>
      <c r="L30" s="89" t="str">
        <f t="shared" si="1"/>
        <v>FTE-ELCWOF</v>
      </c>
      <c r="M30" s="90" t="str">
        <f t="shared" si="2"/>
        <v>Sector Fuel Technology Existing Electricity Plants Wind Offshore energy</v>
      </c>
      <c r="N30" s="89" t="str">
        <f t="shared" si="3"/>
        <v>PJ</v>
      </c>
      <c r="O30" s="89" t="str">
        <f t="shared" si="4"/>
        <v>PJa</v>
      </c>
    </row>
    <row r="31" spans="2:18" x14ac:dyDescent="0.2">
      <c r="B31" s="21" t="str">
        <f>Sector_Fuels_ELC!L28</f>
        <v>FTE-ELCWIN</v>
      </c>
      <c r="C31" t="str">
        <f>RIGHT(D31,3)</f>
        <v>WIN</v>
      </c>
      <c r="D31" s="21" t="str">
        <f t="shared" si="5"/>
        <v>ELCWIN</v>
      </c>
      <c r="E31" s="12"/>
      <c r="F31" s="12"/>
      <c r="G31" s="61">
        <v>1</v>
      </c>
      <c r="H31" s="62">
        <v>30</v>
      </c>
      <c r="J31" s="85" t="s">
        <v>95</v>
      </c>
      <c r="K31" s="89"/>
      <c r="L31" s="89" t="str">
        <f t="shared" si="1"/>
        <v>FTE-ELCSOL</v>
      </c>
      <c r="M31" s="90" t="str">
        <f t="shared" si="2"/>
        <v>Sector Fuel Technology Existing Electricity Plants Solar energy</v>
      </c>
      <c r="N31" s="89" t="str">
        <f t="shared" si="3"/>
        <v>PJ</v>
      </c>
      <c r="O31" s="89" t="str">
        <f t="shared" si="4"/>
        <v>PJa</v>
      </c>
    </row>
    <row r="32" spans="2:18" x14ac:dyDescent="0.2">
      <c r="B32" s="21" t="str">
        <f>Sector_Fuels_ELC!L29</f>
        <v>FTE-ELCWON</v>
      </c>
      <c r="C32" t="s">
        <v>152</v>
      </c>
      <c r="D32" s="21" t="str">
        <f t="shared" si="5"/>
        <v>ELCWON</v>
      </c>
      <c r="E32" s="12"/>
      <c r="F32" s="12"/>
      <c r="G32" s="61">
        <v>1</v>
      </c>
      <c r="H32" s="62">
        <v>30</v>
      </c>
      <c r="J32" s="85" t="s">
        <v>95</v>
      </c>
      <c r="L32" s="89" t="str">
        <f t="shared" si="1"/>
        <v>FTE-ELCMSW</v>
      </c>
      <c r="M32" s="90" t="str">
        <f t="shared" si="2"/>
        <v>Sector Fuel Technology Existing Electricity Plants Municipal Waste</v>
      </c>
      <c r="N32" s="89" t="str">
        <f t="shared" si="3"/>
        <v>PJ</v>
      </c>
      <c r="O32" s="89" t="str">
        <f t="shared" si="4"/>
        <v>PJa</v>
      </c>
    </row>
    <row r="33" spans="2:15" x14ac:dyDescent="0.2">
      <c r="B33" s="21" t="str">
        <f>Sector_Fuels_ELC!L30</f>
        <v>FTE-ELCWOF</v>
      </c>
      <c r="C33" t="s">
        <v>152</v>
      </c>
      <c r="D33" s="21" t="str">
        <f t="shared" si="5"/>
        <v>ELCWOF</v>
      </c>
      <c r="E33" s="12"/>
      <c r="F33" s="12"/>
      <c r="G33" s="61">
        <v>1</v>
      </c>
      <c r="H33" s="62">
        <v>30</v>
      </c>
      <c r="J33" s="85" t="s">
        <v>95</v>
      </c>
      <c r="L33" s="89" t="str">
        <f t="shared" si="1"/>
        <v>FTE-ELCSHL</v>
      </c>
      <c r="M33" s="90" t="str">
        <f t="shared" si="2"/>
        <v>Sector Fuel Technology Existing Electricity Plants Oil Shale</v>
      </c>
      <c r="N33" s="89" t="str">
        <f t="shared" si="3"/>
        <v>PJ</v>
      </c>
      <c r="O33" s="89" t="str">
        <f t="shared" si="4"/>
        <v>PJa</v>
      </c>
    </row>
    <row r="34" spans="2:15" x14ac:dyDescent="0.2">
      <c r="B34" s="21" t="str">
        <f>Sector_Fuels_ELC!L31</f>
        <v>FTE-ELCSOL</v>
      </c>
      <c r="C34" t="str">
        <f>RIGHT(D34,3)</f>
        <v>SOL</v>
      </c>
      <c r="D34" s="21" t="str">
        <f t="shared" si="5"/>
        <v>ELCSOL</v>
      </c>
      <c r="E34" s="12"/>
      <c r="F34" s="12"/>
      <c r="G34" s="61">
        <v>1</v>
      </c>
      <c r="H34" s="62">
        <v>30</v>
      </c>
    </row>
    <row r="35" spans="2:15" x14ac:dyDescent="0.2">
      <c r="B35" s="21" t="str">
        <f>Sector_Fuels_ELC!L32</f>
        <v>FTE-ELCMSW</v>
      </c>
      <c r="C35" t="str">
        <f>RIGHT(D35,3)</f>
        <v>MSW</v>
      </c>
      <c r="D35" s="21" t="str">
        <f t="shared" si="5"/>
        <v>ELCMSW</v>
      </c>
      <c r="G35" s="61">
        <v>1</v>
      </c>
      <c r="H35" s="62">
        <v>30</v>
      </c>
    </row>
    <row r="36" spans="2:15" x14ac:dyDescent="0.2">
      <c r="B36" s="21" t="str">
        <f>Sector_Fuels_ELC!L33</f>
        <v>FTE-ELCSHL</v>
      </c>
      <c r="C36" t="str">
        <f>RIGHT(D36,3)</f>
        <v>SHL</v>
      </c>
      <c r="D36" s="21" t="str">
        <f t="shared" si="5"/>
        <v>ELCSHL</v>
      </c>
      <c r="G36" s="61">
        <v>1</v>
      </c>
      <c r="H36" s="62">
        <v>30</v>
      </c>
    </row>
    <row r="40" spans="2:15" x14ac:dyDescent="0.2">
      <c r="B40" s="43"/>
      <c r="C40" s="1" t="s">
        <v>142</v>
      </c>
    </row>
    <row r="41" spans="2:15" x14ac:dyDescent="0.2">
      <c r="B41" s="59"/>
      <c r="C41" s="1" t="s">
        <v>143</v>
      </c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D65529"/>
  <sheetViews>
    <sheetView topLeftCell="L1" zoomScale="67" zoomScaleNormal="90" workbookViewId="0">
      <selection activeCell="P43" sqref="P43"/>
    </sheetView>
  </sheetViews>
  <sheetFormatPr defaultColWidth="8.85546875" defaultRowHeight="12.75" x14ac:dyDescent="0.2"/>
  <cols>
    <col min="1" max="1" width="3" style="21" customWidth="1"/>
    <col min="2" max="2" width="27.42578125" style="21" bestFit="1" customWidth="1"/>
    <col min="3" max="3" width="12.140625" style="21" bestFit="1" customWidth="1"/>
    <col min="4" max="4" width="11.28515625" style="21" bestFit="1" customWidth="1"/>
    <col min="5" max="6" width="12" style="21" bestFit="1" customWidth="1"/>
    <col min="7" max="8" width="13" style="21" bestFit="1" customWidth="1"/>
    <col min="9" max="10" width="13" style="21" customWidth="1"/>
    <col min="11" max="11" width="8.85546875" style="21" bestFit="1" customWidth="1"/>
    <col min="12" max="12" width="8.140625" style="21" bestFit="1" customWidth="1"/>
    <col min="13" max="13" width="10" style="21" bestFit="1" customWidth="1"/>
    <col min="14" max="14" width="9.85546875" style="21" bestFit="1" customWidth="1"/>
    <col min="15" max="15" width="10.5703125" style="21" customWidth="1"/>
    <col min="16" max="16" width="8.85546875" style="21" bestFit="1" customWidth="1"/>
    <col min="17" max="17" width="15" style="21" bestFit="1" customWidth="1"/>
    <col min="18" max="18" width="13.28515625" style="21" bestFit="1" customWidth="1"/>
    <col min="19" max="19" width="2" style="21" bestFit="1" customWidth="1"/>
    <col min="20" max="20" width="13.5703125" style="21" bestFit="1" customWidth="1"/>
    <col min="21" max="21" width="2.140625" style="21" bestFit="1" customWidth="1"/>
    <col min="22" max="22" width="12.42578125" bestFit="1" customWidth="1"/>
    <col min="23" max="23" width="7.42578125" bestFit="1" customWidth="1"/>
    <col min="24" max="24" width="26.42578125" bestFit="1" customWidth="1"/>
    <col min="25" max="25" width="57.7109375" bestFit="1" customWidth="1"/>
    <col min="26" max="26" width="6.28515625" customWidth="1"/>
    <col min="27" max="27" width="11.42578125" bestFit="1" customWidth="1"/>
    <col min="28" max="28" width="13.5703125" bestFit="1" customWidth="1"/>
    <col min="29" max="29" width="15" bestFit="1" customWidth="1"/>
    <col min="30" max="30" width="8.140625" bestFit="1" customWidth="1"/>
    <col min="31" max="16384" width="8.85546875" style="21"/>
  </cols>
  <sheetData>
    <row r="1" spans="2:30" ht="30" x14ac:dyDescent="0.25">
      <c r="B1" s="20" t="s">
        <v>65</v>
      </c>
      <c r="C1" s="8" t="s">
        <v>67</v>
      </c>
      <c r="D1" s="8" t="s">
        <v>97</v>
      </c>
      <c r="E1" s="20" t="s">
        <v>23</v>
      </c>
      <c r="F1" s="20" t="s">
        <v>99</v>
      </c>
      <c r="G1" s="20" t="s">
        <v>69</v>
      </c>
      <c r="H1" s="20" t="s">
        <v>83</v>
      </c>
      <c r="I1" s="20"/>
      <c r="J1" s="20"/>
    </row>
    <row r="2" spans="2:30" ht="31.5" x14ac:dyDescent="0.25">
      <c r="B2" s="10" t="str">
        <f>'EB1'!B6</f>
        <v>ELC</v>
      </c>
      <c r="C2" s="18" t="str">
        <f>'EB1'!C6</f>
        <v>Electricity Plants</v>
      </c>
      <c r="D2" s="18" t="s">
        <v>100</v>
      </c>
      <c r="E2" s="10" t="str">
        <f>'EB1'!AB2</f>
        <v>PJ</v>
      </c>
      <c r="F2" s="10" t="s">
        <v>101</v>
      </c>
      <c r="G2" s="10" t="str">
        <f>'EB1'!AA2</f>
        <v>M€2025</v>
      </c>
      <c r="H2" s="10" t="s">
        <v>84</v>
      </c>
      <c r="I2" s="10"/>
      <c r="J2" s="10"/>
      <c r="V2" s="84" t="s">
        <v>14</v>
      </c>
      <c r="W2" s="84"/>
      <c r="X2" s="85"/>
      <c r="Y2" s="85"/>
      <c r="Z2" s="85"/>
      <c r="AA2" s="85"/>
      <c r="AB2" s="85"/>
      <c r="AC2" s="85"/>
      <c r="AD2" s="85"/>
    </row>
    <row r="3" spans="2:30" x14ac:dyDescent="0.2">
      <c r="V3" s="86" t="s">
        <v>7</v>
      </c>
      <c r="W3" s="87" t="s">
        <v>30</v>
      </c>
      <c r="X3" s="86" t="s">
        <v>0</v>
      </c>
      <c r="Y3" s="86" t="s">
        <v>3</v>
      </c>
      <c r="Z3" s="86" t="s">
        <v>4</v>
      </c>
      <c r="AA3" s="86" t="s">
        <v>8</v>
      </c>
      <c r="AB3" s="86" t="s">
        <v>9</v>
      </c>
      <c r="AC3" s="86" t="s">
        <v>10</v>
      </c>
      <c r="AD3" s="86" t="s">
        <v>12</v>
      </c>
    </row>
    <row r="4" spans="2:30" ht="24" thickBot="1" x14ac:dyDescent="0.3">
      <c r="B4" s="25" t="s">
        <v>107</v>
      </c>
      <c r="C4" s="8" t="s">
        <v>114</v>
      </c>
      <c r="D4" s="8" t="s">
        <v>108</v>
      </c>
      <c r="E4" s="8" t="s">
        <v>109</v>
      </c>
      <c r="F4" s="8" t="s">
        <v>121</v>
      </c>
      <c r="H4" s="9"/>
      <c r="I4" s="9"/>
      <c r="J4" s="9"/>
      <c r="M4" s="9"/>
      <c r="V4" s="88" t="s">
        <v>35</v>
      </c>
      <c r="W4" s="88" t="s">
        <v>31</v>
      </c>
      <c r="X4" s="88" t="s">
        <v>26</v>
      </c>
      <c r="Y4" s="88" t="s">
        <v>27</v>
      </c>
      <c r="Z4" s="88" t="s">
        <v>4</v>
      </c>
      <c r="AA4" s="88" t="s">
        <v>38</v>
      </c>
      <c r="AB4" s="88" t="s">
        <v>39</v>
      </c>
      <c r="AC4" s="88" t="s">
        <v>28</v>
      </c>
      <c r="AD4" s="88" t="s">
        <v>29</v>
      </c>
    </row>
    <row r="5" spans="2:30" ht="15.75" x14ac:dyDescent="0.25">
      <c r="B5" s="24" t="s">
        <v>113</v>
      </c>
      <c r="C5" s="10" t="s">
        <v>112</v>
      </c>
      <c r="D5" s="10" t="s">
        <v>111</v>
      </c>
      <c r="E5" s="10" t="s">
        <v>110</v>
      </c>
      <c r="F5" s="10" t="s">
        <v>85</v>
      </c>
      <c r="H5" s="9"/>
      <c r="I5" s="9"/>
      <c r="J5" s="9"/>
      <c r="L5" s="21" t="s">
        <v>206</v>
      </c>
      <c r="M5" s="9"/>
      <c r="V5" s="85" t="s">
        <v>64</v>
      </c>
      <c r="W5" s="89"/>
      <c r="X5" s="85" t="s">
        <v>48</v>
      </c>
      <c r="Y5" s="85" t="str">
        <f>'EB1'!$W$3</f>
        <v>Electricity</v>
      </c>
      <c r="Z5" s="85" t="s">
        <v>180</v>
      </c>
      <c r="AA5" s="85"/>
      <c r="AB5" s="85" t="s">
        <v>116</v>
      </c>
      <c r="AC5" s="85"/>
      <c r="AD5" s="85" t="s">
        <v>48</v>
      </c>
    </row>
    <row r="6" spans="2:30" x14ac:dyDescent="0.2">
      <c r="L6" s="21">
        <v>3.6</v>
      </c>
      <c r="V6" s="89" t="s">
        <v>88</v>
      </c>
      <c r="W6" s="89"/>
      <c r="X6" s="89" t="str">
        <f>$B$2&amp;'EB1'!$C$15</f>
        <v>ELCCO2</v>
      </c>
      <c r="Y6" s="89" t="str">
        <f>$C$2&amp;" "&amp;'EB1'!$C$16</f>
        <v>Electricity Plants Carbon dioxide</v>
      </c>
      <c r="Z6" s="89" t="str">
        <f>'EB1'!$AC$2</f>
        <v>kt</v>
      </c>
      <c r="AA6" s="89"/>
      <c r="AB6" s="89"/>
      <c r="AC6" s="89"/>
      <c r="AD6" s="89"/>
    </row>
    <row r="7" spans="2:30" x14ac:dyDescent="0.2">
      <c r="V7" s="2"/>
      <c r="W7" s="2"/>
    </row>
    <row r="8" spans="2:30" x14ac:dyDescent="0.2">
      <c r="D8" s="4" t="s">
        <v>13</v>
      </c>
      <c r="E8" s="4"/>
      <c r="F8" s="4"/>
      <c r="G8" s="4"/>
      <c r="H8" s="4"/>
      <c r="I8" s="4"/>
      <c r="J8" s="4"/>
      <c r="K8" s="4"/>
      <c r="N8" s="5"/>
      <c r="O8" s="5"/>
      <c r="P8" s="3"/>
      <c r="V8" s="84" t="s">
        <v>15</v>
      </c>
      <c r="W8" s="84"/>
      <c r="X8" s="85"/>
      <c r="Y8" s="85"/>
      <c r="Z8" s="85"/>
      <c r="AA8" s="85"/>
      <c r="AB8" s="85"/>
      <c r="AC8" s="85"/>
      <c r="AD8" s="85"/>
    </row>
    <row r="9" spans="2:30" ht="12.75" customHeight="1" x14ac:dyDescent="0.2">
      <c r="B9" s="17" t="s">
        <v>1</v>
      </c>
      <c r="C9" s="17" t="s">
        <v>5</v>
      </c>
      <c r="D9" s="17" t="s">
        <v>6</v>
      </c>
      <c r="E9" s="17" t="s">
        <v>159</v>
      </c>
      <c r="F9" s="17" t="s">
        <v>160</v>
      </c>
      <c r="G9" s="67" t="s">
        <v>210</v>
      </c>
      <c r="H9" s="67" t="s">
        <v>144</v>
      </c>
      <c r="I9" s="67" t="s">
        <v>205</v>
      </c>
      <c r="J9" s="67" t="s">
        <v>71</v>
      </c>
      <c r="K9" s="67" t="s">
        <v>73</v>
      </c>
      <c r="L9" s="67" t="s">
        <v>162</v>
      </c>
      <c r="M9" s="67" t="s">
        <v>157</v>
      </c>
      <c r="N9" s="67" t="s">
        <v>72</v>
      </c>
      <c r="O9" s="67" t="s">
        <v>103</v>
      </c>
      <c r="P9" s="67" t="s">
        <v>70</v>
      </c>
      <c r="Q9" s="67" t="s">
        <v>156</v>
      </c>
      <c r="R9" s="67" t="s">
        <v>117</v>
      </c>
      <c r="S9" s="23"/>
      <c r="T9" s="80" t="s">
        <v>115</v>
      </c>
      <c r="U9" s="27"/>
      <c r="V9" s="86" t="s">
        <v>11</v>
      </c>
      <c r="W9" s="87" t="s">
        <v>30</v>
      </c>
      <c r="X9" s="86" t="s">
        <v>1</v>
      </c>
      <c r="Y9" s="86" t="s">
        <v>2</v>
      </c>
      <c r="Z9" s="86" t="s">
        <v>16</v>
      </c>
      <c r="AA9" s="86" t="s">
        <v>17</v>
      </c>
      <c r="AB9" s="86" t="s">
        <v>18</v>
      </c>
      <c r="AC9" s="86" t="s">
        <v>19</v>
      </c>
      <c r="AD9" s="86" t="s">
        <v>20</v>
      </c>
    </row>
    <row r="10" spans="2:30" ht="34.5" thickBot="1" x14ac:dyDescent="0.25">
      <c r="B10" s="15" t="s">
        <v>37</v>
      </c>
      <c r="C10" s="15" t="s">
        <v>32</v>
      </c>
      <c r="D10" s="15" t="s">
        <v>33</v>
      </c>
      <c r="E10" s="15" t="s">
        <v>161</v>
      </c>
      <c r="F10" s="15" t="s">
        <v>161</v>
      </c>
      <c r="G10" s="15" t="s">
        <v>34</v>
      </c>
      <c r="H10" s="73" t="s">
        <v>119</v>
      </c>
      <c r="I10" s="15"/>
      <c r="J10" s="15" t="s">
        <v>208</v>
      </c>
      <c r="K10" s="15" t="s">
        <v>207</v>
      </c>
      <c r="L10" s="73" t="s">
        <v>82</v>
      </c>
      <c r="M10" s="15" t="s">
        <v>158</v>
      </c>
      <c r="N10" s="15" t="s">
        <v>81</v>
      </c>
      <c r="O10" s="15" t="s">
        <v>105</v>
      </c>
      <c r="P10" s="15" t="s">
        <v>155</v>
      </c>
      <c r="Q10" s="15" t="s">
        <v>106</v>
      </c>
      <c r="R10" s="15" t="s">
        <v>118</v>
      </c>
      <c r="T10" s="30" t="s">
        <v>104</v>
      </c>
      <c r="U10" s="28"/>
      <c r="V10" s="88" t="s">
        <v>36</v>
      </c>
      <c r="W10" s="88" t="s">
        <v>31</v>
      </c>
      <c r="X10" s="88" t="s">
        <v>21</v>
      </c>
      <c r="Y10" s="88" t="s">
        <v>22</v>
      </c>
      <c r="Z10" s="88" t="s">
        <v>23</v>
      </c>
      <c r="AA10" s="88" t="s">
        <v>24</v>
      </c>
      <c r="AB10" s="88" t="s">
        <v>41</v>
      </c>
      <c r="AC10" s="88" t="s">
        <v>40</v>
      </c>
      <c r="AD10" s="88" t="s">
        <v>25</v>
      </c>
    </row>
    <row r="11" spans="2:30" ht="13.5" thickBot="1" x14ac:dyDescent="0.25">
      <c r="B11" s="14" t="s">
        <v>76</v>
      </c>
      <c r="C11" s="14"/>
      <c r="D11" s="14"/>
      <c r="E11" s="13" t="str">
        <f>$F$2</f>
        <v>GW</v>
      </c>
      <c r="F11" s="13" t="str">
        <f>$F$2</f>
        <v>GW</v>
      </c>
      <c r="G11" s="13" t="str">
        <f>$F$2</f>
        <v>GW</v>
      </c>
      <c r="H11" s="68" t="str">
        <f>$F$2</f>
        <v>GW</v>
      </c>
      <c r="I11" s="68"/>
      <c r="J11" s="68"/>
      <c r="K11" s="13"/>
      <c r="L11" s="68"/>
      <c r="M11" s="13" t="str">
        <f>$G$2&amp;"/"&amp;$F$2</f>
        <v>M€2025/GW</v>
      </c>
      <c r="N11" s="13" t="str">
        <f>$G$2&amp;"/"&amp;$F$2</f>
        <v>M€2025/GW</v>
      </c>
      <c r="O11" s="13" t="s">
        <v>209</v>
      </c>
      <c r="P11" s="13" t="s">
        <v>77</v>
      </c>
      <c r="Q11" s="13" t="s">
        <v>193</v>
      </c>
      <c r="R11" s="13"/>
      <c r="T11" s="81" t="s">
        <v>120</v>
      </c>
      <c r="U11" s="28"/>
      <c r="V11" s="88" t="s">
        <v>71</v>
      </c>
      <c r="W11" s="88"/>
      <c r="X11" s="88"/>
      <c r="Y11" s="88"/>
      <c r="Z11" s="88"/>
      <c r="AA11" s="88"/>
      <c r="AB11" s="88"/>
      <c r="AC11" s="88"/>
      <c r="AD11" s="88"/>
    </row>
    <row r="12" spans="2:30" x14ac:dyDescent="0.2">
      <c r="B12" s="21" t="str">
        <f>X12</f>
        <v>ELCREHYD00</v>
      </c>
      <c r="C12" s="21" t="str">
        <f>$B$2&amp;RIGHT(Sector_Fuels_ELC!L10,3)</f>
        <v>ELCHYD</v>
      </c>
      <c r="D12" s="21" t="str">
        <f t="shared" ref="D12:D48" si="0">$X$5</f>
        <v>ELC</v>
      </c>
      <c r="E12" s="42"/>
      <c r="F12" s="42"/>
      <c r="G12" s="82">
        <v>8.0000000000000002E-3</v>
      </c>
      <c r="H12" s="83"/>
      <c r="I12" s="7">
        <v>2</v>
      </c>
      <c r="J12" s="63">
        <v>1</v>
      </c>
      <c r="K12" s="21">
        <f>J12*$L$6</f>
        <v>3.6</v>
      </c>
      <c r="L12" s="63">
        <v>0.5</v>
      </c>
      <c r="M12" s="63"/>
      <c r="N12" s="42"/>
      <c r="O12" s="63"/>
      <c r="P12" s="42"/>
      <c r="Q12" s="64">
        <v>8.76</v>
      </c>
      <c r="R12" s="65">
        <v>0.5</v>
      </c>
      <c r="T12" s="26">
        <f>(E12+F12)*$L12*$Q12</f>
        <v>0</v>
      </c>
      <c r="U12" s="29"/>
      <c r="V12" s="89" t="s">
        <v>102</v>
      </c>
      <c r="W12" s="89"/>
      <c r="X12" s="89" t="str">
        <f>$B$2&amp;$E$5&amp;$H$2&amp;RIGHT(Sector_Fuels_ELC!$L$10,3)&amp;"00"</f>
        <v>ELCREHYD00</v>
      </c>
      <c r="Y12" s="89" t="str">
        <f>$D$2&amp;" "&amp;$H$1&amp;RIGHT(X12,2)&amp;" - "&amp;'EB1'!P3</f>
        <v>Power Plants Existing00 - Hydro power</v>
      </c>
      <c r="Z12" t="s">
        <v>180</v>
      </c>
      <c r="AA12" s="89" t="str">
        <f t="shared" ref="AA12" si="1">$F$2</f>
        <v>GW</v>
      </c>
      <c r="AB12" t="s">
        <v>116</v>
      </c>
      <c r="AC12" s="89"/>
      <c r="AD12" s="89"/>
    </row>
    <row r="13" spans="2:30" x14ac:dyDescent="0.2">
      <c r="B13" s="21" t="str">
        <f>X13</f>
        <v>ELCRESOL_PARNU00</v>
      </c>
      <c r="C13" s="21" t="str">
        <f>$B$2&amp;RIGHT(Sector_Fuels_ELC!L14,3)</f>
        <v>ELCSOL</v>
      </c>
      <c r="D13" s="21" t="str">
        <f t="shared" si="0"/>
        <v>ELC</v>
      </c>
      <c r="G13">
        <v>0.24199999999999999</v>
      </c>
      <c r="I13" s="7">
        <v>2</v>
      </c>
      <c r="J13" s="93">
        <v>1</v>
      </c>
      <c r="K13" s="21">
        <f t="shared" ref="K13:K48" si="2">J13*$L$6</f>
        <v>3.6</v>
      </c>
      <c r="L13" s="63">
        <v>0.3</v>
      </c>
      <c r="M13" s="7">
        <v>1018</v>
      </c>
      <c r="N13" s="83">
        <v>16.064040000000002</v>
      </c>
      <c r="O13" s="83">
        <v>0</v>
      </c>
      <c r="P13" s="21">
        <v>35</v>
      </c>
      <c r="Q13" s="64">
        <v>8.76</v>
      </c>
      <c r="R13" s="74">
        <v>0.1461854238754417</v>
      </c>
      <c r="V13" s="89" t="s">
        <v>102</v>
      </c>
      <c r="X13" s="89" t="str">
        <f>$B$2&amp;$E$5&amp;$H$2&amp;RIGHT(Sector_Fuels_ELC!$L$14,3)&amp;"_"&amp;Intra_areas!B3&amp;"00"</f>
        <v>ELCRESOL_PARNU00</v>
      </c>
      <c r="Y13" s="89" t="str">
        <f>$D$2&amp;" "&amp;$H$1&amp;RIGHT(X13,2)&amp;" in "&amp;Intra_areas!B3&amp;" - "&amp;'EB1'!$T$3</f>
        <v>Power Plants Existing00 in PARNU - Solar energy</v>
      </c>
      <c r="Z13" t="s">
        <v>180</v>
      </c>
      <c r="AA13" t="s">
        <v>101</v>
      </c>
      <c r="AB13" t="s">
        <v>116</v>
      </c>
    </row>
    <row r="14" spans="2:30" x14ac:dyDescent="0.2">
      <c r="B14" s="21" t="str">
        <f t="shared" ref="B14:B37" si="3">X14</f>
        <v>ELCRESOL_TARTU00</v>
      </c>
      <c r="C14" s="21" t="str">
        <f>$B$2&amp;RIGHT(Sector_Fuels_ELC!L14,3)</f>
        <v>ELCSOL</v>
      </c>
      <c r="D14" s="21" t="str">
        <f t="shared" si="0"/>
        <v>ELC</v>
      </c>
      <c r="G14">
        <v>0.108</v>
      </c>
      <c r="I14" s="7">
        <v>2</v>
      </c>
      <c r="J14" s="93">
        <v>1</v>
      </c>
      <c r="K14" s="21">
        <f t="shared" si="2"/>
        <v>3.6</v>
      </c>
      <c r="L14" s="63">
        <v>0.3</v>
      </c>
      <c r="M14" s="7">
        <v>1018</v>
      </c>
      <c r="N14" s="83">
        <v>16.064040000000002</v>
      </c>
      <c r="O14" s="83">
        <v>0</v>
      </c>
      <c r="P14" s="21">
        <v>35</v>
      </c>
      <c r="Q14" s="64">
        <v>8.76</v>
      </c>
      <c r="R14" s="74">
        <v>0.1461854238754417</v>
      </c>
      <c r="T14" s="79"/>
      <c r="V14" s="89" t="s">
        <v>102</v>
      </c>
      <c r="X14" s="89" t="str">
        <f>$B$2&amp;$E$5&amp;$H$2&amp;RIGHT(Sector_Fuels_ELC!$L$14,3)&amp;"_"&amp;Intra_areas!B4&amp;"00"</f>
        <v>ELCRESOL_TARTU00</v>
      </c>
      <c r="Y14" s="89" t="str">
        <f>$D$2&amp;" "&amp;$H$1&amp;RIGHT(X14,2)&amp;" in "&amp;Intra_areas!B4&amp;" - "&amp;'EB1'!$T$3</f>
        <v>Power Plants Existing00 in TARTU - Solar energy</v>
      </c>
      <c r="Z14" t="s">
        <v>180</v>
      </c>
      <c r="AA14" t="s">
        <v>101</v>
      </c>
      <c r="AB14" t="s">
        <v>116</v>
      </c>
    </row>
    <row r="15" spans="2:30" x14ac:dyDescent="0.2">
      <c r="B15" s="21" t="str">
        <f t="shared" si="3"/>
        <v>ELCRESOL_LVIRU00</v>
      </c>
      <c r="C15" s="21" t="str">
        <f>$B$2&amp;RIGHT(Sector_Fuels_ELC!L14,3)</f>
        <v>ELCSOL</v>
      </c>
      <c r="D15" s="21" t="str">
        <f t="shared" si="0"/>
        <v>ELC</v>
      </c>
      <c r="G15">
        <v>0.13200000000000001</v>
      </c>
      <c r="I15" s="7">
        <v>2</v>
      </c>
      <c r="J15" s="93">
        <v>1</v>
      </c>
      <c r="K15" s="21">
        <f t="shared" si="2"/>
        <v>3.6</v>
      </c>
      <c r="L15" s="63">
        <v>0.3</v>
      </c>
      <c r="M15" s="7">
        <v>1018</v>
      </c>
      <c r="N15" s="83">
        <v>16.064040000000002</v>
      </c>
      <c r="O15" s="83">
        <v>0</v>
      </c>
      <c r="P15" s="21">
        <v>35</v>
      </c>
      <c r="Q15" s="64">
        <v>8.76</v>
      </c>
      <c r="R15" s="74">
        <v>0.14867925344692126</v>
      </c>
      <c r="T15" s="79"/>
      <c r="V15" s="89" t="s">
        <v>102</v>
      </c>
      <c r="X15" s="89" t="str">
        <f>$B$2&amp;$E$5&amp;$H$2&amp;RIGHT(Sector_Fuels_ELC!$L$14,3)&amp;"_"&amp;Intra_areas!B5&amp;"00"</f>
        <v>ELCRESOL_LVIRU00</v>
      </c>
      <c r="Y15" s="89" t="str">
        <f>$D$2&amp;" "&amp;$H$1&amp;RIGHT(X15,2)&amp;" in "&amp;Intra_areas!B5&amp;" - "&amp;'EB1'!$T$3</f>
        <v>Power Plants Existing00 in LVIRU - Solar energy</v>
      </c>
      <c r="Z15" t="s">
        <v>180</v>
      </c>
      <c r="AA15" t="s">
        <v>101</v>
      </c>
      <c r="AB15" t="s">
        <v>116</v>
      </c>
    </row>
    <row r="16" spans="2:30" x14ac:dyDescent="0.2">
      <c r="B16" s="21" t="str">
        <f t="shared" si="3"/>
        <v>ELCRESOL_IVIRU00</v>
      </c>
      <c r="C16" s="21" t="str">
        <f>$B$2&amp;RIGHT(Sector_Fuels_ELC!L14,3)</f>
        <v>ELCSOL</v>
      </c>
      <c r="D16" s="21" t="str">
        <f t="shared" si="0"/>
        <v>ELC</v>
      </c>
      <c r="G16">
        <v>7.8E-2</v>
      </c>
      <c r="I16" s="7">
        <v>2</v>
      </c>
      <c r="J16" s="93">
        <v>1</v>
      </c>
      <c r="K16" s="21">
        <f t="shared" si="2"/>
        <v>3.6</v>
      </c>
      <c r="L16" s="63">
        <v>0.3</v>
      </c>
      <c r="M16" s="7">
        <v>1018</v>
      </c>
      <c r="N16" s="83">
        <v>16.064040000000002</v>
      </c>
      <c r="O16" s="83">
        <v>0</v>
      </c>
      <c r="P16" s="21">
        <v>35</v>
      </c>
      <c r="Q16" s="64">
        <v>8.76</v>
      </c>
      <c r="R16" s="74">
        <v>0.14701259708091721</v>
      </c>
      <c r="T16" s="79"/>
      <c r="V16" s="89" t="s">
        <v>102</v>
      </c>
      <c r="X16" s="89" t="str">
        <f>$B$2&amp;$E$5&amp;$H$2&amp;RIGHT(Sector_Fuels_ELC!$L$14,3)&amp;"_"&amp;Intra_areas!B6&amp;"00"</f>
        <v>ELCRESOL_IVIRU00</v>
      </c>
      <c r="Y16" s="89" t="str">
        <f>$D$2&amp;" "&amp;$H$1&amp;RIGHT(X16,2)&amp;" in "&amp;Intra_areas!B6&amp;" - "&amp;'EB1'!$T$3</f>
        <v>Power Plants Existing00 in IVIRU - Solar energy</v>
      </c>
      <c r="Z16" t="s">
        <v>180</v>
      </c>
      <c r="AA16" t="s">
        <v>101</v>
      </c>
      <c r="AB16" t="s">
        <v>116</v>
      </c>
    </row>
    <row r="17" spans="2:28" x14ac:dyDescent="0.2">
      <c r="B17" s="21" t="str">
        <f t="shared" si="3"/>
        <v>ELCRESOL_JARVA00</v>
      </c>
      <c r="C17" s="21" t="str">
        <f>$B$2&amp;RIGHT(Sector_Fuels_ELC!L14,3)</f>
        <v>ELCSOL</v>
      </c>
      <c r="D17" s="21" t="str">
        <f t="shared" si="0"/>
        <v>ELC</v>
      </c>
      <c r="G17">
        <v>7.4999999999999997E-2</v>
      </c>
      <c r="I17" s="7">
        <v>2</v>
      </c>
      <c r="J17" s="93">
        <v>1</v>
      </c>
      <c r="K17" s="21">
        <f t="shared" si="2"/>
        <v>3.6</v>
      </c>
      <c r="L17" s="63">
        <v>0.3</v>
      </c>
      <c r="M17" s="7">
        <v>1018</v>
      </c>
      <c r="N17" s="83">
        <v>16.064040000000002</v>
      </c>
      <c r="O17" s="83">
        <v>0</v>
      </c>
      <c r="P17" s="21">
        <v>35</v>
      </c>
      <c r="Q17" s="64">
        <v>8.76</v>
      </c>
      <c r="R17" s="74">
        <v>0.15309859852159369</v>
      </c>
      <c r="T17" s="79"/>
      <c r="V17" s="89" t="s">
        <v>102</v>
      </c>
      <c r="X17" s="89" t="str">
        <f>$B$2&amp;$E$5&amp;$H$2&amp;RIGHT(Sector_Fuels_ELC!$L$14,3)&amp;"_"&amp;Intra_areas!B7&amp;"00"</f>
        <v>ELCRESOL_JARVA00</v>
      </c>
      <c r="Y17" s="89" t="str">
        <f>$D$2&amp;" "&amp;$H$1&amp;RIGHT(X17,2)&amp;" in "&amp;Intra_areas!B7&amp;" - "&amp;'EB1'!$T$3</f>
        <v>Power Plants Existing00 in JARVA - Solar energy</v>
      </c>
      <c r="Z17" t="s">
        <v>180</v>
      </c>
      <c r="AA17" t="s">
        <v>101</v>
      </c>
      <c r="AB17" t="s">
        <v>116</v>
      </c>
    </row>
    <row r="18" spans="2:28" x14ac:dyDescent="0.2">
      <c r="B18" s="21" t="str">
        <f t="shared" si="3"/>
        <v>ELCRESOL_JOGEVA00</v>
      </c>
      <c r="C18" s="21" t="str">
        <f>$B$2&amp;RIGHT(Sector_Fuels_ELC!L14,3)</f>
        <v>ELCSOL</v>
      </c>
      <c r="D18" s="21" t="str">
        <f t="shared" si="0"/>
        <v>ELC</v>
      </c>
      <c r="G18">
        <v>4.7E-2</v>
      </c>
      <c r="I18" s="7">
        <v>2</v>
      </c>
      <c r="J18" s="93">
        <v>1</v>
      </c>
      <c r="K18" s="21">
        <f t="shared" si="2"/>
        <v>3.6</v>
      </c>
      <c r="L18" s="63">
        <v>0.3</v>
      </c>
      <c r="M18" s="7">
        <v>1018</v>
      </c>
      <c r="N18" s="83">
        <v>16.064040000000002</v>
      </c>
      <c r="O18" s="83">
        <v>0</v>
      </c>
      <c r="P18" s="21">
        <v>35</v>
      </c>
      <c r="Q18" s="64">
        <v>8.76</v>
      </c>
      <c r="R18" s="74">
        <v>0.15309859852159369</v>
      </c>
      <c r="T18" s="79"/>
      <c r="V18" s="89" t="s">
        <v>102</v>
      </c>
      <c r="X18" s="89" t="str">
        <f>$B$2&amp;$E$5&amp;$H$2&amp;RIGHT(Sector_Fuels_ELC!$L$14,3)&amp;"_"&amp;Intra_areas!B8&amp;"00"</f>
        <v>ELCRESOL_JOGEVA00</v>
      </c>
      <c r="Y18" s="89" t="str">
        <f>$D$2&amp;" "&amp;$H$1&amp;RIGHT(X18,2)&amp;" in "&amp;Intra_areas!B8&amp;" - "&amp;'EB1'!$T$3</f>
        <v>Power Plants Existing00 in JOGEVA - Solar energy</v>
      </c>
      <c r="Z18" s="104" t="s">
        <v>180</v>
      </c>
      <c r="AA18" t="s">
        <v>101</v>
      </c>
      <c r="AB18" t="s">
        <v>116</v>
      </c>
    </row>
    <row r="19" spans="2:28" x14ac:dyDescent="0.2">
      <c r="B19" s="21" t="str">
        <f t="shared" si="3"/>
        <v>ELCRESOL_HARJU00</v>
      </c>
      <c r="C19" s="21" t="str">
        <f>$B$2&amp;RIGHT(Sector_Fuels_ELC!L14,3)</f>
        <v>ELCSOL</v>
      </c>
      <c r="D19" s="21" t="str">
        <f t="shared" si="0"/>
        <v>ELC</v>
      </c>
      <c r="G19">
        <v>0.04</v>
      </c>
      <c r="I19" s="7">
        <v>2</v>
      </c>
      <c r="J19" s="93">
        <v>1</v>
      </c>
      <c r="K19" s="21">
        <f t="shared" si="2"/>
        <v>3.6</v>
      </c>
      <c r="L19" s="63">
        <v>0.3</v>
      </c>
      <c r="M19" s="7">
        <v>1018</v>
      </c>
      <c r="N19" s="83">
        <v>16.064040000000002</v>
      </c>
      <c r="O19" s="83">
        <v>0</v>
      </c>
      <c r="P19" s="21">
        <v>35</v>
      </c>
      <c r="Q19" s="64">
        <v>8.76</v>
      </c>
      <c r="R19" s="74">
        <v>0.15619560585976827</v>
      </c>
      <c r="V19" s="89" t="s">
        <v>102</v>
      </c>
      <c r="X19" s="89" t="str">
        <f>$B$2&amp;$E$5&amp;$H$2&amp;RIGHT(Sector_Fuels_ELC!$L$14,3)&amp;"_"&amp;Intra_areas!B9&amp;"00"</f>
        <v>ELCRESOL_HARJU00</v>
      </c>
      <c r="Y19" s="89" t="str">
        <f>$D$2&amp;" "&amp;$H$1&amp;RIGHT(X19,2)&amp;" in "&amp;Intra_areas!B9&amp;" - "&amp;'EB1'!$T$3</f>
        <v>Power Plants Existing00 in HARJU - Solar energy</v>
      </c>
      <c r="Z19" t="s">
        <v>180</v>
      </c>
      <c r="AA19" t="s">
        <v>101</v>
      </c>
      <c r="AB19" t="s">
        <v>116</v>
      </c>
    </row>
    <row r="20" spans="2:28" x14ac:dyDescent="0.2">
      <c r="B20" s="21" t="str">
        <f t="shared" si="3"/>
        <v>ELCRESOL_POLVA00</v>
      </c>
      <c r="C20" s="21" t="str">
        <f>$B$2&amp;RIGHT(Sector_Fuels_ELC!L14,3)</f>
        <v>ELCSOL</v>
      </c>
      <c r="D20" s="21" t="str">
        <f t="shared" si="0"/>
        <v>ELC</v>
      </c>
      <c r="G20">
        <v>0.24199999999999999</v>
      </c>
      <c r="I20" s="7">
        <v>2</v>
      </c>
      <c r="J20" s="93">
        <v>1</v>
      </c>
      <c r="K20" s="21">
        <f t="shared" si="2"/>
        <v>3.6</v>
      </c>
      <c r="L20" s="63">
        <v>0.3</v>
      </c>
      <c r="M20" s="7">
        <v>1018</v>
      </c>
      <c r="N20" s="83">
        <v>16.064040000000002</v>
      </c>
      <c r="O20" s="83">
        <v>0</v>
      </c>
      <c r="P20" s="21">
        <v>35</v>
      </c>
      <c r="Q20" s="64">
        <v>8.76</v>
      </c>
      <c r="R20" s="74">
        <v>0.14537310453496291</v>
      </c>
      <c r="V20" s="89" t="s">
        <v>102</v>
      </c>
      <c r="X20" s="89" t="str">
        <f>$B$2&amp;$E$5&amp;$H$2&amp;RIGHT(Sector_Fuels_ELC!$L$14,3)&amp;"_"&amp;Intra_areas!B10&amp;"00"</f>
        <v>ELCRESOL_POLVA00</v>
      </c>
      <c r="Y20" s="89" t="str">
        <f>$D$2&amp;" "&amp;$H$1&amp;RIGHT(X20,2)&amp;" in "&amp;Intra_areas!B10&amp;" - "&amp;'EB1'!$T$3</f>
        <v>Power Plants Existing00 in POLVA - Solar energy</v>
      </c>
      <c r="Z20" t="s">
        <v>180</v>
      </c>
      <c r="AA20" t="s">
        <v>101</v>
      </c>
      <c r="AB20" t="s">
        <v>116</v>
      </c>
    </row>
    <row r="21" spans="2:28" x14ac:dyDescent="0.2">
      <c r="B21" s="21" t="str">
        <f t="shared" si="3"/>
        <v>ELCRESOL_VALGA00</v>
      </c>
      <c r="C21" s="21" t="str">
        <f>$B$2&amp;RIGHT(Sector_Fuels_ELC!L14,3)</f>
        <v>ELCSOL</v>
      </c>
      <c r="D21" s="21" t="str">
        <f t="shared" si="0"/>
        <v>ELC</v>
      </c>
      <c r="G21">
        <v>4.2999999999999997E-2</v>
      </c>
      <c r="I21" s="7">
        <v>2</v>
      </c>
      <c r="J21" s="93">
        <v>1</v>
      </c>
      <c r="K21" s="21">
        <f t="shared" si="2"/>
        <v>3.6</v>
      </c>
      <c r="L21" s="63">
        <v>0.3</v>
      </c>
      <c r="M21" s="7">
        <v>1018</v>
      </c>
      <c r="N21" s="83">
        <v>16.064040000000002</v>
      </c>
      <c r="O21" s="83">
        <v>0</v>
      </c>
      <c r="P21" s="21">
        <v>35</v>
      </c>
      <c r="Q21" s="64">
        <v>8.76</v>
      </c>
      <c r="R21" s="74">
        <v>0.14763873655681015</v>
      </c>
      <c r="V21" s="89" t="s">
        <v>102</v>
      </c>
      <c r="X21" s="89" t="str">
        <f>$B$2&amp;$E$5&amp;$H$2&amp;RIGHT(Sector_Fuels_ELC!$L$14,3)&amp;"_"&amp;Intra_areas!B11&amp;"00"</f>
        <v>ELCRESOL_VALGA00</v>
      </c>
      <c r="Y21" s="89" t="str">
        <f>$D$2&amp;" "&amp;$H$1&amp;RIGHT(X21,2)&amp;" in "&amp;Intra_areas!B11&amp;" - "&amp;'EB1'!$T$3</f>
        <v>Power Plants Existing00 in VALGA - Solar energy</v>
      </c>
      <c r="Z21" t="s">
        <v>180</v>
      </c>
      <c r="AA21" t="s">
        <v>101</v>
      </c>
      <c r="AB21" t="s">
        <v>116</v>
      </c>
    </row>
    <row r="22" spans="2:28" x14ac:dyDescent="0.2">
      <c r="B22" s="21" t="str">
        <f t="shared" si="3"/>
        <v>ELCRESOL_VILJANDI00</v>
      </c>
      <c r="C22" s="21" t="str">
        <f>$B$2&amp;RIGHT(Sector_Fuels_ELC!L14,3)</f>
        <v>ELCSOL</v>
      </c>
      <c r="D22" s="21" t="str">
        <f t="shared" si="0"/>
        <v>ELC</v>
      </c>
      <c r="G22">
        <v>0.08</v>
      </c>
      <c r="I22" s="7">
        <v>2</v>
      </c>
      <c r="J22" s="93">
        <v>1</v>
      </c>
      <c r="K22" s="21">
        <f t="shared" si="2"/>
        <v>3.6</v>
      </c>
      <c r="L22" s="63">
        <v>0.3</v>
      </c>
      <c r="M22" s="7">
        <v>1018</v>
      </c>
      <c r="N22" s="83">
        <v>16.064040000000002</v>
      </c>
      <c r="O22" s="83">
        <v>0</v>
      </c>
      <c r="P22" s="21">
        <v>35</v>
      </c>
      <c r="Q22" s="64">
        <v>8.76</v>
      </c>
      <c r="R22" s="74">
        <v>0.1532628310027955</v>
      </c>
      <c r="V22" s="89" t="s">
        <v>102</v>
      </c>
      <c r="X22" s="89" t="str">
        <f>$B$2&amp;$E$5&amp;$H$2&amp;RIGHT(Sector_Fuels_ELC!$L$14,3)&amp;"_"&amp;Intra_areas!B12&amp;"00"</f>
        <v>ELCRESOL_VILJANDI00</v>
      </c>
      <c r="Y22" s="89" t="str">
        <f>$D$2&amp;" "&amp;$H$1&amp;RIGHT(X22,2)&amp;" in "&amp;Intra_areas!B12&amp;" - "&amp;'EB1'!$T$3</f>
        <v>Power Plants Existing00 in VILJANDI - Solar energy</v>
      </c>
      <c r="Z22" t="s">
        <v>180</v>
      </c>
      <c r="AA22" t="s">
        <v>101</v>
      </c>
      <c r="AB22" t="s">
        <v>116</v>
      </c>
    </row>
    <row r="23" spans="2:28" x14ac:dyDescent="0.2">
      <c r="B23" s="21" t="str">
        <f t="shared" si="3"/>
        <v>ELCRESOL_VORU00</v>
      </c>
      <c r="C23" s="21" t="str">
        <f>$B$2&amp;RIGHT(Sector_Fuels_ELC!L14,3)</f>
        <v>ELCSOL</v>
      </c>
      <c r="D23" s="21" t="str">
        <f t="shared" si="0"/>
        <v>ELC</v>
      </c>
      <c r="G23">
        <v>3.5000000000000003E-2</v>
      </c>
      <c r="I23" s="7">
        <v>2</v>
      </c>
      <c r="J23" s="93">
        <v>1</v>
      </c>
      <c r="K23" s="21">
        <f t="shared" si="2"/>
        <v>3.6</v>
      </c>
      <c r="L23" s="63">
        <v>0.3</v>
      </c>
      <c r="M23" s="7">
        <v>1019</v>
      </c>
      <c r="N23" s="83">
        <v>16.079820000000002</v>
      </c>
      <c r="O23" s="83">
        <v>0</v>
      </c>
      <c r="P23" s="21">
        <v>35</v>
      </c>
      <c r="Q23" s="64">
        <v>8.76</v>
      </c>
      <c r="R23" s="74">
        <v>0.1461854238754417</v>
      </c>
      <c r="V23" s="89" t="s">
        <v>102</v>
      </c>
      <c r="X23" s="89" t="str">
        <f>$B$2&amp;$E$5&amp;$H$2&amp;RIGHT(Sector_Fuels_ELC!$L$14,3)&amp;"_"&amp;Intra_areas!B13&amp;"00"</f>
        <v>ELCRESOL_VORU00</v>
      </c>
      <c r="Y23" s="89" t="str">
        <f>$D$2&amp;" "&amp;$H$1&amp;RIGHT(X23,2)&amp;" in "&amp;Intra_areas!B13&amp;" - "&amp;'EB1'!$T$3</f>
        <v>Power Plants Existing00 in VORU - Solar energy</v>
      </c>
      <c r="Z23" t="s">
        <v>180</v>
      </c>
      <c r="AA23" t="s">
        <v>101</v>
      </c>
      <c r="AB23" t="s">
        <v>116</v>
      </c>
    </row>
    <row r="24" spans="2:28" x14ac:dyDescent="0.2">
      <c r="B24" s="21" t="str">
        <f t="shared" si="3"/>
        <v>ELCRESOL_SAARE00</v>
      </c>
      <c r="C24" s="21" t="str">
        <f>$B$2&amp;RIGHT(Sector_Fuels_ELC!L14,3)</f>
        <v>ELCSOL</v>
      </c>
      <c r="D24" s="21" t="str">
        <f t="shared" si="0"/>
        <v>ELC</v>
      </c>
      <c r="G24">
        <v>3.1E-2</v>
      </c>
      <c r="I24" s="7">
        <v>2</v>
      </c>
      <c r="J24" s="93">
        <v>1</v>
      </c>
      <c r="K24" s="21">
        <f t="shared" si="2"/>
        <v>3.6</v>
      </c>
      <c r="L24" s="63">
        <v>0.3</v>
      </c>
      <c r="M24" s="7">
        <v>1020</v>
      </c>
      <c r="N24" s="83">
        <v>16.095600000000001</v>
      </c>
      <c r="O24" s="83">
        <v>0</v>
      </c>
      <c r="P24" s="21">
        <v>35</v>
      </c>
      <c r="Q24" s="64">
        <v>8.76</v>
      </c>
      <c r="R24" s="74">
        <v>0.1461854238754417</v>
      </c>
      <c r="V24" s="89" t="s">
        <v>102</v>
      </c>
      <c r="X24" s="89" t="str">
        <f>$B$2&amp;$E$5&amp;$H$2&amp;RIGHT(Sector_Fuels_ELC!$L$14,3)&amp;"_"&amp;Intra_areas!B14&amp;"00"</f>
        <v>ELCRESOL_SAARE00</v>
      </c>
      <c r="Y24" s="89" t="str">
        <f>$D$2&amp;" "&amp;$H$1&amp;RIGHT(X24,2)&amp;" in "&amp;Intra_areas!B14&amp;" - "&amp;'EB1'!$T$3</f>
        <v>Power Plants Existing00 in SAARE - Solar energy</v>
      </c>
      <c r="Z24" t="s">
        <v>180</v>
      </c>
      <c r="AA24" t="s">
        <v>101</v>
      </c>
      <c r="AB24" t="s">
        <v>116</v>
      </c>
    </row>
    <row r="25" spans="2:28" x14ac:dyDescent="0.2">
      <c r="B25" s="21" t="str">
        <f t="shared" si="3"/>
        <v>ELCRESOL_RAPLA00</v>
      </c>
      <c r="C25" s="21" t="str">
        <f>$B$2&amp;RIGHT(Sector_Fuels_ELC!L14,3)</f>
        <v>ELCSOL</v>
      </c>
      <c r="D25" s="21" t="str">
        <f t="shared" si="0"/>
        <v>ELC</v>
      </c>
      <c r="G25">
        <v>2.9000000000000001E-2</v>
      </c>
      <c r="I25" s="7">
        <v>2</v>
      </c>
      <c r="J25" s="93">
        <v>1</v>
      </c>
      <c r="K25" s="21">
        <f t="shared" si="2"/>
        <v>3.6</v>
      </c>
      <c r="L25" s="63">
        <v>0.3</v>
      </c>
      <c r="M25" s="7">
        <v>1021</v>
      </c>
      <c r="N25" s="83">
        <v>16.111380000000004</v>
      </c>
      <c r="O25" s="83">
        <v>0</v>
      </c>
      <c r="P25" s="21">
        <v>35</v>
      </c>
      <c r="Q25" s="64">
        <v>8.76</v>
      </c>
      <c r="R25" s="74">
        <v>0.1461854238754417</v>
      </c>
      <c r="V25" s="89" t="s">
        <v>102</v>
      </c>
      <c r="X25" s="89" t="str">
        <f>$B$2&amp;$E$5&amp;$H$2&amp;RIGHT(Sector_Fuels_ELC!$L$14,3)&amp;"_"&amp;Intra_areas!B15&amp;"00"</f>
        <v>ELCRESOL_RAPLA00</v>
      </c>
      <c r="Y25" s="89" t="str">
        <f>$D$2&amp;" "&amp;$H$1&amp;RIGHT(X25,2)&amp;" in "&amp;Intra_areas!B15&amp;" - "&amp;'EB1'!$T$3</f>
        <v>Power Plants Existing00 in RAPLA - Solar energy</v>
      </c>
      <c r="Z25" t="s">
        <v>180</v>
      </c>
      <c r="AA25" t="s">
        <v>101</v>
      </c>
      <c r="AB25" t="s">
        <v>116</v>
      </c>
    </row>
    <row r="26" spans="2:28" x14ac:dyDescent="0.2">
      <c r="B26" s="21" t="str">
        <f t="shared" si="3"/>
        <v>ELCRESOL_LAANE00</v>
      </c>
      <c r="C26" s="21" t="str">
        <f>$B$2&amp;RIGHT(Sector_Fuels_ELC!L14,3)</f>
        <v>ELCSOL</v>
      </c>
      <c r="D26" s="21" t="str">
        <f t="shared" si="0"/>
        <v>ELC</v>
      </c>
      <c r="G26">
        <v>0.01</v>
      </c>
      <c r="I26" s="7">
        <v>2</v>
      </c>
      <c r="J26" s="93">
        <v>1</v>
      </c>
      <c r="K26" s="21">
        <f t="shared" si="2"/>
        <v>3.6</v>
      </c>
      <c r="L26" s="63">
        <v>0.3</v>
      </c>
      <c r="M26" s="7">
        <v>1022</v>
      </c>
      <c r="N26" s="83">
        <v>16.127160000000003</v>
      </c>
      <c r="O26" s="83">
        <v>0</v>
      </c>
      <c r="P26" s="21">
        <v>35</v>
      </c>
      <c r="Q26" s="64">
        <v>8.76</v>
      </c>
      <c r="R26" s="74">
        <v>0.1461854238754417</v>
      </c>
      <c r="V26" s="89" t="s">
        <v>102</v>
      </c>
      <c r="X26" s="89" t="str">
        <f>$B$2&amp;$E$5&amp;$H$2&amp;RIGHT(Sector_Fuels_ELC!$L$14,3)&amp;"_"&amp;Intra_areas!B16&amp;"00"</f>
        <v>ELCRESOL_LAANE00</v>
      </c>
      <c r="Y26" s="89" t="str">
        <f>$D$2&amp;" "&amp;$H$1&amp;RIGHT(X26,2)&amp;" in "&amp;Intra_areas!B16&amp;" - "&amp;'EB1'!$T$3</f>
        <v>Power Plants Existing00 in LAANE - Solar energy</v>
      </c>
      <c r="Z26" t="s">
        <v>180</v>
      </c>
      <c r="AA26" t="s">
        <v>101</v>
      </c>
      <c r="AB26" t="s">
        <v>116</v>
      </c>
    </row>
    <row r="27" spans="2:28" x14ac:dyDescent="0.2">
      <c r="B27" s="21" t="str">
        <f t="shared" si="3"/>
        <v>ELCRESOL_HIIU00</v>
      </c>
      <c r="C27" s="21" t="str">
        <f>$B$2&amp;RIGHT(Sector_Fuels_ELC!L14,3)</f>
        <v>ELCSOL</v>
      </c>
      <c r="D27" s="21" t="str">
        <f t="shared" si="0"/>
        <v>ELC</v>
      </c>
      <c r="G27">
        <v>5.0000000000000001E-3</v>
      </c>
      <c r="I27" s="7">
        <v>2</v>
      </c>
      <c r="J27" s="93">
        <v>1</v>
      </c>
      <c r="K27" s="21">
        <f t="shared" si="2"/>
        <v>3.6</v>
      </c>
      <c r="L27" s="63">
        <v>0.3</v>
      </c>
      <c r="M27" s="7">
        <v>1023</v>
      </c>
      <c r="N27" s="83">
        <v>16.142940000000003</v>
      </c>
      <c r="O27" s="83">
        <v>0</v>
      </c>
      <c r="P27" s="21">
        <v>35</v>
      </c>
      <c r="Q27" s="21">
        <v>8.76</v>
      </c>
      <c r="R27" s="74">
        <v>0.1461854238754417</v>
      </c>
      <c r="V27" s="89" t="s">
        <v>102</v>
      </c>
      <c r="X27" s="89" t="str">
        <f>$B$2&amp;$E$5&amp;$H$2&amp;RIGHT(Sector_Fuels_ELC!$L$14,3)&amp;"_"&amp;Intra_areas!B17&amp;"00"</f>
        <v>ELCRESOL_HIIU00</v>
      </c>
      <c r="Y27" s="89" t="str">
        <f>$D$2&amp;" "&amp;$H$1&amp;RIGHT(X27,2)&amp;" in "&amp;Intra_areas!B17&amp;" - "&amp;'EB1'!$T$3</f>
        <v>Power Plants Existing00 in HIIU - Solar energy</v>
      </c>
      <c r="Z27" t="s">
        <v>180</v>
      </c>
      <c r="AA27" t="s">
        <v>101</v>
      </c>
      <c r="AB27" t="s">
        <v>116</v>
      </c>
    </row>
    <row r="28" spans="2:28" x14ac:dyDescent="0.2">
      <c r="B28" s="21" t="str">
        <f t="shared" si="3"/>
        <v>ELCREWON_SOPITOOTSI00</v>
      </c>
      <c r="C28" s="21" t="str">
        <f>$B$2&amp;RIGHT(Sector_Fuels_ELC!$L$12,3)</f>
        <v>ELCWON</v>
      </c>
      <c r="D28" s="21" t="str">
        <f t="shared" si="0"/>
        <v>ELC</v>
      </c>
      <c r="G28">
        <v>7.9699999999999993E-2</v>
      </c>
      <c r="I28" s="7">
        <v>2</v>
      </c>
      <c r="J28" s="93">
        <v>1</v>
      </c>
      <c r="K28" s="21">
        <f t="shared" si="2"/>
        <v>3.6</v>
      </c>
      <c r="L28" s="63">
        <v>0.3</v>
      </c>
      <c r="M28" s="7">
        <v>1494.4630999999999</v>
      </c>
      <c r="N28" s="83">
        <v>18.701711233400001</v>
      </c>
      <c r="O28" s="83">
        <v>2.0036999999999998</v>
      </c>
      <c r="P28">
        <v>27</v>
      </c>
      <c r="Q28" s="21">
        <v>8.76</v>
      </c>
      <c r="R28">
        <v>0.4</v>
      </c>
      <c r="V28" s="89" t="s">
        <v>102</v>
      </c>
      <c r="X28" t="str">
        <f>$B$2&amp;$E$5&amp;$H$2&amp;RIGHT(Sector_Fuels_ELC!$L$12,3)&amp;"_"&amp;Intra_areas!C3&amp;"00"</f>
        <v>ELCREWON_SOPITOOTSI00</v>
      </c>
      <c r="Y28" t="str">
        <f>$D$2&amp;" "&amp;$H$1&amp;RIGHT(X28,2)&amp;" in "&amp;Intra_areas!C3&amp;" - "&amp;'EB1'!$R$3</f>
        <v>Power Plants Existing00 in SOPITOOTSI - Wind onshore energy</v>
      </c>
      <c r="Z28" t="s">
        <v>180</v>
      </c>
      <c r="AA28" t="s">
        <v>101</v>
      </c>
      <c r="AB28" t="s">
        <v>116</v>
      </c>
    </row>
    <row r="29" spans="2:28" x14ac:dyDescent="0.2">
      <c r="B29" s="21" t="str">
        <f t="shared" si="3"/>
        <v>ELCREWON_SOPIPURTSE00</v>
      </c>
      <c r="C29" s="21" t="str">
        <f>$B$2&amp;RIGHT(Sector_Fuels_ELC!$L$12,3)</f>
        <v>ELCWON</v>
      </c>
      <c r="D29" s="21" t="str">
        <f t="shared" si="0"/>
        <v>ELC</v>
      </c>
      <c r="G29">
        <v>0.17519999999999999</v>
      </c>
      <c r="I29" s="7">
        <v>2</v>
      </c>
      <c r="J29" s="93">
        <v>1</v>
      </c>
      <c r="K29" s="21">
        <f t="shared" si="2"/>
        <v>3.6</v>
      </c>
      <c r="L29" s="63">
        <v>0.3</v>
      </c>
      <c r="M29" s="7">
        <v>1494.4630999999999</v>
      </c>
      <c r="N29" s="83">
        <v>18.701711233400001</v>
      </c>
      <c r="O29" s="83">
        <v>2.0036999999999998</v>
      </c>
      <c r="P29">
        <v>27</v>
      </c>
      <c r="Q29" s="21">
        <v>8.76</v>
      </c>
      <c r="R29">
        <v>0.4</v>
      </c>
      <c r="V29" s="89" t="s">
        <v>102</v>
      </c>
      <c r="X29" t="str">
        <f>$B$2&amp;$E$5&amp;$H$2&amp;RIGHT(Sector_Fuels_ELC!$L$12,3)&amp;"_"&amp;Intra_areas!C4&amp;"00"</f>
        <v>ELCREWON_SOPIPURTSE00</v>
      </c>
      <c r="Y29" t="str">
        <f>$D$2&amp;" "&amp;$H$1&amp;RIGHT(X29,2)&amp;" in "&amp;Intra_areas!C4&amp;" - "&amp;'EB1'!$R$3</f>
        <v>Power Plants Existing00 in SOPIPURTSE - Wind onshore energy</v>
      </c>
      <c r="Z29" t="s">
        <v>180</v>
      </c>
      <c r="AA29" t="s">
        <v>101</v>
      </c>
      <c r="AB29" t="s">
        <v>116</v>
      </c>
    </row>
    <row r="30" spans="2:28" x14ac:dyDescent="0.2">
      <c r="B30" s="21" t="str">
        <f t="shared" si="3"/>
        <v>ELCREWON_OTHER00</v>
      </c>
      <c r="C30" s="21" t="str">
        <f>$B$2&amp;RIGHT(Sector_Fuels_ELC!$L$12,3)</f>
        <v>ELCWON</v>
      </c>
      <c r="D30" s="21" t="str">
        <f t="shared" si="0"/>
        <v>ELC</v>
      </c>
      <c r="G30">
        <v>8.130000000000015E-2</v>
      </c>
      <c r="I30" s="7">
        <v>2</v>
      </c>
      <c r="J30" s="93">
        <v>1</v>
      </c>
      <c r="K30" s="21">
        <f t="shared" si="2"/>
        <v>3.6</v>
      </c>
      <c r="L30" s="63">
        <v>0.3</v>
      </c>
      <c r="M30" s="7">
        <v>1494.4630999999999</v>
      </c>
      <c r="N30" s="83">
        <v>18.701711233400001</v>
      </c>
      <c r="O30" s="83">
        <v>2.0036999999999998</v>
      </c>
      <c r="P30">
        <v>27</v>
      </c>
      <c r="Q30" s="21">
        <v>8.76</v>
      </c>
      <c r="R30">
        <v>0.4</v>
      </c>
      <c r="V30" s="89" t="s">
        <v>102</v>
      </c>
      <c r="X30" t="str">
        <f>$B$2&amp;$E$5&amp;$H$2&amp;RIGHT(Sector_Fuels_ELC!$L$12,3)&amp;"_"&amp;Intra_areas!C5&amp;"00"</f>
        <v>ELCREWON_OTHER00</v>
      </c>
      <c r="Y30" t="str">
        <f>$D$2&amp;" "&amp;$H$1&amp;RIGHT(X30,2)&amp;" in "&amp;Intra_areas!C5&amp;" - "&amp;'EB1'!$R$3</f>
        <v>Power Plants Existing00 in OTHER - Wind onshore energy</v>
      </c>
      <c r="Z30" t="s">
        <v>180</v>
      </c>
      <c r="AA30" t="s">
        <v>101</v>
      </c>
      <c r="AB30" t="s">
        <v>116</v>
      </c>
    </row>
    <row r="31" spans="2:28" x14ac:dyDescent="0.2">
      <c r="B31" s="21" t="str">
        <f t="shared" si="3"/>
        <v>ELCREWON_SAARE00</v>
      </c>
      <c r="C31" s="21" t="str">
        <f>$B$2&amp;RIGHT(Sector_Fuels_ELC!$L$12,3)</f>
        <v>ELCWON</v>
      </c>
      <c r="D31" s="21" t="str">
        <f t="shared" si="0"/>
        <v>ELC</v>
      </c>
      <c r="G31">
        <v>1.6E-2</v>
      </c>
      <c r="I31" s="7">
        <v>2</v>
      </c>
      <c r="J31" s="93">
        <v>1</v>
      </c>
      <c r="K31" s="21">
        <f t="shared" si="2"/>
        <v>3.6</v>
      </c>
      <c r="L31" s="63">
        <v>0.3</v>
      </c>
      <c r="M31" s="7">
        <v>1494.4630999999999</v>
      </c>
      <c r="N31" s="83">
        <v>18.701711233400001</v>
      </c>
      <c r="O31" s="83">
        <v>2.0036999999999998</v>
      </c>
      <c r="P31">
        <v>27</v>
      </c>
      <c r="Q31" s="21">
        <v>8.76</v>
      </c>
      <c r="R31">
        <v>0.4</v>
      </c>
      <c r="V31" s="89" t="s">
        <v>102</v>
      </c>
      <c r="X31" t="str">
        <f>$B$2&amp;$E$5&amp;$H$2&amp;RIGHT(Sector_Fuels_ELC!$L$12,3)&amp;"_"&amp;Intra_areas!C6&amp;"00"</f>
        <v>ELCREWON_SAARE00</v>
      </c>
      <c r="Y31" t="str">
        <f>$D$2&amp;" "&amp;$H$1&amp;RIGHT(X31,2)&amp;" in "&amp;Intra_areas!C6&amp;" - "&amp;'EB1'!$R$3</f>
        <v>Power Plants Existing00 in SAARE - Wind onshore energy</v>
      </c>
      <c r="Z31" t="s">
        <v>180</v>
      </c>
      <c r="AA31" t="s">
        <v>101</v>
      </c>
      <c r="AB31" t="s">
        <v>116</v>
      </c>
    </row>
    <row r="32" spans="2:28" x14ac:dyDescent="0.2">
      <c r="B32" s="21" t="str">
        <f t="shared" si="3"/>
        <v>ELCREWON_LVIRU00</v>
      </c>
      <c r="C32" s="21" t="str">
        <f>$B$2&amp;RIGHT(Sector_Fuels_ELC!$L$12,3)</f>
        <v>ELCWON</v>
      </c>
      <c r="D32" s="21" t="str">
        <f t="shared" si="0"/>
        <v>ELC</v>
      </c>
      <c r="G32">
        <v>3.27E-2</v>
      </c>
      <c r="I32" s="7">
        <v>2</v>
      </c>
      <c r="J32" s="93">
        <v>1</v>
      </c>
      <c r="K32" s="21">
        <f t="shared" si="2"/>
        <v>3.6</v>
      </c>
      <c r="L32" s="63">
        <v>0.3</v>
      </c>
      <c r="M32" s="7">
        <v>1494.4630999999999</v>
      </c>
      <c r="N32" s="83">
        <v>18.701711233400001</v>
      </c>
      <c r="O32" s="83">
        <v>2.0036999999999998</v>
      </c>
      <c r="P32">
        <v>27</v>
      </c>
      <c r="Q32" s="21">
        <v>8.76</v>
      </c>
      <c r="R32">
        <v>0.4</v>
      </c>
      <c r="V32" s="89" t="s">
        <v>102</v>
      </c>
      <c r="X32" t="str">
        <f>$B$2&amp;$E$5&amp;$H$2&amp;RIGHT(Sector_Fuels_ELC!$L$12,3)&amp;"_"&amp;Intra_areas!C7&amp;"00"</f>
        <v>ELCREWON_LVIRU00</v>
      </c>
      <c r="Y32" t="str">
        <f>$D$2&amp;" "&amp;$H$1&amp;RIGHT(X32,2)&amp;" in "&amp;Intra_areas!C7&amp;" - "&amp;'EB1'!$R$3</f>
        <v>Power Plants Existing00 in LVIRU - Wind onshore energy</v>
      </c>
      <c r="Z32" t="s">
        <v>180</v>
      </c>
      <c r="AA32" t="s">
        <v>101</v>
      </c>
      <c r="AB32" t="s">
        <v>116</v>
      </c>
    </row>
    <row r="33" spans="2:28" x14ac:dyDescent="0.2">
      <c r="B33" s="21" t="str">
        <f t="shared" si="3"/>
        <v>ELCREWON_HARJU00</v>
      </c>
      <c r="C33" s="21" t="str">
        <f>$B$2&amp;RIGHT(Sector_Fuels_ELC!$L$12,3)</f>
        <v>ELCWON</v>
      </c>
      <c r="D33" s="21" t="str">
        <f t="shared" si="0"/>
        <v>ELC</v>
      </c>
      <c r="G33">
        <v>6.3399999999999998E-2</v>
      </c>
      <c r="I33" s="7">
        <v>2</v>
      </c>
      <c r="J33" s="93">
        <v>1</v>
      </c>
      <c r="K33" s="21">
        <f t="shared" si="2"/>
        <v>3.6</v>
      </c>
      <c r="L33" s="63">
        <v>0.3</v>
      </c>
      <c r="M33" s="7">
        <v>1494.4630999999999</v>
      </c>
      <c r="N33" s="83">
        <v>18.701711233400001</v>
      </c>
      <c r="O33" s="83">
        <v>2.0036999999999998</v>
      </c>
      <c r="P33">
        <v>27</v>
      </c>
      <c r="Q33" s="21">
        <v>8.76</v>
      </c>
      <c r="R33">
        <v>0.4</v>
      </c>
      <c r="V33" s="89" t="s">
        <v>102</v>
      </c>
      <c r="X33" t="str">
        <f>$B$2&amp;$E$5&amp;$H$2&amp;RIGHT(Sector_Fuels_ELC!$L$12,3)&amp;"_"&amp;Intra_areas!C8&amp;"00"</f>
        <v>ELCREWON_HARJU00</v>
      </c>
      <c r="Y33" t="str">
        <f>$D$2&amp;" "&amp;$H$1&amp;RIGHT(X33,2)&amp;" in "&amp;Intra_areas!C8&amp;" - "&amp;'EB1'!$R$3</f>
        <v>Power Plants Existing00 in HARJU - Wind onshore energy</v>
      </c>
      <c r="Z33" t="s">
        <v>180</v>
      </c>
      <c r="AA33" t="s">
        <v>101</v>
      </c>
      <c r="AB33" t="s">
        <v>116</v>
      </c>
    </row>
    <row r="34" spans="2:28" x14ac:dyDescent="0.2">
      <c r="B34" s="21" t="str">
        <f t="shared" si="3"/>
        <v>ELCREWON_LAANE00</v>
      </c>
      <c r="C34" s="21" t="str">
        <f>$B$2&amp;RIGHT(Sector_Fuels_ELC!$L$12,3)</f>
        <v>ELCWON</v>
      </c>
      <c r="D34" s="21" t="str">
        <f t="shared" si="0"/>
        <v>ELC</v>
      </c>
      <c r="G34">
        <v>0.06</v>
      </c>
      <c r="I34" s="7">
        <v>2</v>
      </c>
      <c r="J34" s="93">
        <v>1</v>
      </c>
      <c r="K34" s="21">
        <f t="shared" si="2"/>
        <v>3.6</v>
      </c>
      <c r="L34" s="63">
        <v>0.3</v>
      </c>
      <c r="M34" s="7">
        <v>1494.4630999999999</v>
      </c>
      <c r="N34" s="83">
        <v>18.701711233400001</v>
      </c>
      <c r="O34" s="83">
        <v>2.0036999999999998</v>
      </c>
      <c r="P34">
        <v>27</v>
      </c>
      <c r="Q34" s="21">
        <v>8.76</v>
      </c>
      <c r="R34">
        <v>0.4</v>
      </c>
      <c r="V34" s="89" t="s">
        <v>102</v>
      </c>
      <c r="X34" t="str">
        <f>$B$2&amp;$E$5&amp;$H$2&amp;RIGHT(Sector_Fuels_ELC!$L$12,3)&amp;"_"&amp;Intra_areas!C9&amp;"00"</f>
        <v>ELCREWON_LAANE00</v>
      </c>
      <c r="Y34" t="str">
        <f>$D$2&amp;" "&amp;$H$1&amp;RIGHT(X34,2)&amp;" in "&amp;Intra_areas!C9&amp;" - "&amp;'EB1'!$R$3</f>
        <v>Power Plants Existing00 in LAANE - Wind onshore energy</v>
      </c>
      <c r="Z34" t="s">
        <v>180</v>
      </c>
      <c r="AA34" t="s">
        <v>101</v>
      </c>
      <c r="AB34" t="s">
        <v>116</v>
      </c>
    </row>
    <row r="35" spans="2:28" x14ac:dyDescent="0.2">
      <c r="B35" s="21" t="str">
        <f t="shared" si="3"/>
        <v>ELCREWON_IVIRU00</v>
      </c>
      <c r="C35" s="21" t="str">
        <f>$B$2&amp;RIGHT(Sector_Fuels_ELC!$L$12,3)</f>
        <v>ELCWON</v>
      </c>
      <c r="D35" s="21" t="str">
        <f t="shared" si="0"/>
        <v>ELC</v>
      </c>
      <c r="G35">
        <v>8.2000000000000003E-2</v>
      </c>
      <c r="I35" s="7">
        <v>2</v>
      </c>
      <c r="J35" s="93">
        <v>1</v>
      </c>
      <c r="K35" s="21">
        <f t="shared" si="2"/>
        <v>3.6</v>
      </c>
      <c r="L35" s="63">
        <v>0.3</v>
      </c>
      <c r="M35" s="7">
        <v>1494.4630999999999</v>
      </c>
      <c r="N35" s="83">
        <v>18.701711233400001</v>
      </c>
      <c r="O35" s="83">
        <v>2.0036999999999998</v>
      </c>
      <c r="P35">
        <v>27</v>
      </c>
      <c r="Q35" s="21">
        <v>8.76</v>
      </c>
      <c r="R35">
        <v>0.4</v>
      </c>
      <c r="V35" s="89" t="s">
        <v>102</v>
      </c>
      <c r="X35" t="str">
        <f>$B$2&amp;$E$5&amp;$H$2&amp;RIGHT(Sector_Fuels_ELC!$L$12,3)&amp;"_"&amp;Intra_areas!C10&amp;"00"</f>
        <v>ELCREWON_IVIRU00</v>
      </c>
      <c r="Y35" t="str">
        <f>$D$2&amp;" "&amp;$H$1&amp;RIGHT(X35,2)&amp;" in "&amp;Intra_areas!C10&amp;" - "&amp;'EB1'!$R$3</f>
        <v>Power Plants Existing00 in IVIRU - Wind onshore energy</v>
      </c>
      <c r="Z35" t="s">
        <v>180</v>
      </c>
      <c r="AA35" t="s">
        <v>101</v>
      </c>
      <c r="AB35" t="s">
        <v>116</v>
      </c>
    </row>
    <row r="36" spans="2:28" x14ac:dyDescent="0.2">
      <c r="B36" s="21" t="str">
        <f t="shared" si="3"/>
        <v>ELCREWON_PARNU00</v>
      </c>
      <c r="C36" s="21" t="str">
        <f>$B$2&amp;RIGHT(Sector_Fuels_ELC!$L$12,3)</f>
        <v>ELCWON</v>
      </c>
      <c r="D36" s="21" t="str">
        <f t="shared" si="0"/>
        <v>ELC</v>
      </c>
      <c r="G36">
        <v>0.1036</v>
      </c>
      <c r="I36" s="7">
        <v>2</v>
      </c>
      <c r="J36" s="93">
        <v>1</v>
      </c>
      <c r="K36" s="21">
        <f t="shared" si="2"/>
        <v>3.6</v>
      </c>
      <c r="L36" s="63">
        <v>0.3</v>
      </c>
      <c r="M36" s="7">
        <v>1494.4630999999999</v>
      </c>
      <c r="N36" s="83">
        <v>18.701711233400001</v>
      </c>
      <c r="O36" s="83">
        <v>2.0036999999999998</v>
      </c>
      <c r="P36">
        <v>27</v>
      </c>
      <c r="Q36" s="21">
        <v>8.76</v>
      </c>
      <c r="R36">
        <v>0.4</v>
      </c>
      <c r="V36" s="89" t="s">
        <v>102</v>
      </c>
      <c r="X36" t="str">
        <f>$B$2&amp;$E$5&amp;$H$2&amp;RIGHT(Sector_Fuels_ELC!$L$12,3)&amp;"_"&amp;Intra_areas!C11&amp;"00"</f>
        <v>ELCREWON_PARNU00</v>
      </c>
      <c r="Y36" t="str">
        <f>$D$2&amp;" "&amp;$H$1&amp;RIGHT(X36,2)&amp;" in "&amp;Intra_areas!C11&amp;" - "&amp;'EB1'!$R$3</f>
        <v>Power Plants Existing00 in PARNU - Wind onshore energy</v>
      </c>
      <c r="Z36" t="s">
        <v>180</v>
      </c>
      <c r="AA36" t="s">
        <v>101</v>
      </c>
      <c r="AB36" t="s">
        <v>116</v>
      </c>
    </row>
    <row r="37" spans="2:28" x14ac:dyDescent="0.2">
      <c r="B37" s="21" t="str">
        <f t="shared" si="3"/>
        <v>ELCREMSW_IRU00</v>
      </c>
      <c r="C37" s="21" t="str">
        <f>$B$2&amp;RIGHT(Sector_Fuels_ELC!L15,3)</f>
        <v>ELCMSW</v>
      </c>
      <c r="D37" s="21" t="str">
        <f t="shared" si="0"/>
        <v>ELC</v>
      </c>
      <c r="G37" s="21">
        <v>1.7000000000000001E-2</v>
      </c>
      <c r="I37" s="7">
        <v>2</v>
      </c>
      <c r="J37" s="21">
        <v>0.56000000000000005</v>
      </c>
      <c r="K37" s="21">
        <f t="shared" si="2"/>
        <v>2.0160000000000005</v>
      </c>
      <c r="L37" s="21">
        <v>0.9</v>
      </c>
      <c r="M37" s="79">
        <v>1175.5066999999999</v>
      </c>
      <c r="N37" s="79">
        <v>160.216352398</v>
      </c>
      <c r="O37" s="79">
        <v>5.8775000000000004</v>
      </c>
      <c r="P37" s="79">
        <v>40</v>
      </c>
      <c r="Q37" s="21">
        <v>8.76</v>
      </c>
      <c r="R37">
        <v>1</v>
      </c>
      <c r="V37" s="89" t="s">
        <v>102</v>
      </c>
      <c r="X37" t="str">
        <f>$B$2&amp;$E$5&amp;$H$2&amp;RIGHT(Sector_Fuels_ELC!L15,3)&amp;"_IRU"&amp;"00"</f>
        <v>ELCREMSW_IRU00</v>
      </c>
      <c r="Y37" t="str">
        <f>$D$2&amp;" "&amp;$H$1&amp;RIGHT(X37,2)&amp;" Iru Power plant - Municipal waste"</f>
        <v>Power Plants Existing00 Iru Power plant - Municipal waste</v>
      </c>
      <c r="Z37" t="s">
        <v>180</v>
      </c>
      <c r="AA37" t="s">
        <v>101</v>
      </c>
      <c r="AB37" t="s">
        <v>116</v>
      </c>
    </row>
    <row r="38" spans="2:28" x14ac:dyDescent="0.2">
      <c r="B38" s="21" t="str">
        <f>X38</f>
        <v>ELCTESHL_EESTI00</v>
      </c>
      <c r="C38" s="21" t="str">
        <f>$B$2&amp;RIGHT(Sector_Fuels_ELC!$L$16,3)</f>
        <v>ELCSHL</v>
      </c>
      <c r="D38" s="21" t="str">
        <f t="shared" si="0"/>
        <v>ELC</v>
      </c>
      <c r="G38" s="21">
        <v>0.77</v>
      </c>
      <c r="I38" s="7">
        <v>2</v>
      </c>
      <c r="J38" s="21">
        <v>0.33</v>
      </c>
      <c r="K38" s="21">
        <f t="shared" si="2"/>
        <v>1.1880000000000002</v>
      </c>
      <c r="L38" s="21">
        <v>0.95</v>
      </c>
      <c r="M38" s="79">
        <v>4812.0244000000002</v>
      </c>
      <c r="N38" s="79">
        <v>63.037519640000006</v>
      </c>
      <c r="O38" s="79">
        <v>4.1005000000000003</v>
      </c>
      <c r="P38" s="79">
        <v>10</v>
      </c>
      <c r="Q38" s="21">
        <v>8.76</v>
      </c>
      <c r="R38" s="21">
        <v>1</v>
      </c>
      <c r="V38" s="89" t="s">
        <v>102</v>
      </c>
      <c r="W38" s="89"/>
      <c r="X38" s="89" t="str">
        <f>$B$2&amp;$C$5&amp;$H$2&amp;RIGHT(Sector_Fuels_ELC!$L$16,3)&amp;"_EESTI00"</f>
        <v>ELCTESHL_EESTI00</v>
      </c>
      <c r="Y38" t="str">
        <f>$D$2&amp;" "&amp;$H$1&amp;RIGHT(X38,2)&amp;" Eesti Power plant - Oil Shale"</f>
        <v>Power Plants Existing00 Eesti Power plant - Oil Shale</v>
      </c>
      <c r="Z38" t="s">
        <v>180</v>
      </c>
      <c r="AA38" t="s">
        <v>101</v>
      </c>
      <c r="AB38" t="s">
        <v>116</v>
      </c>
    </row>
    <row r="39" spans="2:28" x14ac:dyDescent="0.2">
      <c r="B39" s="21" t="str">
        <f>X39</f>
        <v>ELCTESHL_AUVERE00</v>
      </c>
      <c r="C39" s="21" t="str">
        <f>$B$2&amp;RIGHT(Sector_Fuels_ELC!$L$16,3)</f>
        <v>ELCSHL</v>
      </c>
      <c r="D39" s="21" t="str">
        <f t="shared" si="0"/>
        <v>ELC</v>
      </c>
      <c r="G39" s="21">
        <v>0.26</v>
      </c>
      <c r="I39" s="7">
        <v>2</v>
      </c>
      <c r="J39" s="21">
        <v>0.33</v>
      </c>
      <c r="K39" s="21">
        <f t="shared" si="2"/>
        <v>1.1880000000000002</v>
      </c>
      <c r="L39" s="21">
        <v>0.95</v>
      </c>
      <c r="M39" s="79">
        <v>4812.0244000000002</v>
      </c>
      <c r="N39" s="79">
        <v>63.037519640000006</v>
      </c>
      <c r="O39" s="79">
        <v>4.1005000000000003</v>
      </c>
      <c r="P39" s="21">
        <v>10</v>
      </c>
      <c r="Q39" s="21">
        <v>8.76</v>
      </c>
      <c r="R39" s="21">
        <v>1</v>
      </c>
      <c r="V39" s="89" t="s">
        <v>102</v>
      </c>
      <c r="W39" s="89"/>
      <c r="X39" s="89" t="str">
        <f>$B$2&amp;$C$5&amp;$H$2&amp;RIGHT(Sector_Fuels_ELC!$L$16,3)&amp;"_AUVERE00"</f>
        <v>ELCTESHL_AUVERE00</v>
      </c>
      <c r="Y39" t="str">
        <f>$D$2&amp;" "&amp;$H$1&amp;RIGHT(X39,2)&amp;" Auvere Power plant - Oil Shale"</f>
        <v>Power Plants Existing00 Auvere Power plant - Oil Shale</v>
      </c>
      <c r="Z39" t="s">
        <v>180</v>
      </c>
      <c r="AA39" t="s">
        <v>101</v>
      </c>
      <c r="AB39" t="s">
        <v>116</v>
      </c>
    </row>
    <row r="40" spans="2:28" x14ac:dyDescent="0.2">
      <c r="B40" s="21" t="str">
        <f>X40</f>
        <v>ELCTESHL_ENEFIT00</v>
      </c>
      <c r="C40" s="21" t="str">
        <f>$B$2&amp;RIGHT(Sector_Fuels_ELC!$L$16,3)</f>
        <v>ELCSHL</v>
      </c>
      <c r="D40" s="21" t="str">
        <f t="shared" si="0"/>
        <v>ELC</v>
      </c>
      <c r="G40" s="21">
        <v>0.01</v>
      </c>
      <c r="I40" s="7">
        <v>2</v>
      </c>
      <c r="J40" s="21">
        <v>0.33</v>
      </c>
      <c r="K40" s="21">
        <f t="shared" si="2"/>
        <v>1.1880000000000002</v>
      </c>
      <c r="L40" s="21">
        <v>0.95</v>
      </c>
      <c r="M40" s="79">
        <v>4812.0244000000002</v>
      </c>
      <c r="N40" s="79">
        <v>63.037519640000006</v>
      </c>
      <c r="O40" s="79">
        <v>4.1005000000000003</v>
      </c>
      <c r="P40" s="21">
        <v>10</v>
      </c>
      <c r="Q40" s="21">
        <v>8.76</v>
      </c>
      <c r="R40" s="21">
        <v>1</v>
      </c>
      <c r="V40" s="89" t="s">
        <v>102</v>
      </c>
      <c r="W40" s="89"/>
      <c r="X40" s="89" t="str">
        <f>$B$2&amp;$C$5&amp;$H$2&amp;RIGHT(Sector_Fuels_ELC!$L$16,3)&amp;"_ENEFIT00"</f>
        <v>ELCTESHL_ENEFIT00</v>
      </c>
      <c r="Y40" t="str">
        <f>$D$2&amp;" "&amp;$H$1&amp;RIGHT(X40,2)&amp;" Eenefit Power plant - Oil Shale"</f>
        <v>Power Plants Existing00 Eenefit Power plant - Oil Shale</v>
      </c>
      <c r="Z40" t="s">
        <v>180</v>
      </c>
      <c r="AA40" t="s">
        <v>101</v>
      </c>
      <c r="AB40" t="s">
        <v>116</v>
      </c>
    </row>
    <row r="41" spans="2:28" x14ac:dyDescent="0.2">
      <c r="B41" s="21" t="str">
        <f>X41</f>
        <v>ELCTESHL_BALTI00</v>
      </c>
      <c r="C41" s="21" t="str">
        <f>$B$2&amp;RIGHT(Sector_Fuels_ELC!$L$16,3)</f>
        <v>ELCSHL</v>
      </c>
      <c r="D41" s="21" t="str">
        <f t="shared" si="0"/>
        <v>ELC</v>
      </c>
      <c r="G41" s="21">
        <v>0.185</v>
      </c>
      <c r="I41" s="7">
        <v>2</v>
      </c>
      <c r="J41" s="21">
        <v>0.33</v>
      </c>
      <c r="K41" s="21">
        <f t="shared" si="2"/>
        <v>1.1880000000000002</v>
      </c>
      <c r="L41" s="21">
        <v>0.95</v>
      </c>
      <c r="M41" s="79">
        <v>4812.0244000000002</v>
      </c>
      <c r="N41" s="79">
        <v>63.037519640000006</v>
      </c>
      <c r="O41" s="79">
        <v>4.1005000000000003</v>
      </c>
      <c r="P41" s="21">
        <v>10</v>
      </c>
      <c r="Q41" s="21">
        <v>8.76</v>
      </c>
      <c r="R41" s="21">
        <v>1</v>
      </c>
      <c r="V41" s="89" t="s">
        <v>102</v>
      </c>
      <c r="W41" s="89"/>
      <c r="X41" s="89" t="str">
        <f>$B$2&amp;$C$5&amp;$H$2&amp;RIGHT(Sector_Fuels_ELC!$L$16,3)&amp;"_BALTI00"</f>
        <v>ELCTESHL_BALTI00</v>
      </c>
      <c r="Y41" t="str">
        <f>$D$2&amp;" "&amp;$H$1&amp;RIGHT(X41,2)&amp;" Balti Power plant - Oil Shale"</f>
        <v>Power Plants Existing00 Balti Power plant - Oil Shale</v>
      </c>
      <c r="Z41" t="s">
        <v>180</v>
      </c>
      <c r="AA41" t="s">
        <v>101</v>
      </c>
      <c r="AB41" t="s">
        <v>116</v>
      </c>
    </row>
    <row r="42" spans="2:28" x14ac:dyDescent="0.2">
      <c r="B42" s="21" t="str">
        <f>X42</f>
        <v>ELCTESHL_SILLAMAE00</v>
      </c>
      <c r="C42" s="21" t="str">
        <f>$B$2&amp;RIGHT(Sector_Fuels_ELC!$L$16,3)</f>
        <v>ELCSHL</v>
      </c>
      <c r="D42" s="21" t="str">
        <f t="shared" si="0"/>
        <v>ELC</v>
      </c>
      <c r="G42" s="21">
        <v>0.01</v>
      </c>
      <c r="I42" s="7">
        <v>2</v>
      </c>
      <c r="J42" s="21">
        <v>0.33</v>
      </c>
      <c r="K42" s="21">
        <f t="shared" si="2"/>
        <v>1.1880000000000002</v>
      </c>
      <c r="L42" s="21">
        <v>0.95</v>
      </c>
      <c r="M42" s="79">
        <v>4812.0244000000002</v>
      </c>
      <c r="N42" s="79">
        <v>63.037519640000006</v>
      </c>
      <c r="O42" s="79">
        <v>4.1005000000000003</v>
      </c>
      <c r="P42" s="21">
        <v>10</v>
      </c>
      <c r="Q42" s="21">
        <v>8.76</v>
      </c>
      <c r="R42" s="21">
        <v>1</v>
      </c>
      <c r="V42" s="89" t="s">
        <v>102</v>
      </c>
      <c r="X42" s="89" t="str">
        <f>$B$2&amp;$C$5&amp;$H$2&amp;RIGHT(Sector_Fuels_ELC!$L$16,3)&amp;"_SILLAMAE00"</f>
        <v>ELCTESHL_SILLAMAE00</v>
      </c>
      <c r="Y42" t="str">
        <f>$D$2&amp;" "&amp;$H$1&amp;RIGHT(X42,2)&amp;" Sillamae Power plant - Oil Shale"</f>
        <v>Power Plants Existing00 Sillamae Power plant - Oil Shale</v>
      </c>
      <c r="Z42" t="s">
        <v>180</v>
      </c>
      <c r="AA42" t="s">
        <v>101</v>
      </c>
      <c r="AB42" t="s">
        <v>116</v>
      </c>
    </row>
    <row r="43" spans="2:28" x14ac:dyDescent="0.2">
      <c r="B43" s="21" t="str">
        <f t="shared" ref="B43:B45" si="4">X43</f>
        <v>ELCTEGAS_POHJA00</v>
      </c>
      <c r="C43" s="21" t="str">
        <f>$B$2&amp;RIGHT(Sector_Fuels_ELC!$L$6,3)</f>
        <v>ELCGAS</v>
      </c>
      <c r="D43" s="21" t="str">
        <f t="shared" si="0"/>
        <v>ELC</v>
      </c>
      <c r="G43" s="21">
        <v>7.6999999999999999E-2</v>
      </c>
      <c r="I43" s="7">
        <v>2</v>
      </c>
      <c r="J43" s="74">
        <v>0.56000000000000005</v>
      </c>
      <c r="K43" s="21">
        <f t="shared" si="2"/>
        <v>2.0160000000000005</v>
      </c>
      <c r="L43" s="21">
        <v>0.95</v>
      </c>
      <c r="M43" s="79">
        <v>1175.5066999999999</v>
      </c>
      <c r="N43" s="79">
        <v>39.138495576499992</v>
      </c>
      <c r="O43" s="79">
        <v>5.8775000000000004</v>
      </c>
      <c r="P43" s="79">
        <v>40</v>
      </c>
      <c r="Q43" s="21">
        <v>8.76</v>
      </c>
      <c r="R43" s="21">
        <v>1</v>
      </c>
      <c r="V43" s="89" t="s">
        <v>102</v>
      </c>
      <c r="W43" s="89"/>
      <c r="X43" s="89" t="str">
        <f>$B$2&amp;$C$5&amp;$H$2&amp;RIGHT(Sector_Fuels_ELC!$L$6,3)&amp;"_POHJA00"</f>
        <v>ELCTEGAS_POHJA00</v>
      </c>
      <c r="Y43" t="str">
        <f>$D$2&amp;" "&amp;$H$1&amp;RIGHT(X43,2)&amp;" Pohja Power plant - "&amp;'EB1'!E3</f>
        <v>Power Plants Existing00 Pohja Power plant - Natural Gas</v>
      </c>
      <c r="Z43" t="s">
        <v>180</v>
      </c>
      <c r="AA43" t="s">
        <v>101</v>
      </c>
      <c r="AB43" t="s">
        <v>116</v>
      </c>
    </row>
    <row r="44" spans="2:28" x14ac:dyDescent="0.2">
      <c r="B44" s="21" t="str">
        <f t="shared" si="4"/>
        <v>ELCTEBIO_TLNUTILITAS00</v>
      </c>
      <c r="C44" s="21" t="str">
        <f>$B$2&amp;RIGHT(Sector_Fuels_ELC!$L$9,3)</f>
        <v>ELCBIO</v>
      </c>
      <c r="D44" s="21" t="str">
        <f t="shared" si="0"/>
        <v>ELC</v>
      </c>
      <c r="G44" s="21">
        <v>3.9E-2</v>
      </c>
      <c r="I44" s="7">
        <v>2</v>
      </c>
      <c r="J44" s="74">
        <v>0.46800000000000003</v>
      </c>
      <c r="K44" s="21">
        <f t="shared" si="2"/>
        <v>1.6848000000000001</v>
      </c>
      <c r="L44" s="21">
        <v>0.95</v>
      </c>
      <c r="M44" s="79">
        <v>2950.7891</v>
      </c>
      <c r="N44" s="79">
        <v>133.5792717679</v>
      </c>
      <c r="O44" s="79">
        <v>2.8138000000000001</v>
      </c>
      <c r="P44" s="79">
        <v>40</v>
      </c>
      <c r="Q44" s="21">
        <v>8.76</v>
      </c>
      <c r="R44" s="21">
        <v>1</v>
      </c>
      <c r="V44" s="89" t="s">
        <v>102</v>
      </c>
      <c r="X44" s="89" t="str">
        <f>$B$2&amp;$C$5&amp;$H$2&amp;RIGHT(Sector_Fuels_ELC!$L$9,3)&amp;"_TLNUTILITAS00"</f>
        <v>ELCTEBIO_TLNUTILITAS00</v>
      </c>
      <c r="Y44" t="str">
        <f>$D$2&amp;" "&amp;$H$1&amp;RIGHT(X44,2)&amp;" Tallinn Utilitas Power plant - "&amp;'EB1'!$O$3</f>
        <v>Power Plants Existing00 Tallinn Utilitas Power plant - Biomass</v>
      </c>
      <c r="Z44" t="s">
        <v>180</v>
      </c>
      <c r="AA44" t="s">
        <v>101</v>
      </c>
      <c r="AB44" t="s">
        <v>116</v>
      </c>
    </row>
    <row r="45" spans="2:28" x14ac:dyDescent="0.2">
      <c r="B45" s="21" t="str">
        <f t="shared" si="4"/>
        <v>ELCTEBIO_TARTU00</v>
      </c>
      <c r="C45" s="21" t="str">
        <f>$B$2&amp;RIGHT(Sector_Fuels_ELC!$L$9,3)</f>
        <v>ELCBIO</v>
      </c>
      <c r="D45" s="21" t="str">
        <f t="shared" si="0"/>
        <v>ELC</v>
      </c>
      <c r="G45" s="21">
        <v>2.2100000000000002E-2</v>
      </c>
      <c r="I45" s="7">
        <v>2</v>
      </c>
      <c r="J45" s="74">
        <v>0.46800000000000003</v>
      </c>
      <c r="K45" s="21">
        <f t="shared" si="2"/>
        <v>1.6848000000000001</v>
      </c>
      <c r="L45" s="21">
        <v>0.95</v>
      </c>
      <c r="M45" s="79">
        <v>2950.7891</v>
      </c>
      <c r="N45" s="79">
        <v>133.5792717679</v>
      </c>
      <c r="O45" s="79">
        <v>2.8138000000000001</v>
      </c>
      <c r="P45" s="79">
        <v>40</v>
      </c>
      <c r="Q45" s="21">
        <v>8.76</v>
      </c>
      <c r="R45" s="21">
        <v>1</v>
      </c>
      <c r="V45" s="89" t="s">
        <v>102</v>
      </c>
      <c r="X45" s="89" t="str">
        <f>$B$2&amp;$C$5&amp;$H$2&amp;RIGHT(Sector_Fuels_ELC!$L$9,3)&amp;"_TARTU00"</f>
        <v>ELCTEBIO_TARTU00</v>
      </c>
      <c r="Y45" t="str">
        <f>$D$2&amp;" "&amp;$H$1&amp;RIGHT(X45,2)&amp;" Tartu Power plant - "&amp;'EB1'!$O$3</f>
        <v>Power Plants Existing00 Tartu Power plant - Biomass</v>
      </c>
      <c r="Z45" t="s">
        <v>180</v>
      </c>
      <c r="AA45" t="s">
        <v>101</v>
      </c>
      <c r="AB45" t="s">
        <v>116</v>
      </c>
    </row>
    <row r="46" spans="2:28" x14ac:dyDescent="0.2">
      <c r="B46" s="21" t="str">
        <f>X46</f>
        <v>ELCTEBIO_PARNU00</v>
      </c>
      <c r="C46" s="21" t="str">
        <f>$B$2&amp;RIGHT(Sector_Fuels_ELC!$L$9,3)</f>
        <v>ELCBIO</v>
      </c>
      <c r="D46" s="21" t="str">
        <f t="shared" si="0"/>
        <v>ELC</v>
      </c>
      <c r="G46" s="21">
        <v>2.0500000000000001E-2</v>
      </c>
      <c r="I46" s="7">
        <v>2</v>
      </c>
      <c r="J46" s="74">
        <v>0.46800000000000003</v>
      </c>
      <c r="K46" s="21">
        <f t="shared" si="2"/>
        <v>1.6848000000000001</v>
      </c>
      <c r="L46" s="21">
        <v>0.95</v>
      </c>
      <c r="M46" s="79">
        <v>2950.7891</v>
      </c>
      <c r="N46" s="79">
        <v>133.5792717679</v>
      </c>
      <c r="O46" s="79">
        <v>2.8138000000000001</v>
      </c>
      <c r="P46" s="79">
        <v>40</v>
      </c>
      <c r="Q46" s="21">
        <v>8.76</v>
      </c>
      <c r="R46" s="21">
        <v>1</v>
      </c>
      <c r="V46" s="89" t="s">
        <v>102</v>
      </c>
      <c r="X46" s="89" t="str">
        <f>$B$2&amp;$C$5&amp;$H$2&amp;RIGHT(Sector_Fuels_ELC!$L$9,3)&amp;"_PARNU00"</f>
        <v>ELCTEBIO_PARNU00</v>
      </c>
      <c r="Y46" t="str">
        <f>$D$2&amp;" "&amp;$H$1&amp;RIGHT(X46,2)&amp;" Parnu Power plant - "&amp;'EB1'!$O$3</f>
        <v>Power Plants Existing00 Parnu Power plant - Biomass</v>
      </c>
      <c r="Z46" t="s">
        <v>180</v>
      </c>
      <c r="AA46" t="s">
        <v>101</v>
      </c>
      <c r="AB46" t="s">
        <v>116</v>
      </c>
    </row>
    <row r="47" spans="2:28" x14ac:dyDescent="0.2">
      <c r="B47" s="21" t="str">
        <f>X47</f>
        <v>ELCTEBIO_HORIZON00</v>
      </c>
      <c r="C47" s="21" t="str">
        <f>$B$2&amp;RIGHT(Sector_Fuels_ELC!$L$9,3)</f>
        <v>ELCBIO</v>
      </c>
      <c r="D47" s="21" t="str">
        <f t="shared" si="0"/>
        <v>ELC</v>
      </c>
      <c r="G47" s="21">
        <v>1.3900000000000001E-2</v>
      </c>
      <c r="I47" s="7">
        <v>2</v>
      </c>
      <c r="J47" s="74">
        <v>0.46800000000000003</v>
      </c>
      <c r="K47" s="21">
        <f t="shared" si="2"/>
        <v>1.6848000000000001</v>
      </c>
      <c r="L47" s="21">
        <v>0.95</v>
      </c>
      <c r="M47" s="79">
        <v>2950.7891</v>
      </c>
      <c r="N47" s="79">
        <v>133.5792717679</v>
      </c>
      <c r="O47" s="79">
        <v>2.8138000000000001</v>
      </c>
      <c r="P47" s="79">
        <v>40</v>
      </c>
      <c r="Q47" s="21">
        <v>8.76</v>
      </c>
      <c r="R47" s="21">
        <v>1</v>
      </c>
      <c r="V47" s="89" t="s">
        <v>102</v>
      </c>
      <c r="X47" s="89" t="str">
        <f>$B$2&amp;$C$5&amp;$H$2&amp;RIGHT(Sector_Fuels_ELC!$L$9,3)&amp;"_HORIZON00"</f>
        <v>ELCTEBIO_HORIZON00</v>
      </c>
      <c r="Y47" t="str">
        <f>$D$2&amp;" "&amp;$H$1&amp;RIGHT(X47,2)&amp;" Horizon Power plant - "&amp;'EB1'!$O$3</f>
        <v>Power Plants Existing00 Horizon Power plant - Biomass</v>
      </c>
      <c r="Z47" t="s">
        <v>180</v>
      </c>
      <c r="AA47" t="s">
        <v>101</v>
      </c>
      <c r="AB47" t="s">
        <v>116</v>
      </c>
    </row>
    <row r="48" spans="2:28" x14ac:dyDescent="0.2">
      <c r="B48" s="21" t="str">
        <f>X48</f>
        <v>ELCTEGAS_GRUNE00</v>
      </c>
      <c r="C48" s="21" t="str">
        <f>$B$2&amp;RIGHT(Sector_Fuels_ELC!$L$9,3)</f>
        <v>ELCBIO</v>
      </c>
      <c r="D48" s="21" t="str">
        <f t="shared" si="0"/>
        <v>ELC</v>
      </c>
      <c r="G48" s="21">
        <v>4.0999999999999995E-3</v>
      </c>
      <c r="I48" s="7">
        <v>2</v>
      </c>
      <c r="J48">
        <v>0.56000000000000005</v>
      </c>
      <c r="K48" s="21">
        <f t="shared" si="2"/>
        <v>2.0160000000000005</v>
      </c>
      <c r="L48" s="21">
        <v>0.95</v>
      </c>
      <c r="M48" s="7">
        <v>1175.5066999999999</v>
      </c>
      <c r="N48" s="83">
        <v>39.138495576499992</v>
      </c>
      <c r="O48" s="83">
        <v>5.8775000000000004</v>
      </c>
      <c r="P48">
        <v>40</v>
      </c>
      <c r="Q48" s="21">
        <v>8.76</v>
      </c>
      <c r="R48" s="21">
        <v>1</v>
      </c>
      <c r="V48" s="89" t="s">
        <v>102</v>
      </c>
      <c r="X48" s="89" t="str">
        <f>$B$2&amp;$C$5&amp;$H$2&amp;RIGHT(Sector_Fuels_ELC!$L$6,3)&amp;"_GRUNE00"</f>
        <v>ELCTEGAS_GRUNE00</v>
      </c>
      <c r="Y48" t="str">
        <f>$D$2&amp;" "&amp;$H$1&amp;RIGHT(X48,2)&amp;" GRUNE Power plant - "&amp;'EB1'!$E$3</f>
        <v>Power Plants Existing00 GRUNE Power plant - Natural Gas</v>
      </c>
      <c r="Z48" t="s">
        <v>180</v>
      </c>
      <c r="AA48" t="s">
        <v>101</v>
      </c>
      <c r="AB48" t="s">
        <v>116</v>
      </c>
    </row>
    <row r="65529" spans="21:21" x14ac:dyDescent="0.2">
      <c r="U65529" s="29"/>
    </row>
  </sheetData>
  <pageMargins left="0.7" right="0.7" top="0.75" bottom="0.75" header="0.3" footer="0.3"/>
  <pageSetup paperSize="9" orientation="portrait" verticalDpi="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1B269-F8EB-45DA-B587-21CAA9EF4FB5}">
  <dimension ref="B1:AD65535"/>
  <sheetViews>
    <sheetView topLeftCell="B1" zoomScale="66" workbookViewId="0">
      <selection activeCell="F19" sqref="F19"/>
    </sheetView>
  </sheetViews>
  <sheetFormatPr defaultColWidth="8.85546875" defaultRowHeight="12.75" x14ac:dyDescent="0.2"/>
  <cols>
    <col min="1" max="1" width="3" style="21" customWidth="1"/>
    <col min="2" max="2" width="41.140625" style="21" bestFit="1" customWidth="1"/>
    <col min="3" max="3" width="12.140625" style="21" bestFit="1" customWidth="1"/>
    <col min="4" max="4" width="11.28515625" style="21" bestFit="1" customWidth="1"/>
    <col min="5" max="6" width="12" style="21" bestFit="1" customWidth="1"/>
    <col min="7" max="8" width="13" style="21" bestFit="1" customWidth="1"/>
    <col min="9" max="9" width="8.85546875" style="21" bestFit="1"/>
    <col min="10" max="10" width="8.140625" style="21" bestFit="1" customWidth="1"/>
    <col min="11" max="11" width="10" style="21" bestFit="1" customWidth="1"/>
    <col min="12" max="12" width="9.85546875" style="21" bestFit="1" customWidth="1"/>
    <col min="13" max="14" width="8.85546875" style="21" bestFit="1"/>
    <col min="15" max="15" width="15" style="21" bestFit="1" customWidth="1"/>
    <col min="16" max="16" width="13.28515625" style="21" bestFit="1" customWidth="1"/>
    <col min="17" max="17" width="12.28515625" style="21" bestFit="1" customWidth="1"/>
    <col min="18" max="18" width="7.42578125" style="21" bestFit="1" customWidth="1"/>
    <col min="19" max="19" width="12.42578125" bestFit="1" customWidth="1"/>
    <col min="20" max="20" width="47.85546875" bestFit="1" customWidth="1"/>
    <col min="21" max="21" width="26.42578125" bestFit="1" customWidth="1"/>
    <col min="22" max="22" width="57.7109375" bestFit="1" customWidth="1"/>
    <col min="23" max="23" width="13.85546875" bestFit="1" customWidth="1"/>
    <col min="24" max="24" width="11.42578125" bestFit="1" customWidth="1"/>
    <col min="25" max="25" width="13.5703125" bestFit="1" customWidth="1"/>
    <col min="26" max="26" width="15" bestFit="1" customWidth="1"/>
    <col min="27" max="27" width="8.140625" bestFit="1" customWidth="1"/>
    <col min="28" max="28" width="8.85546875" style="21"/>
    <col min="29" max="29" width="27" style="21" bestFit="1" customWidth="1"/>
    <col min="30" max="30" width="27.7109375" style="21" bestFit="1" customWidth="1"/>
    <col min="31" max="16384" width="8.85546875" style="21"/>
  </cols>
  <sheetData>
    <row r="1" spans="2:28" ht="30" x14ac:dyDescent="0.25">
      <c r="B1" s="20" t="s">
        <v>65</v>
      </c>
      <c r="C1" s="8" t="s">
        <v>67</v>
      </c>
      <c r="D1" s="8" t="s">
        <v>97</v>
      </c>
      <c r="E1" s="20" t="s">
        <v>23</v>
      </c>
      <c r="F1" s="20" t="s">
        <v>99</v>
      </c>
      <c r="G1" s="20" t="s">
        <v>69</v>
      </c>
      <c r="H1" s="20" t="s">
        <v>83</v>
      </c>
    </row>
    <row r="2" spans="2:28" ht="31.5" x14ac:dyDescent="0.25">
      <c r="B2" s="10" t="str">
        <f>'EB1'!B6</f>
        <v>ELC</v>
      </c>
      <c r="C2" s="18" t="str">
        <f>'EB1'!C6</f>
        <v>Electricity Plants</v>
      </c>
      <c r="D2" s="18" t="s">
        <v>100</v>
      </c>
      <c r="E2" s="10" t="str">
        <f>'EB1'!AB2</f>
        <v>PJ</v>
      </c>
      <c r="F2" s="10" t="s">
        <v>101</v>
      </c>
      <c r="G2" s="10" t="str">
        <f>'EB1'!AA2</f>
        <v>M€2025</v>
      </c>
      <c r="H2" s="10" t="s">
        <v>84</v>
      </c>
      <c r="S2" s="84"/>
      <c r="T2" s="84"/>
      <c r="U2" s="85"/>
      <c r="V2" s="85"/>
      <c r="W2" s="85"/>
      <c r="X2" s="85"/>
      <c r="Y2" s="85"/>
      <c r="Z2" s="85"/>
      <c r="AA2" s="85"/>
    </row>
    <row r="3" spans="2:28" x14ac:dyDescent="0.2">
      <c r="S3" s="94"/>
      <c r="T3" s="94"/>
      <c r="U3" s="94"/>
      <c r="V3" s="94"/>
      <c r="W3" s="94"/>
      <c r="X3" s="94"/>
      <c r="Y3" s="94"/>
      <c r="Z3" s="94"/>
      <c r="AA3" s="94"/>
    </row>
    <row r="4" spans="2:28" ht="15.75" x14ac:dyDescent="0.25">
      <c r="B4" s="25" t="s">
        <v>107</v>
      </c>
      <c r="C4" s="8" t="s">
        <v>114</v>
      </c>
      <c r="D4" s="8" t="s">
        <v>108</v>
      </c>
      <c r="E4" s="8" t="s">
        <v>109</v>
      </c>
      <c r="F4" s="8" t="s">
        <v>121</v>
      </c>
      <c r="H4" s="9"/>
      <c r="K4" s="9"/>
      <c r="S4" s="95"/>
      <c r="T4" s="95"/>
      <c r="U4" s="95"/>
      <c r="V4" s="95"/>
      <c r="W4" s="95"/>
      <c r="X4" s="95"/>
      <c r="Y4" s="95"/>
      <c r="Z4" s="95"/>
      <c r="AA4" s="95"/>
    </row>
    <row r="5" spans="2:28" ht="15.75" x14ac:dyDescent="0.25">
      <c r="B5" s="24" t="s">
        <v>113</v>
      </c>
      <c r="C5" s="10" t="s">
        <v>112</v>
      </c>
      <c r="D5" s="10" t="s">
        <v>111</v>
      </c>
      <c r="E5" s="10" t="s">
        <v>110</v>
      </c>
      <c r="F5" s="10" t="s">
        <v>85</v>
      </c>
      <c r="H5" s="9"/>
      <c r="K5" s="9"/>
      <c r="S5" s="85"/>
      <c r="T5" s="89"/>
      <c r="U5" s="85"/>
      <c r="V5" s="85"/>
      <c r="W5" s="85"/>
      <c r="X5" s="85"/>
      <c r="Y5" s="85"/>
      <c r="Z5" s="85"/>
      <c r="AA5" s="85"/>
    </row>
    <row r="6" spans="2:28" x14ac:dyDescent="0.2">
      <c r="S6" s="89"/>
      <c r="T6" s="89"/>
      <c r="U6" s="89"/>
      <c r="V6" s="89"/>
      <c r="W6" s="89"/>
      <c r="X6" s="89"/>
      <c r="Y6" s="89"/>
      <c r="Z6" s="89"/>
      <c r="AA6" s="89"/>
    </row>
    <row r="7" spans="2:28" x14ac:dyDescent="0.2">
      <c r="S7" s="2"/>
      <c r="T7" s="2"/>
    </row>
    <row r="8" spans="2:28" x14ac:dyDescent="0.2">
      <c r="D8" s="4" t="s">
        <v>13</v>
      </c>
      <c r="E8" s="4"/>
      <c r="F8" s="4"/>
      <c r="G8" s="4"/>
      <c r="J8" s="5"/>
      <c r="K8" s="5"/>
      <c r="L8" s="3"/>
      <c r="Q8" s="84" t="s">
        <v>15</v>
      </c>
      <c r="R8" s="84"/>
      <c r="S8" s="85"/>
      <c r="T8" s="85"/>
      <c r="U8" s="85"/>
      <c r="V8" s="85"/>
      <c r="W8" s="85"/>
      <c r="X8" s="85"/>
      <c r="Y8" s="85"/>
      <c r="Z8" s="21"/>
      <c r="AA8" s="21"/>
    </row>
    <row r="9" spans="2:28" ht="12.75" customHeight="1" x14ac:dyDescent="0.2">
      <c r="B9" s="17" t="s">
        <v>1</v>
      </c>
      <c r="C9" s="17" t="s">
        <v>5</v>
      </c>
      <c r="D9" s="17" t="s">
        <v>6</v>
      </c>
      <c r="E9" s="67" t="s">
        <v>122</v>
      </c>
      <c r="F9" s="67" t="s">
        <v>144</v>
      </c>
      <c r="G9" s="67" t="s">
        <v>73</v>
      </c>
      <c r="H9" s="67" t="s">
        <v>162</v>
      </c>
      <c r="I9" s="67" t="s">
        <v>157</v>
      </c>
      <c r="J9" s="67" t="s">
        <v>72</v>
      </c>
      <c r="K9" s="67" t="s">
        <v>103</v>
      </c>
      <c r="L9" s="67" t="s">
        <v>70</v>
      </c>
      <c r="M9" s="67" t="s">
        <v>156</v>
      </c>
      <c r="N9" s="67" t="s">
        <v>117</v>
      </c>
      <c r="O9" s="23"/>
      <c r="P9" s="27"/>
      <c r="Q9" s="86" t="s">
        <v>11</v>
      </c>
      <c r="R9" s="87" t="s">
        <v>30</v>
      </c>
      <c r="S9" s="86" t="s">
        <v>1</v>
      </c>
      <c r="T9" s="86" t="s">
        <v>2</v>
      </c>
      <c r="U9" s="86" t="s">
        <v>16</v>
      </c>
      <c r="V9" s="86" t="s">
        <v>17</v>
      </c>
      <c r="W9" s="86" t="s">
        <v>18</v>
      </c>
      <c r="X9" s="86" t="s">
        <v>19</v>
      </c>
      <c r="Y9" s="86" t="s">
        <v>20</v>
      </c>
      <c r="Z9" s="21"/>
      <c r="AA9" s="21"/>
    </row>
    <row r="10" spans="2:28" ht="27" customHeight="1" thickBot="1" x14ac:dyDescent="0.25">
      <c r="B10" s="15" t="s">
        <v>37</v>
      </c>
      <c r="C10" s="15" t="s">
        <v>32</v>
      </c>
      <c r="D10" s="15" t="s">
        <v>33</v>
      </c>
      <c r="E10" s="15" t="s">
        <v>34</v>
      </c>
      <c r="F10" s="73" t="s">
        <v>119</v>
      </c>
      <c r="G10" s="15" t="s">
        <v>75</v>
      </c>
      <c r="H10" s="73" t="s">
        <v>82</v>
      </c>
      <c r="I10" s="15" t="s">
        <v>158</v>
      </c>
      <c r="J10" s="15" t="s">
        <v>81</v>
      </c>
      <c r="K10" s="15" t="s">
        <v>105</v>
      </c>
      <c r="L10" s="15" t="s">
        <v>155</v>
      </c>
      <c r="M10" s="15" t="s">
        <v>106</v>
      </c>
      <c r="N10" s="15" t="s">
        <v>118</v>
      </c>
      <c r="P10" s="28"/>
      <c r="Q10" s="88" t="s">
        <v>36</v>
      </c>
      <c r="R10" s="88" t="s">
        <v>31</v>
      </c>
      <c r="S10" s="88" t="s">
        <v>21</v>
      </c>
      <c r="T10" s="88" t="s">
        <v>22</v>
      </c>
      <c r="U10" s="88" t="s">
        <v>23</v>
      </c>
      <c r="V10" s="88" t="s">
        <v>24</v>
      </c>
      <c r="W10" s="88" t="s">
        <v>41</v>
      </c>
      <c r="X10" s="88" t="s">
        <v>40</v>
      </c>
      <c r="Y10" s="88" t="s">
        <v>25</v>
      </c>
      <c r="Z10" s="21"/>
      <c r="AA10" s="21"/>
    </row>
    <row r="11" spans="2:28" ht="22.5" x14ac:dyDescent="0.2">
      <c r="B11" s="15" t="s">
        <v>76</v>
      </c>
      <c r="C11" s="15"/>
      <c r="D11" s="15"/>
      <c r="E11" s="96" t="str">
        <f>$F$2</f>
        <v>GW</v>
      </c>
      <c r="F11" s="97" t="str">
        <f>$F$2</f>
        <v>GW</v>
      </c>
      <c r="G11" s="96"/>
      <c r="H11" s="97"/>
      <c r="I11" s="96" t="str">
        <f>$G$2&amp;"/"&amp;$F$2</f>
        <v>M€2025/GW</v>
      </c>
      <c r="J11" s="96" t="str">
        <f>$G$2&amp;"/"&amp;$F$2</f>
        <v>M€2025/GW</v>
      </c>
      <c r="K11" s="96" t="str">
        <f>$G$2&amp;"/"&amp;$E$2</f>
        <v>M€2025/PJ</v>
      </c>
      <c r="L11" s="96" t="s">
        <v>77</v>
      </c>
      <c r="M11" s="96" t="s">
        <v>193</v>
      </c>
      <c r="N11" s="96"/>
      <c r="P11" s="28"/>
      <c r="Q11" s="98" t="s">
        <v>71</v>
      </c>
      <c r="R11" s="98"/>
      <c r="S11" s="98"/>
      <c r="T11" s="98"/>
      <c r="U11" s="98"/>
      <c r="V11" s="98"/>
      <c r="W11" s="98"/>
      <c r="X11" s="98"/>
      <c r="Y11" s="98"/>
      <c r="Z11" s="21"/>
      <c r="AA11" s="21"/>
    </row>
    <row r="12" spans="2:28" x14ac:dyDescent="0.2">
      <c r="B12" s="92" t="str">
        <f>S12</f>
        <v>ELCCEBIO_OSULA00</v>
      </c>
      <c r="C12" s="21" t="str">
        <f>$B$2&amp;RIGHT(Sector_Fuels_ELC!$L$9,3)</f>
        <v>ELCBIO</v>
      </c>
      <c r="D12" s="92" t="str">
        <f>ELC!$X$5</f>
        <v>ELC</v>
      </c>
      <c r="E12">
        <v>0.01</v>
      </c>
      <c r="F12" s="83"/>
      <c r="G12">
        <v>0.28999999999999998</v>
      </c>
      <c r="H12" s="93">
        <v>0.95</v>
      </c>
      <c r="I12" s="7">
        <v>4516.7133000000003</v>
      </c>
      <c r="J12" s="7">
        <v>162.96753257730003</v>
      </c>
      <c r="K12" s="7">
        <v>2.8138000000000001</v>
      </c>
      <c r="L12">
        <v>40</v>
      </c>
      <c r="M12" s="64">
        <v>8.76</v>
      </c>
      <c r="N12" s="65">
        <v>1</v>
      </c>
      <c r="P12" s="29"/>
      <c r="Q12" s="89" t="s">
        <v>102</v>
      </c>
      <c r="R12" s="89"/>
      <c r="S12" s="89" t="str">
        <f>$B$2&amp;$D$5&amp;$H$2&amp;RIGHT(Sector_Fuels_ELC!$L$9,3)&amp;"_OSULA00"</f>
        <v>ELCCEBIO_OSULA00</v>
      </c>
      <c r="T12" t="str">
        <f>$D$2&amp;" "&amp;$H$1&amp;RIGHT(S12,2)&amp;" Osula CHP - "&amp;'EB1'!$O$3</f>
        <v>Power Plants Existing00 Osula CHP - Biomass</v>
      </c>
      <c r="U12" s="89" t="s">
        <v>180</v>
      </c>
      <c r="V12" s="89" t="s">
        <v>101</v>
      </c>
      <c r="W12" t="s">
        <v>116</v>
      </c>
      <c r="X12" s="89"/>
      <c r="Y12" s="89"/>
      <c r="Z12" s="21"/>
      <c r="AB12"/>
    </row>
    <row r="13" spans="2:28" x14ac:dyDescent="0.2">
      <c r="B13" s="92" t="str">
        <f t="shared" ref="B13:B24" si="0">S13</f>
        <v>ELCCEBIO_MUSTAMAE00</v>
      </c>
      <c r="C13" s="21" t="str">
        <f>$B$2&amp;RIGHT(Sector_Fuels_ELC!$L$9,3)</f>
        <v>ELCBIO</v>
      </c>
      <c r="D13" s="92" t="str">
        <f>ELC!$X$5</f>
        <v>ELC</v>
      </c>
      <c r="E13">
        <v>9.300000000000001E-3</v>
      </c>
      <c r="F13" s="83"/>
      <c r="G13">
        <v>0.28999999999999998</v>
      </c>
      <c r="H13" s="93">
        <v>0.95</v>
      </c>
      <c r="I13" s="7">
        <v>4516.7133000000003</v>
      </c>
      <c r="J13" s="7">
        <v>162.96753257730003</v>
      </c>
      <c r="K13" s="7">
        <v>2.8138000000000001</v>
      </c>
      <c r="L13">
        <v>40</v>
      </c>
      <c r="M13" s="64">
        <v>8.76</v>
      </c>
      <c r="N13" s="65">
        <v>1</v>
      </c>
      <c r="P13" s="29"/>
      <c r="Q13" s="89" t="s">
        <v>102</v>
      </c>
      <c r="R13" s="89"/>
      <c r="S13" s="89" t="str">
        <f>$B$2&amp;$D$5&amp;$H$2&amp;RIGHT(Sector_Fuels_ELC!$L$9,3)&amp;"_MUSTAMAE00"</f>
        <v>ELCCEBIO_MUSTAMAE00</v>
      </c>
      <c r="T13" t="str">
        <f>$D$2&amp;" "&amp;$H$1&amp;RIGHT(S13,2)&amp;" Mustamae CHP - "&amp;'EB1'!$O$3</f>
        <v>Power Plants Existing00 Mustamae CHP - Biomass</v>
      </c>
      <c r="U13" s="89" t="s">
        <v>180</v>
      </c>
      <c r="V13" s="89" t="s">
        <v>101</v>
      </c>
      <c r="W13" t="s">
        <v>116</v>
      </c>
      <c r="X13" s="89"/>
      <c r="Y13" s="89"/>
      <c r="Z13" s="21"/>
      <c r="AB13"/>
    </row>
    <row r="14" spans="2:28" x14ac:dyDescent="0.2">
      <c r="B14" s="92" t="str">
        <f t="shared" si="0"/>
        <v>ELCCEBIO_SILLAMAE100</v>
      </c>
      <c r="C14" s="21" t="str">
        <f>$B$2&amp;RIGHT(Sector_Fuels_ELC!$L$9,3)</f>
        <v>ELCBIO</v>
      </c>
      <c r="D14" s="92" t="str">
        <f>ELC!$X$5</f>
        <v>ELC</v>
      </c>
      <c r="E14">
        <v>7.0999999999999995E-3</v>
      </c>
      <c r="F14" s="7"/>
      <c r="G14">
        <v>0.28999999999999998</v>
      </c>
      <c r="H14" s="93">
        <v>0.95</v>
      </c>
      <c r="I14" s="7">
        <v>4516.7133000000003</v>
      </c>
      <c r="J14" s="7">
        <v>162.96753257730003</v>
      </c>
      <c r="K14" s="7">
        <v>2.8138000000000001</v>
      </c>
      <c r="L14">
        <v>72</v>
      </c>
      <c r="M14" s="64">
        <v>8.76</v>
      </c>
      <c r="N14" s="65">
        <v>1</v>
      </c>
      <c r="P14" s="29"/>
      <c r="Q14" s="89" t="s">
        <v>102</v>
      </c>
      <c r="R14" s="89"/>
      <c r="S14" s="89" t="str">
        <f>$B$2&amp;$D$5&amp;$H$2&amp;RIGHT(Sector_Fuels_ELC!$L$9,3)&amp;"_SILLAMAE100"</f>
        <v>ELCCEBIO_SILLAMAE100</v>
      </c>
      <c r="T14" t="str">
        <f>$D$2&amp;" "&amp;$H$1&amp;RIGHT(S14,2)&amp;" Sillamae 1 CHP - "&amp;'EB1'!$O$3</f>
        <v>Power Plants Existing00 Sillamae 1 CHP - Biomass</v>
      </c>
      <c r="U14" s="89" t="s">
        <v>180</v>
      </c>
      <c r="V14" s="89" t="s">
        <v>101</v>
      </c>
      <c r="W14" t="s">
        <v>116</v>
      </c>
      <c r="X14" s="89"/>
      <c r="Y14" s="89"/>
      <c r="Z14" s="21"/>
      <c r="AB14"/>
    </row>
    <row r="15" spans="2:28" x14ac:dyDescent="0.2">
      <c r="B15" s="92" t="str">
        <f t="shared" si="0"/>
        <v>ELCCEGAS_SILLAMAE200</v>
      </c>
      <c r="C15" s="21" t="str">
        <f>$B$2&amp;RIGHT(Sector_Fuels_ELC!$L$6,3)</f>
        <v>ELCGAS</v>
      </c>
      <c r="D15" s="92" t="str">
        <f>ELC!$X$5</f>
        <v>ELC</v>
      </c>
      <c r="E15">
        <v>5.7999999999999996E-3</v>
      </c>
      <c r="F15" s="83"/>
      <c r="G15">
        <v>0.56000000000000005</v>
      </c>
      <c r="H15" s="93">
        <v>0.95</v>
      </c>
      <c r="I15" s="7">
        <v>1175.5066999999999</v>
      </c>
      <c r="J15" s="7">
        <v>39.138495576499992</v>
      </c>
      <c r="K15" s="7">
        <v>5.8775000000000004</v>
      </c>
      <c r="L15">
        <v>40</v>
      </c>
      <c r="M15" s="64">
        <v>8.76</v>
      </c>
      <c r="N15" s="65">
        <v>1</v>
      </c>
      <c r="P15" s="29"/>
      <c r="Q15" s="89" t="s">
        <v>102</v>
      </c>
      <c r="R15" s="89"/>
      <c r="S15" s="89" t="str">
        <f>$B$2&amp;$D$5&amp;$H$2&amp;RIGHT(Sector_Fuels_ELC!$L$6,3)&amp;"_SILLAMAE200"</f>
        <v>ELCCEGAS_SILLAMAE200</v>
      </c>
      <c r="T15" t="str">
        <f>$D$2&amp;" "&amp;$H$1&amp;RIGHT(S15,2)&amp;" Sillamae 2 CHP - "&amp;'EB1'!$E$3</f>
        <v>Power Plants Existing00 Sillamae 2 CHP - Natural Gas</v>
      </c>
      <c r="U15" s="89" t="s">
        <v>180</v>
      </c>
      <c r="V15" s="89" t="s">
        <v>101</v>
      </c>
      <c r="W15" t="s">
        <v>116</v>
      </c>
      <c r="X15" s="89"/>
      <c r="Y15" s="89"/>
      <c r="Z15" s="21"/>
      <c r="AB15"/>
    </row>
    <row r="16" spans="2:28" x14ac:dyDescent="0.2">
      <c r="B16" s="92" t="str">
        <f t="shared" si="0"/>
        <v>ELCCEBIO_HELME00</v>
      </c>
      <c r="C16" s="21" t="str">
        <f>$B$2&amp;RIGHT(Sector_Fuels_ELC!$L$9,3)</f>
        <v>ELCBIO</v>
      </c>
      <c r="D16" s="92" t="str">
        <f>ELC!$X$5</f>
        <v>ELC</v>
      </c>
      <c r="E16">
        <v>6.4999999999999997E-3</v>
      </c>
      <c r="F16" s="83"/>
      <c r="G16">
        <v>0.28999999999999998</v>
      </c>
      <c r="H16" s="93">
        <v>0.95</v>
      </c>
      <c r="I16" s="7">
        <v>4516.7133000000003</v>
      </c>
      <c r="J16" s="7">
        <v>162.96753257730003</v>
      </c>
      <c r="K16" s="7">
        <v>2.8138000000000001</v>
      </c>
      <c r="L16">
        <v>40</v>
      </c>
      <c r="M16" s="64">
        <v>8.76</v>
      </c>
      <c r="N16" s="65">
        <v>1</v>
      </c>
      <c r="P16" s="29"/>
      <c r="Q16" s="89" t="s">
        <v>102</v>
      </c>
      <c r="R16" s="89"/>
      <c r="S16" s="89" t="str">
        <f>$B$2&amp;$D$5&amp;$H$2&amp;RIGHT(Sector_Fuels_ELC!$L$9,3)&amp;"_HELME00"</f>
        <v>ELCCEBIO_HELME00</v>
      </c>
      <c r="T16" t="str">
        <f>$D$2&amp;" "&amp;$H$1&amp;RIGHT(S16,2)&amp;" Helme CHP - "&amp;'EB1'!$O$3</f>
        <v>Power Plants Existing00 Helme CHP - Biomass</v>
      </c>
      <c r="U16" s="89" t="s">
        <v>180</v>
      </c>
      <c r="V16" s="89" t="s">
        <v>101</v>
      </c>
      <c r="W16" t="s">
        <v>116</v>
      </c>
      <c r="X16" s="89"/>
      <c r="Y16" s="89"/>
      <c r="Z16" s="21"/>
      <c r="AB16"/>
    </row>
    <row r="17" spans="2:30" x14ac:dyDescent="0.2">
      <c r="B17" s="92" t="str">
        <f t="shared" si="0"/>
        <v>ELCCEBIO_KURESSAARE00</v>
      </c>
      <c r="C17" s="21" t="str">
        <f>$B$2&amp;RIGHT(Sector_Fuels_ELC!$L$9,3)</f>
        <v>ELCBIO</v>
      </c>
      <c r="D17" s="92" t="str">
        <f>ELC!$X$5</f>
        <v>ELC</v>
      </c>
      <c r="E17">
        <v>1.8E-3</v>
      </c>
      <c r="F17" s="83"/>
      <c r="G17">
        <v>0.28999999999999998</v>
      </c>
      <c r="H17" s="93">
        <v>0.95</v>
      </c>
      <c r="I17" s="7">
        <v>4516.7133000000003</v>
      </c>
      <c r="J17" s="7">
        <v>162.96753257730003</v>
      </c>
      <c r="K17" s="7">
        <v>2.8138000000000001</v>
      </c>
      <c r="L17">
        <v>40</v>
      </c>
      <c r="M17" s="64">
        <v>8.76</v>
      </c>
      <c r="N17" s="65">
        <v>1</v>
      </c>
      <c r="P17" s="29"/>
      <c r="Q17" s="89" t="s">
        <v>102</v>
      </c>
      <c r="R17" s="89"/>
      <c r="S17" s="89" t="str">
        <f>$B$2&amp;$D$5&amp;$H$2&amp;RIGHT(Sector_Fuels_ELC!$L$9,3)&amp;"_KURESSAARE00"</f>
        <v>ELCCEBIO_KURESSAARE00</v>
      </c>
      <c r="T17" t="str">
        <f>$D$2&amp;" "&amp;$H$1&amp;RIGHT(S17,2)&amp;" Kuressaare CHP - "&amp;'EB1'!$O$3</f>
        <v>Power Plants Existing00 Kuressaare CHP - Biomass</v>
      </c>
      <c r="U17" s="89" t="s">
        <v>180</v>
      </c>
      <c r="V17" s="89" t="s">
        <v>101</v>
      </c>
      <c r="W17" t="s">
        <v>116</v>
      </c>
      <c r="X17" s="89"/>
      <c r="Y17" s="89"/>
      <c r="Z17" s="21"/>
      <c r="AB17"/>
    </row>
    <row r="18" spans="2:30" x14ac:dyDescent="0.2">
      <c r="B18" s="92" t="str">
        <f t="shared" si="0"/>
        <v>ELCCEBIO_PAIDE00</v>
      </c>
      <c r="C18" s="21" t="str">
        <f>$B$2&amp;RIGHT(Sector_Fuels_ELC!$L$9,3)</f>
        <v>ELCBIO</v>
      </c>
      <c r="D18" s="92" t="str">
        <f>ELC!$X$5</f>
        <v>ELC</v>
      </c>
      <c r="E18">
        <v>1.6999999999999999E-3</v>
      </c>
      <c r="F18" s="83"/>
      <c r="G18">
        <v>0.28999999999999998</v>
      </c>
      <c r="H18" s="93">
        <v>0.95</v>
      </c>
      <c r="I18" s="7">
        <v>4516.7133000000003</v>
      </c>
      <c r="J18" s="7">
        <v>162.96753257730003</v>
      </c>
      <c r="K18" s="7">
        <v>2.8138000000000001</v>
      </c>
      <c r="L18">
        <v>40</v>
      </c>
      <c r="M18" s="64">
        <v>8.76</v>
      </c>
      <c r="N18" s="65">
        <v>1</v>
      </c>
      <c r="P18" s="29"/>
      <c r="Q18" s="89" t="s">
        <v>102</v>
      </c>
      <c r="R18" s="89"/>
      <c r="S18" s="89" t="str">
        <f>$B$2&amp;$D$5&amp;$H$2&amp;RIGHT(Sector_Fuels_ELC!$L$9,3)&amp;"_PAIDE00"</f>
        <v>ELCCEBIO_PAIDE00</v>
      </c>
      <c r="T18" t="str">
        <f>$D$2&amp;" "&amp;$H$1&amp;RIGHT(S18,2)&amp;" Paide CHP - "&amp;'EB1'!$O$3</f>
        <v>Power Plants Existing00 Paide CHP - Biomass</v>
      </c>
      <c r="U18" s="89" t="s">
        <v>180</v>
      </c>
      <c r="V18" s="89" t="s">
        <v>101</v>
      </c>
      <c r="W18" t="s">
        <v>116</v>
      </c>
      <c r="X18" s="89"/>
      <c r="Y18" s="89"/>
      <c r="Z18" s="21"/>
      <c r="AB18"/>
    </row>
    <row r="19" spans="2:30" x14ac:dyDescent="0.2">
      <c r="B19" s="92" t="str">
        <f t="shared" si="0"/>
        <v>ELCCEGAS_JAMEJALA00</v>
      </c>
      <c r="C19" s="21" t="str">
        <f>$B$2&amp;RIGHT(Sector_Fuels_ELC!$L$6,3)</f>
        <v>ELCGAS</v>
      </c>
      <c r="D19" s="92" t="str">
        <f>ELC!$X$5</f>
        <v>ELC</v>
      </c>
      <c r="E19">
        <v>1.8E-3</v>
      </c>
      <c r="G19">
        <v>0.56000000000000005</v>
      </c>
      <c r="H19" s="93">
        <v>0.95</v>
      </c>
      <c r="I19" s="7">
        <v>1175.5066999999999</v>
      </c>
      <c r="J19" s="7">
        <v>39.138495576499992</v>
      </c>
      <c r="K19" s="7">
        <v>5.8775000000000004</v>
      </c>
      <c r="L19">
        <v>40</v>
      </c>
      <c r="M19" s="64">
        <v>8.76</v>
      </c>
      <c r="N19" s="65">
        <v>1</v>
      </c>
      <c r="Q19" s="89" t="s">
        <v>102</v>
      </c>
      <c r="R19" s="89"/>
      <c r="S19" s="89" t="str">
        <f>$B$2&amp;$D$5&amp;$H$2&amp;RIGHT(Sector_Fuels_ELC!$L$6,3)&amp;"_JAMEJALA00"</f>
        <v>ELCCEGAS_JAMEJALA00</v>
      </c>
      <c r="T19" t="str">
        <f>$D$2&amp;" "&amp;$H$1&amp;RIGHT(S19,2)&amp;" Jamejala CHP - "&amp;'EB1'!$E$3</f>
        <v>Power Plants Existing00 Jamejala CHP - Natural Gas</v>
      </c>
      <c r="U19" s="89" t="s">
        <v>180</v>
      </c>
      <c r="V19" s="89" t="s">
        <v>101</v>
      </c>
      <c r="W19" t="s">
        <v>116</v>
      </c>
      <c r="Z19" s="21"/>
      <c r="AB19"/>
    </row>
    <row r="20" spans="2:30" x14ac:dyDescent="0.2">
      <c r="B20" s="92" t="str">
        <f t="shared" si="0"/>
        <v>ELCCEGAS_PUSSI00</v>
      </c>
      <c r="C20" s="21" t="str">
        <f>$B$2&amp;RIGHT(Sector_Fuels_ELC!$L$6,3)</f>
        <v>ELCGAS</v>
      </c>
      <c r="D20" s="92" t="str">
        <f>ELC!$X$5</f>
        <v>ELC</v>
      </c>
      <c r="E20">
        <v>1.8E-3</v>
      </c>
      <c r="G20">
        <v>0.56000000000000005</v>
      </c>
      <c r="H20" s="93">
        <v>0.95</v>
      </c>
      <c r="I20" s="7">
        <v>1175.5066999999999</v>
      </c>
      <c r="J20" s="7">
        <v>39.138495576499992</v>
      </c>
      <c r="K20" s="7">
        <v>5.8775000000000004</v>
      </c>
      <c r="L20">
        <v>40</v>
      </c>
      <c r="M20" s="64">
        <v>8.76</v>
      </c>
      <c r="N20" s="65">
        <v>1</v>
      </c>
      <c r="Q20" s="89" t="s">
        <v>102</v>
      </c>
      <c r="R20" s="89"/>
      <c r="S20" s="89" t="str">
        <f>$B$2&amp;$D$5&amp;$H$2&amp;RIGHT(Sector_Fuels_ELC!$L$6,3)&amp;"_PUSSI00"</f>
        <v>ELCCEGAS_PUSSI00</v>
      </c>
      <c r="T20" t="str">
        <f>$D$2&amp;" "&amp;$H$1&amp;RIGHT(S20,2)&amp;" Pussi CHP - "&amp;'EB1'!$E$3</f>
        <v>Power Plants Existing00 Pussi CHP - Natural Gas</v>
      </c>
      <c r="U20" s="89" t="s">
        <v>180</v>
      </c>
      <c r="V20" s="89" t="s">
        <v>101</v>
      </c>
      <c r="W20" t="s">
        <v>116</v>
      </c>
      <c r="Z20" s="21"/>
      <c r="AB20"/>
    </row>
    <row r="21" spans="2:30" x14ac:dyDescent="0.2">
      <c r="B21" s="92" t="str">
        <f t="shared" si="0"/>
        <v>ELCCEBIO_ILMATSALU00</v>
      </c>
      <c r="C21" s="21" t="str">
        <f>$B$2&amp;RIGHT(Sector_Fuels_ELC!$L$9,3)</f>
        <v>ELCBIO</v>
      </c>
      <c r="D21" s="92" t="str">
        <f>ELC!$X$5</f>
        <v>ELC</v>
      </c>
      <c r="E21">
        <v>1.5E-3</v>
      </c>
      <c r="G21">
        <v>0.28999999999999998</v>
      </c>
      <c r="H21" s="93">
        <v>0.95</v>
      </c>
      <c r="I21" s="7">
        <v>4516.7133000000003</v>
      </c>
      <c r="J21" s="7">
        <v>162.96753257730003</v>
      </c>
      <c r="K21" s="7">
        <v>2.8138000000000001</v>
      </c>
      <c r="L21">
        <v>40</v>
      </c>
      <c r="M21" s="64">
        <v>8.76</v>
      </c>
      <c r="N21" s="65">
        <v>1</v>
      </c>
      <c r="Q21" s="89" t="s">
        <v>102</v>
      </c>
      <c r="R21" s="89"/>
      <c r="S21" s="89" t="str">
        <f>$B$2&amp;$D$5&amp;$H$2&amp;RIGHT(Sector_Fuels_ELC!$L$9,3)&amp;"_ILMATSALU00"</f>
        <v>ELCCEBIO_ILMATSALU00</v>
      </c>
      <c r="T21" t="str">
        <f>$D$2&amp;" "&amp;$H$1&amp;RIGHT(S21,2)&amp;" Ilmatsalu CHP - "&amp;'EB1'!$O$3</f>
        <v>Power Plants Existing00 Ilmatsalu CHP - Biomass</v>
      </c>
      <c r="U21" s="89" t="s">
        <v>180</v>
      </c>
      <c r="V21" s="89" t="s">
        <v>101</v>
      </c>
      <c r="W21" t="s">
        <v>116</v>
      </c>
      <c r="Z21" s="21"/>
      <c r="AB21"/>
    </row>
    <row r="22" spans="2:30" x14ac:dyDescent="0.2">
      <c r="B22" s="92" t="str">
        <f t="shared" si="0"/>
        <v>ELCCEBIO_VINNI00</v>
      </c>
      <c r="C22" s="21" t="str">
        <f>$B$2&amp;RIGHT(Sector_Fuels_ELC!$L$9,3)</f>
        <v>ELCBIO</v>
      </c>
      <c r="D22" s="92" t="str">
        <f>ELC!$X$5</f>
        <v>ELC</v>
      </c>
      <c r="E22">
        <v>1.4E-3</v>
      </c>
      <c r="G22">
        <v>0.28999999999999998</v>
      </c>
      <c r="H22" s="93">
        <v>0.95</v>
      </c>
      <c r="I22" s="7">
        <v>4516.7133000000003</v>
      </c>
      <c r="J22" s="7">
        <v>162.96753257730003</v>
      </c>
      <c r="K22" s="7">
        <v>2.8138000000000001</v>
      </c>
      <c r="L22">
        <v>40</v>
      </c>
      <c r="M22" s="64">
        <v>8.76</v>
      </c>
      <c r="N22" s="65">
        <v>1</v>
      </c>
      <c r="Q22" s="89" t="s">
        <v>102</v>
      </c>
      <c r="R22" s="89"/>
      <c r="S22" s="89" t="str">
        <f>$B$2&amp;$D$5&amp;$H$2&amp;RIGHT(Sector_Fuels_ELC!$L$9,3)&amp;"_VINNI00"</f>
        <v>ELCCEBIO_VINNI00</v>
      </c>
      <c r="T22" t="str">
        <f>$D$2&amp;" "&amp;$H$1&amp;RIGHT(S22,2)&amp;" Vinni CHP - "&amp;'EB1'!$O$3</f>
        <v>Power Plants Existing00 Vinni CHP - Biomass</v>
      </c>
      <c r="U22" s="89" t="s">
        <v>180</v>
      </c>
      <c r="V22" s="89" t="s">
        <v>101</v>
      </c>
      <c r="W22" t="s">
        <v>116</v>
      </c>
      <c r="Z22" s="21"/>
      <c r="AB22"/>
    </row>
    <row r="23" spans="2:30" x14ac:dyDescent="0.2">
      <c r="B23" s="92" t="str">
        <f>S23</f>
        <v>ELCCEBIO_OISU00</v>
      </c>
      <c r="C23" s="21" t="str">
        <f>$B$2&amp;RIGHT(Sector_Fuels_ELC!$L$9,3)</f>
        <v>ELCBIO</v>
      </c>
      <c r="D23" s="92" t="str">
        <f>ELC!$X$5</f>
        <v>ELC</v>
      </c>
      <c r="E23">
        <v>1.1999999999999999E-3</v>
      </c>
      <c r="G23">
        <v>0.28999999999999998</v>
      </c>
      <c r="H23" s="93">
        <v>0.95</v>
      </c>
      <c r="I23" s="7">
        <v>4516.7133000000003</v>
      </c>
      <c r="J23" s="7">
        <v>162.96753257730003</v>
      </c>
      <c r="K23" s="7">
        <v>2.8138000000000001</v>
      </c>
      <c r="L23">
        <v>40</v>
      </c>
      <c r="M23" s="64">
        <v>8.76</v>
      </c>
      <c r="N23" s="65">
        <v>1</v>
      </c>
      <c r="Q23" s="89" t="s">
        <v>102</v>
      </c>
      <c r="R23" s="89"/>
      <c r="S23" s="89" t="str">
        <f>$B$2&amp;$D$5&amp;$H$2&amp;RIGHT(Sector_Fuels_ELC!$L$9,3)&amp;"_OISU00"</f>
        <v>ELCCEBIO_OISU00</v>
      </c>
      <c r="T23" t="str">
        <f>$D$2&amp;" "&amp;$H$1&amp;RIGHT(S23,2)&amp;" Oisu CHP - "&amp;'EB1'!$O$3</f>
        <v>Power Plants Existing00 Oisu CHP - Biomass</v>
      </c>
      <c r="U23" s="89" t="s">
        <v>180</v>
      </c>
      <c r="V23" s="89" t="s">
        <v>101</v>
      </c>
      <c r="W23" t="s">
        <v>116</v>
      </c>
      <c r="Z23" s="21"/>
      <c r="AB23"/>
    </row>
    <row r="24" spans="2:30" x14ac:dyDescent="0.2">
      <c r="B24" s="92" t="str">
        <f t="shared" si="0"/>
        <v>ELCCEBIO_RAKVERE00</v>
      </c>
      <c r="C24" s="21" t="str">
        <f>$B$2&amp;RIGHT(Sector_Fuels_ELC!$L$9,3)</f>
        <v>ELCBIO</v>
      </c>
      <c r="D24" s="92" t="str">
        <f>ELC!$X$5</f>
        <v>ELC</v>
      </c>
      <c r="E24">
        <v>8.9999999999999998E-4</v>
      </c>
      <c r="G24">
        <v>0.28999999999999998</v>
      </c>
      <c r="H24" s="93">
        <v>0.95</v>
      </c>
      <c r="I24" s="7">
        <v>4516.7133000000003</v>
      </c>
      <c r="J24" s="83">
        <v>162.96753257730003</v>
      </c>
      <c r="K24" s="83">
        <v>2.8138000000000001</v>
      </c>
      <c r="L24">
        <v>40</v>
      </c>
      <c r="M24" s="64">
        <v>8.76</v>
      </c>
      <c r="N24" s="65">
        <v>1</v>
      </c>
      <c r="Q24" s="89" t="s">
        <v>102</v>
      </c>
      <c r="R24" s="89"/>
      <c r="S24" s="89" t="str">
        <f>$B$2&amp;$D$5&amp;$H$2&amp;RIGHT(Sector_Fuels_ELC!$L$9,3)&amp;"_RAKVERE00"</f>
        <v>ELCCEBIO_RAKVERE00</v>
      </c>
      <c r="T24" t="str">
        <f>$D$2&amp;" "&amp;$H$1&amp;RIGHT(S24,2)&amp;" Rakvere CHP - "&amp;'EB1'!$O$3</f>
        <v>Power Plants Existing00 Rakvere CHP - Biomass</v>
      </c>
      <c r="U24" s="89" t="s">
        <v>180</v>
      </c>
      <c r="V24" s="89" t="s">
        <v>101</v>
      </c>
      <c r="W24" t="s">
        <v>116</v>
      </c>
      <c r="Z24" s="21"/>
      <c r="AB24"/>
    </row>
    <row r="25" spans="2:30" x14ac:dyDescent="0.2">
      <c r="E25"/>
      <c r="G25" s="93"/>
      <c r="I25" s="7"/>
      <c r="J25" s="83"/>
      <c r="K25" s="83"/>
      <c r="N25" s="74"/>
      <c r="Q25" s="89"/>
      <c r="R25" s="89"/>
      <c r="S25" s="89"/>
      <c r="U25" s="89"/>
      <c r="V25" s="89"/>
      <c r="Z25" s="21"/>
      <c r="AB25"/>
    </row>
    <row r="26" spans="2:30" x14ac:dyDescent="0.2">
      <c r="E26"/>
      <c r="G26" s="93"/>
      <c r="I26" s="7"/>
      <c r="J26" s="83"/>
      <c r="K26" s="83"/>
      <c r="N26" s="74"/>
      <c r="Q26" s="89"/>
      <c r="R26" s="89"/>
      <c r="S26" s="89"/>
      <c r="U26" s="89"/>
      <c r="V26" s="89"/>
      <c r="Z26" s="21"/>
      <c r="AB26"/>
    </row>
    <row r="27" spans="2:30" x14ac:dyDescent="0.2">
      <c r="G27"/>
      <c r="I27" s="93"/>
      <c r="K27" s="7"/>
      <c r="L27" s="83"/>
      <c r="M27" s="83"/>
      <c r="P27" s="74"/>
      <c r="S27" s="89"/>
      <c r="U27" s="89"/>
      <c r="V27" s="89"/>
      <c r="AC27"/>
      <c r="AD27"/>
    </row>
    <row r="28" spans="2:30" x14ac:dyDescent="0.2">
      <c r="G28"/>
      <c r="I28" s="93"/>
      <c r="K28" s="7"/>
      <c r="L28" s="83"/>
      <c r="M28" s="83"/>
      <c r="P28" s="74"/>
      <c r="S28" s="89"/>
      <c r="U28" s="89"/>
      <c r="V28" s="89"/>
      <c r="AC28"/>
      <c r="AD28"/>
    </row>
    <row r="29" spans="2:30" x14ac:dyDescent="0.2">
      <c r="G29"/>
      <c r="I29" s="93"/>
      <c r="K29" s="7"/>
      <c r="L29" s="83"/>
      <c r="M29" s="83"/>
      <c r="P29" s="74"/>
      <c r="S29" s="89"/>
      <c r="U29" s="89"/>
      <c r="V29" s="89"/>
    </row>
    <row r="30" spans="2:30" x14ac:dyDescent="0.2">
      <c r="G30"/>
      <c r="I30" s="93"/>
      <c r="K30" s="7"/>
      <c r="L30" s="83"/>
      <c r="M30" s="83"/>
      <c r="P30" s="74"/>
      <c r="S30" s="89"/>
      <c r="U30" s="89"/>
      <c r="V30" s="89"/>
    </row>
    <row r="31" spans="2:30" x14ac:dyDescent="0.2">
      <c r="G31"/>
      <c r="I31" s="93"/>
      <c r="K31" s="7"/>
      <c r="L31" s="83"/>
      <c r="M31" s="83"/>
      <c r="P31" s="74"/>
      <c r="S31" s="89"/>
      <c r="U31" s="89"/>
      <c r="V31" s="89"/>
    </row>
    <row r="32" spans="2:30" x14ac:dyDescent="0.2">
      <c r="G32"/>
      <c r="I32" s="93"/>
      <c r="K32" s="7"/>
      <c r="L32" s="83"/>
      <c r="M32" s="83"/>
      <c r="P32" s="74"/>
      <c r="S32" s="89"/>
      <c r="U32" s="89"/>
      <c r="V32" s="89"/>
    </row>
    <row r="33" spans="7:22" x14ac:dyDescent="0.2">
      <c r="G33"/>
      <c r="I33" s="93"/>
      <c r="K33" s="7"/>
      <c r="L33" s="83"/>
      <c r="M33" s="83"/>
      <c r="P33" s="74"/>
      <c r="S33" s="89"/>
      <c r="U33" s="89"/>
      <c r="V33" s="89"/>
    </row>
    <row r="34" spans="7:22" x14ac:dyDescent="0.2">
      <c r="G34"/>
      <c r="I34" s="93"/>
      <c r="K34" s="7"/>
      <c r="L34" s="83"/>
      <c r="M34" s="83"/>
      <c r="N34"/>
      <c r="P34"/>
      <c r="S34" s="89"/>
    </row>
    <row r="35" spans="7:22" x14ac:dyDescent="0.2">
      <c r="G35"/>
      <c r="I35" s="93"/>
      <c r="K35" s="7"/>
      <c r="L35" s="83"/>
      <c r="M35" s="83"/>
      <c r="N35"/>
      <c r="P35"/>
      <c r="S35" s="89"/>
    </row>
    <row r="36" spans="7:22" x14ac:dyDescent="0.2">
      <c r="G36"/>
      <c r="I36" s="93"/>
      <c r="K36" s="7"/>
      <c r="L36" s="83"/>
      <c r="M36" s="83"/>
      <c r="N36"/>
      <c r="P36"/>
      <c r="S36" s="89"/>
    </row>
    <row r="37" spans="7:22" x14ac:dyDescent="0.2">
      <c r="G37"/>
      <c r="I37" s="93"/>
      <c r="K37" s="7"/>
      <c r="L37" s="83"/>
      <c r="M37" s="83"/>
      <c r="N37"/>
      <c r="P37"/>
      <c r="S37" s="89"/>
    </row>
    <row r="38" spans="7:22" x14ac:dyDescent="0.2">
      <c r="G38"/>
      <c r="I38" s="93"/>
      <c r="K38" s="7"/>
      <c r="L38" s="83"/>
      <c r="M38" s="83"/>
      <c r="N38"/>
      <c r="P38"/>
      <c r="S38" s="89"/>
    </row>
    <row r="39" spans="7:22" x14ac:dyDescent="0.2">
      <c r="G39"/>
      <c r="I39" s="93"/>
      <c r="K39" s="7"/>
      <c r="L39" s="83"/>
      <c r="M39" s="83"/>
      <c r="N39"/>
      <c r="P39"/>
      <c r="S39" s="89"/>
    </row>
    <row r="40" spans="7:22" x14ac:dyDescent="0.2">
      <c r="G40"/>
      <c r="I40" s="93"/>
      <c r="K40" s="7"/>
      <c r="L40" s="83"/>
      <c r="M40" s="83"/>
      <c r="N40"/>
      <c r="P40"/>
      <c r="S40" s="89"/>
    </row>
    <row r="41" spans="7:22" x14ac:dyDescent="0.2">
      <c r="G41"/>
      <c r="I41" s="93"/>
      <c r="K41" s="7"/>
      <c r="L41" s="83"/>
      <c r="M41" s="83"/>
      <c r="N41"/>
      <c r="P41"/>
      <c r="S41" s="89"/>
    </row>
    <row r="42" spans="7:22" x14ac:dyDescent="0.2">
      <c r="G42"/>
      <c r="I42" s="93"/>
      <c r="K42" s="7"/>
      <c r="L42" s="83"/>
      <c r="M42" s="83"/>
      <c r="N42"/>
      <c r="P42"/>
      <c r="S42" s="89"/>
    </row>
    <row r="43" spans="7:22" x14ac:dyDescent="0.2">
      <c r="K43" s="79"/>
      <c r="L43" s="79"/>
      <c r="M43" s="79"/>
      <c r="N43" s="79"/>
      <c r="P43"/>
      <c r="S43" s="89"/>
    </row>
    <row r="65535" spans="18:18" x14ac:dyDescent="0.2">
      <c r="R65535" s="29"/>
    </row>
  </sheetData>
  <pageMargins left="0.7" right="0.7" top="0.75" bottom="0.75" header="0.3" footer="0.3"/>
  <ignoredErrors>
    <ignoredError sqref="S15:T15 C15" formula="1"/>
  </ignoredErrors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J24"/>
  <sheetViews>
    <sheetView tabSelected="1" zoomScale="94" workbookViewId="0">
      <selection activeCell="K9" sqref="K9"/>
    </sheetView>
  </sheetViews>
  <sheetFormatPr defaultRowHeight="12.75" x14ac:dyDescent="0.2"/>
  <cols>
    <col min="2" max="2" width="14.42578125" customWidth="1"/>
  </cols>
  <sheetData>
    <row r="3" spans="2:10" ht="17.45" customHeight="1" x14ac:dyDescent="0.25">
      <c r="B3" s="34" t="s">
        <v>145</v>
      </c>
      <c r="C3" s="34"/>
      <c r="D3" s="34"/>
      <c r="E3" s="34"/>
      <c r="F3" s="34"/>
      <c r="G3" s="34"/>
      <c r="H3" s="34"/>
      <c r="I3" s="34"/>
      <c r="J3" s="34"/>
    </row>
    <row r="4" spans="2:10" ht="17.45" customHeight="1" x14ac:dyDescent="0.25">
      <c r="B4" s="35"/>
      <c r="C4" s="35"/>
      <c r="D4" s="35"/>
      <c r="E4" s="35"/>
      <c r="F4" s="35"/>
      <c r="G4" s="35"/>
    </row>
    <row r="5" spans="2:10" ht="18" x14ac:dyDescent="0.25">
      <c r="B5" s="32" t="s">
        <v>137</v>
      </c>
      <c r="C5" s="33"/>
    </row>
    <row r="6" spans="2:10" ht="13.5" thickBot="1" x14ac:dyDescent="0.25">
      <c r="B6" s="36" t="s">
        <v>0</v>
      </c>
      <c r="C6" s="36" t="str">
        <f>Sector_Fuels_ELC!$L$5</f>
        <v>ELCCOA</v>
      </c>
      <c r="D6" s="36" t="str">
        <f>Sector_Fuels_ELC!$L$6</f>
        <v>ELCGAS</v>
      </c>
      <c r="E6" s="36" t="str">
        <f>Sector_Fuels_ELC!$L$7</f>
        <v>ELCOIL</v>
      </c>
      <c r="F6" s="36" t="str">
        <f>Sector_Fuels_ELC!$L$16</f>
        <v>ELCSHL</v>
      </c>
      <c r="G6" s="36" t="str">
        <f>Sector_Fuels_ELC!$L$15</f>
        <v>ELCMSW</v>
      </c>
      <c r="H6" s="1"/>
    </row>
    <row r="7" spans="2:10" ht="13.5" thickBot="1" x14ac:dyDescent="0.25">
      <c r="B7" s="14" t="s">
        <v>76</v>
      </c>
      <c r="C7" s="14" t="s">
        <v>141</v>
      </c>
      <c r="D7" s="14" t="s">
        <v>141</v>
      </c>
      <c r="E7" s="14" t="s">
        <v>141</v>
      </c>
      <c r="F7" s="14" t="s">
        <v>141</v>
      </c>
      <c r="G7" s="14" t="s">
        <v>141</v>
      </c>
      <c r="H7" s="1"/>
    </row>
    <row r="8" spans="2:10" x14ac:dyDescent="0.2">
      <c r="B8" s="21" t="str">
        <f>ELC!$X$6</f>
        <v>ELCCO2</v>
      </c>
      <c r="C8" s="63">
        <v>95</v>
      </c>
      <c r="D8">
        <v>515</v>
      </c>
      <c r="E8" s="63">
        <v>76.400000000000006</v>
      </c>
      <c r="F8">
        <v>900</v>
      </c>
      <c r="G8" s="63">
        <v>41.4</v>
      </c>
      <c r="H8" s="1"/>
    </row>
    <row r="9" spans="2:10" x14ac:dyDescent="0.2">
      <c r="D9" s="63">
        <v>56.1</v>
      </c>
      <c r="F9" s="63">
        <v>100</v>
      </c>
    </row>
    <row r="23" spans="2:3" x14ac:dyDescent="0.2">
      <c r="B23" s="43"/>
      <c r="C23" s="1" t="s">
        <v>142</v>
      </c>
    </row>
    <row r="24" spans="2:3" x14ac:dyDescent="0.2">
      <c r="B24" s="59"/>
      <c r="C24" s="1" t="s">
        <v>143</v>
      </c>
    </row>
  </sheetData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CFCD1-25AD-42A5-9F77-F4D75C1B60FE}">
  <dimension ref="B4:K12"/>
  <sheetViews>
    <sheetView workbookViewId="0">
      <selection activeCell="C10" sqref="C10"/>
    </sheetView>
  </sheetViews>
  <sheetFormatPr defaultRowHeight="12.75" x14ac:dyDescent="0.2"/>
  <sheetData>
    <row r="4" spans="2:11" x14ac:dyDescent="0.2">
      <c r="B4" s="99" t="s">
        <v>196</v>
      </c>
      <c r="C4" s="21"/>
      <c r="D4" s="21"/>
      <c r="E4" s="21"/>
      <c r="F4" s="21"/>
      <c r="G4" s="21"/>
      <c r="H4" s="21"/>
    </row>
    <row r="5" spans="2:11" ht="13.5" thickBot="1" x14ac:dyDescent="0.25">
      <c r="B5" s="100" t="s">
        <v>0</v>
      </c>
      <c r="C5" s="101" t="s">
        <v>197</v>
      </c>
      <c r="D5" s="101" t="s">
        <v>198</v>
      </c>
      <c r="E5" s="101" t="s">
        <v>199</v>
      </c>
      <c r="F5" s="101" t="s">
        <v>200</v>
      </c>
      <c r="G5" s="101" t="s">
        <v>201</v>
      </c>
      <c r="H5" s="101" t="s">
        <v>202</v>
      </c>
    </row>
    <row r="6" spans="2:11" x14ac:dyDescent="0.2">
      <c r="B6" s="102" t="s">
        <v>203</v>
      </c>
      <c r="C6" s="103">
        <v>1</v>
      </c>
      <c r="D6">
        <v>1</v>
      </c>
      <c r="E6">
        <v>1</v>
      </c>
      <c r="F6">
        <v>1</v>
      </c>
      <c r="G6">
        <v>1</v>
      </c>
      <c r="H6">
        <v>1</v>
      </c>
    </row>
    <row r="7" spans="2:11" x14ac:dyDescent="0.2">
      <c r="K7" s="1"/>
    </row>
    <row r="9" spans="2:11" x14ac:dyDescent="0.2">
      <c r="B9" s="84" t="s">
        <v>14</v>
      </c>
      <c r="C9" s="84"/>
      <c r="D9" s="85"/>
      <c r="E9" s="85"/>
      <c r="F9" s="85"/>
      <c r="G9" s="85"/>
      <c r="H9" s="85"/>
      <c r="I9" s="85"/>
      <c r="J9" s="85"/>
    </row>
    <row r="10" spans="2:11" x14ac:dyDescent="0.2">
      <c r="B10" s="86" t="s">
        <v>7</v>
      </c>
      <c r="C10" s="87" t="s">
        <v>30</v>
      </c>
      <c r="D10" s="86" t="s">
        <v>0</v>
      </c>
      <c r="E10" s="86" t="s">
        <v>3</v>
      </c>
      <c r="F10" s="86" t="s">
        <v>4</v>
      </c>
      <c r="G10" s="86" t="s">
        <v>8</v>
      </c>
      <c r="H10" s="86" t="s">
        <v>9</v>
      </c>
      <c r="I10" s="86" t="s">
        <v>10</v>
      </c>
      <c r="J10" s="86" t="s">
        <v>12</v>
      </c>
    </row>
    <row r="11" spans="2:11" ht="45.75" thickBot="1" x14ac:dyDescent="0.25">
      <c r="B11" s="88" t="s">
        <v>35</v>
      </c>
      <c r="C11" s="88" t="s">
        <v>31</v>
      </c>
      <c r="D11" s="88" t="s">
        <v>26</v>
      </c>
      <c r="E11" s="88" t="s">
        <v>27</v>
      </c>
      <c r="F11" s="88" t="s">
        <v>4</v>
      </c>
      <c r="G11" s="88" t="s">
        <v>38</v>
      </c>
      <c r="H11" s="88" t="s">
        <v>39</v>
      </c>
      <c r="I11" s="88" t="s">
        <v>28</v>
      </c>
      <c r="J11" s="88" t="s">
        <v>29</v>
      </c>
    </row>
    <row r="12" spans="2:11" x14ac:dyDescent="0.2">
      <c r="B12" s="85" t="s">
        <v>88</v>
      </c>
      <c r="C12" s="89"/>
      <c r="D12" s="85" t="str">
        <f>B6</f>
        <v>TOTCO2</v>
      </c>
      <c r="E12" s="85" t="s">
        <v>204</v>
      </c>
      <c r="F12" s="85" t="str">
        <f>[2]EB1!AA2</f>
        <v>kt</v>
      </c>
      <c r="G12" s="85"/>
      <c r="H12" s="85"/>
      <c r="I12" s="85"/>
      <c r="J12" s="85"/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EB1</vt:lpstr>
      <vt:lpstr>Intra_areas</vt:lpstr>
      <vt:lpstr>Sector_Fuels_ELC</vt:lpstr>
      <vt:lpstr>ELC</vt:lpstr>
      <vt:lpstr>CHP</vt:lpstr>
      <vt:lpstr>Emi</vt:lpstr>
      <vt:lpstr>TOTCO2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Kristopher Raik</cp:lastModifiedBy>
  <cp:lastPrinted>2004-11-16T14:57:57Z</cp:lastPrinted>
  <dcterms:created xsi:type="dcterms:W3CDTF">2000-12-13T15:53:11Z</dcterms:created>
  <dcterms:modified xsi:type="dcterms:W3CDTF">2026-10-23T16:09:08Z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415874660015106</vt:r8>
  </property>
</Properties>
</file>