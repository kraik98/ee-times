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1E5EA78E-ADC3-4ECF-97F6-B4A16E229781}" xr6:coauthVersionLast="47" xr6:coauthVersionMax="47" xr10:uidLastSave="{00000000-0000-0000-0000-000000000000}"/>
  <bookViews>
    <workbookView xWindow="-38520" yWindow="-5220" windowWidth="38640" windowHeight="2112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Emi" sheetId="149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43" l="1"/>
  <c r="D36" i="143"/>
  <c r="D37" i="143"/>
  <c r="D38" i="143"/>
  <c r="D39" i="143"/>
  <c r="D40" i="143"/>
  <c r="D41" i="143"/>
  <c r="D42" i="143"/>
  <c r="D43" i="143"/>
  <c r="D31" i="140" l="1"/>
  <c r="B30" i="140"/>
  <c r="D30" i="140"/>
  <c r="L28" i="140"/>
  <c r="B31" i="140" s="1"/>
  <c r="M28" i="140"/>
  <c r="L27" i="140"/>
  <c r="M27" i="140"/>
  <c r="D29" i="143"/>
  <c r="D30" i="143"/>
  <c r="D31" i="143"/>
  <c r="D32" i="143"/>
  <c r="D33" i="143"/>
  <c r="D34" i="143"/>
  <c r="H11" i="143"/>
  <c r="D20" i="143"/>
  <c r="D21" i="143"/>
  <c r="D22" i="143"/>
  <c r="D23" i="143"/>
  <c r="D24" i="143"/>
  <c r="D25" i="143"/>
  <c r="D26" i="143"/>
  <c r="D27" i="143"/>
  <c r="D28" i="143"/>
  <c r="F11" i="143" l="1"/>
  <c r="E11" i="143"/>
  <c r="R17" i="143"/>
  <c r="G9" i="133"/>
  <c r="M9" i="133"/>
  <c r="N9" i="133"/>
  <c r="Y19" i="143"/>
  <c r="Y18" i="143"/>
  <c r="Y17" i="143"/>
  <c r="C2" i="140"/>
  <c r="M9" i="140" s="1"/>
  <c r="M24" i="140" s="1"/>
  <c r="B2" i="140"/>
  <c r="L10" i="140" s="1"/>
  <c r="C25" i="140"/>
  <c r="C24" i="140"/>
  <c r="C23" i="140"/>
  <c r="C22" i="140"/>
  <c r="G11" i="143"/>
  <c r="Y15" i="143"/>
  <c r="X6" i="143"/>
  <c r="G2" i="143"/>
  <c r="E2" i="143"/>
  <c r="X5" i="143" s="1"/>
  <c r="C2" i="143"/>
  <c r="W6" i="143" s="1"/>
  <c r="B2" i="143"/>
  <c r="W5" i="143"/>
  <c r="D13" i="143"/>
  <c r="Y16" i="143"/>
  <c r="Y14" i="143"/>
  <c r="Y13" i="143"/>
  <c r="Y12" i="143"/>
  <c r="F2" i="140"/>
  <c r="F19" i="140" s="1"/>
  <c r="E2" i="140"/>
  <c r="L9" i="133"/>
  <c r="P9" i="133"/>
  <c r="W9" i="133"/>
  <c r="K9" i="133"/>
  <c r="E23" i="140"/>
  <c r="T9" i="133"/>
  <c r="F9" i="133"/>
  <c r="H9" i="133"/>
  <c r="G19" i="143"/>
  <c r="R19" i="143" s="1"/>
  <c r="G13" i="143"/>
  <c r="R13" i="143" s="1"/>
  <c r="G12" i="143"/>
  <c r="R12" i="143" s="1"/>
  <c r="U9" i="133"/>
  <c r="G18" i="143"/>
  <c r="R18" i="143" s="1"/>
  <c r="I9" i="133"/>
  <c r="V9" i="133"/>
  <c r="D9" i="133"/>
  <c r="G16" i="143"/>
  <c r="R16" i="143" s="1"/>
  <c r="L5" i="140"/>
  <c r="C6" i="149" s="1"/>
  <c r="E9" i="133"/>
  <c r="G15" i="143"/>
  <c r="H15" i="143" s="1"/>
  <c r="J9" i="133"/>
  <c r="C36" i="143" l="1"/>
  <c r="C38" i="143"/>
  <c r="C39" i="143"/>
  <c r="C40" i="143"/>
  <c r="C41" i="143"/>
  <c r="C42" i="143"/>
  <c r="C43" i="143"/>
  <c r="C35" i="143"/>
  <c r="C37" i="143"/>
  <c r="M11" i="143"/>
  <c r="L11" i="143"/>
  <c r="N27" i="140"/>
  <c r="O27" i="140"/>
  <c r="N29" i="140"/>
  <c r="O29" i="140"/>
  <c r="N28" i="140"/>
  <c r="O28" i="140"/>
  <c r="V12" i="143"/>
  <c r="B12" i="143" s="1"/>
  <c r="C12" i="143"/>
  <c r="E25" i="140"/>
  <c r="X9" i="133"/>
  <c r="Q9" i="133"/>
  <c r="O9" i="133"/>
  <c r="M10" i="140"/>
  <c r="M25" i="140" s="1"/>
  <c r="M6" i="140"/>
  <c r="M21" i="140" s="1"/>
  <c r="M5" i="140"/>
  <c r="M20" i="140" s="1"/>
  <c r="M8" i="140"/>
  <c r="M23" i="140" s="1"/>
  <c r="L8" i="140"/>
  <c r="L11" i="140"/>
  <c r="L26" i="140" s="1"/>
  <c r="L7" i="140"/>
  <c r="C14" i="143" s="1"/>
  <c r="L6" i="140"/>
  <c r="L9" i="140"/>
  <c r="L14" i="140"/>
  <c r="L25" i="140"/>
  <c r="B28" i="140" s="1"/>
  <c r="D28" i="140"/>
  <c r="C28" i="140" s="1"/>
  <c r="O11" i="143"/>
  <c r="X13" i="143"/>
  <c r="X16" i="143"/>
  <c r="X15" i="143"/>
  <c r="X12" i="143"/>
  <c r="X17" i="143"/>
  <c r="X14" i="143"/>
  <c r="X19" i="143"/>
  <c r="X18" i="143"/>
  <c r="D14" i="143"/>
  <c r="D12" i="143"/>
  <c r="D15" i="143"/>
  <c r="O21" i="140"/>
  <c r="O20" i="140"/>
  <c r="N11" i="140"/>
  <c r="O24" i="140"/>
  <c r="N25" i="140"/>
  <c r="N26" i="140"/>
  <c r="D20" i="140"/>
  <c r="C20" i="140" s="1"/>
  <c r="L20" i="140"/>
  <c r="B20" i="140" s="1"/>
  <c r="R15" i="143"/>
  <c r="N6" i="140"/>
  <c r="O23" i="140"/>
  <c r="K11" i="143"/>
  <c r="V17" i="143"/>
  <c r="G14" i="143"/>
  <c r="R14" i="143" s="1"/>
  <c r="M11" i="140"/>
  <c r="M26" i="140" s="1"/>
  <c r="M14" i="140"/>
  <c r="M29" i="140" s="1"/>
  <c r="D19" i="143"/>
  <c r="N14" i="140"/>
  <c r="N22" i="140"/>
  <c r="N7" i="140"/>
  <c r="N8" i="140"/>
  <c r="D17" i="143"/>
  <c r="N21" i="140"/>
  <c r="O22" i="140"/>
  <c r="O26" i="140"/>
  <c r="O25" i="140"/>
  <c r="N5" i="140"/>
  <c r="C17" i="143"/>
  <c r="E22" i="140"/>
  <c r="V6" i="143"/>
  <c r="B8" i="149" s="1"/>
  <c r="E24" i="140"/>
  <c r="N9" i="140"/>
  <c r="D18" i="143"/>
  <c r="N10" i="140"/>
  <c r="N20" i="140"/>
  <c r="N24" i="140"/>
  <c r="D16" i="143"/>
  <c r="M7" i="140"/>
  <c r="M22" i="140" s="1"/>
  <c r="N23" i="140"/>
  <c r="C27" i="143" l="1"/>
  <c r="D32" i="140"/>
  <c r="C32" i="140" s="1"/>
  <c r="L29" i="140"/>
  <c r="B32" i="140" s="1"/>
  <c r="V20" i="143"/>
  <c r="W20" i="143" s="1"/>
  <c r="V19" i="143"/>
  <c r="W19" i="143" s="1"/>
  <c r="C23" i="143"/>
  <c r="C24" i="143"/>
  <c r="C25" i="143"/>
  <c r="C26" i="143"/>
  <c r="C30" i="143"/>
  <c r="V24" i="143"/>
  <c r="W24" i="143" s="1"/>
  <c r="V36" i="143"/>
  <c r="C29" i="143"/>
  <c r="V25" i="143"/>
  <c r="W25" i="143" s="1"/>
  <c r="V37" i="143"/>
  <c r="V26" i="143"/>
  <c r="W26" i="143" s="1"/>
  <c r="V38" i="143"/>
  <c r="V27" i="143"/>
  <c r="W27" i="143" s="1"/>
  <c r="V40" i="143"/>
  <c r="V29" i="143"/>
  <c r="W29" i="143" s="1"/>
  <c r="V41" i="143"/>
  <c r="V30" i="143"/>
  <c r="W30" i="143" s="1"/>
  <c r="V43" i="143"/>
  <c r="V32" i="143"/>
  <c r="W32" i="143" s="1"/>
  <c r="V35" i="143"/>
  <c r="C34" i="143"/>
  <c r="V23" i="143"/>
  <c r="W23" i="143" s="1"/>
  <c r="V39" i="143"/>
  <c r="V28" i="143"/>
  <c r="W28" i="143" s="1"/>
  <c r="V34" i="143"/>
  <c r="C31" i="143"/>
  <c r="V33" i="143"/>
  <c r="W33" i="143" s="1"/>
  <c r="V42" i="143"/>
  <c r="V31" i="143"/>
  <c r="W31" i="143" s="1"/>
  <c r="C33" i="143"/>
  <c r="V21" i="143"/>
  <c r="W21" i="143" s="1"/>
  <c r="C32" i="143"/>
  <c r="V22" i="143"/>
  <c r="W22" i="143" s="1"/>
  <c r="C28" i="143"/>
  <c r="C19" i="143"/>
  <c r="C20" i="143"/>
  <c r="C21" i="143"/>
  <c r="C22" i="143"/>
  <c r="L23" i="140"/>
  <c r="B26" i="140" s="1"/>
  <c r="D26" i="140"/>
  <c r="C26" i="140" s="1"/>
  <c r="V18" i="143"/>
  <c r="B18" i="143" s="1"/>
  <c r="D29" i="140"/>
  <c r="C29" i="140" s="1"/>
  <c r="V14" i="143"/>
  <c r="E6" i="149"/>
  <c r="D22" i="140"/>
  <c r="L22" i="140"/>
  <c r="B22" i="140" s="1"/>
  <c r="L24" i="140"/>
  <c r="B27" i="140" s="1"/>
  <c r="D27" i="140"/>
  <c r="C27" i="140" s="1"/>
  <c r="C15" i="143"/>
  <c r="V15" i="143"/>
  <c r="C18" i="143"/>
  <c r="B29" i="140"/>
  <c r="L21" i="140"/>
  <c r="B21" i="140" s="1"/>
  <c r="V13" i="143"/>
  <c r="W13" i="143" s="1"/>
  <c r="C13" i="143"/>
  <c r="D6" i="149"/>
  <c r="D21" i="140"/>
  <c r="C21" i="140" s="1"/>
  <c r="V16" i="143"/>
  <c r="C16" i="143"/>
  <c r="W12" i="143"/>
  <c r="B17" i="143"/>
  <c r="W17" i="143"/>
  <c r="B43" i="143" l="1"/>
  <c r="W43" i="143"/>
  <c r="B41" i="143"/>
  <c r="W41" i="143"/>
  <c r="B42" i="143"/>
  <c r="W42" i="143"/>
  <c r="B38" i="143"/>
  <c r="W38" i="143"/>
  <c r="B39" i="143"/>
  <c r="W39" i="143"/>
  <c r="B36" i="143"/>
  <c r="W36" i="143"/>
  <c r="B40" i="143"/>
  <c r="W40" i="143"/>
  <c r="W37" i="143"/>
  <c r="B37" i="143"/>
  <c r="B35" i="143"/>
  <c r="W35" i="143"/>
  <c r="B20" i="143"/>
  <c r="B19" i="143"/>
  <c r="B34" i="143"/>
  <c r="W34" i="143"/>
  <c r="B26" i="143"/>
  <c r="B28" i="143"/>
  <c r="B31" i="143"/>
  <c r="B25" i="143"/>
  <c r="B23" i="143"/>
  <c r="B33" i="143"/>
  <c r="B22" i="143"/>
  <c r="B24" i="143"/>
  <c r="B32" i="143"/>
  <c r="B30" i="143"/>
  <c r="B29" i="143"/>
  <c r="B27" i="143"/>
  <c r="B21" i="143"/>
  <c r="W18" i="143"/>
  <c r="W14" i="143"/>
  <c r="B14" i="143"/>
  <c r="B13" i="143"/>
  <c r="B16" i="143"/>
  <c r="W16" i="143"/>
  <c r="B15" i="143"/>
  <c r="W15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7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7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7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8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<sst xmlns="http://schemas.openxmlformats.org/spreadsheetml/2006/main" count="404" uniqueCount="193">
  <si>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</si>
  <si>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</si>
  <si>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</si>
  <si>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</si>
  <si>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</si>
  <si>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</si>
  <si>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</si>
  <si>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</si>
  <si>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</si>
  <si>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</si>
  <si>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</si>
  <si>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</si>
  <si>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</si>
  <si>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</si>
  <si>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</si>
  <si>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</si>
  <si>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</si>
  <si>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</si>
  <si>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</si>
  <si>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</si>
  <si>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</si>
  <si>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</si>
  <si>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</si>
  <si>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</si>
  <si>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</si>
  <si>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</si>
  <si>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</si>
  <si>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</si>
  <si>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</si>
  <si>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</si>
  <si>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</si>
  <si>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</si>
  <si>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</si>
  <si>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</si>
  <si>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</si>
  <si>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</si>
  <si>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</si>
  <si>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</si>
  <si>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</si>
  <si>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</si>
  <si>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</si>
  <si>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</si>
  <si>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</si>
  <si>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</si>
  <si>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</si>
  <si>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</si>
  <si>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</si>
  <si>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</si>
  <si>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</si>
  <si>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</si>
  <si>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</si>
  <si>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</si>
  <si>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</si>
  <si>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</si>
  <si>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</si>
  <si>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</si>
  <si>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</si>
  <si>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</si>
  <si>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</si>
  <si>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</si>
  <si>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</si>
  <si>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</si>
  <si>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</si>
  <si>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</si>
  <si>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</si>
  <si>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</si>
  <si>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</si>
  <si>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</si>
  <si>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</si>
  <si>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</si>
  <si>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</si>
  <si>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</si>
  <si>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</si>
  <si>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</si>
  <si>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</si>
  <si>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</si>
  <si>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</si>
  <si>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</si>
  <si>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</si>
  <si>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</si>
  <si>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</si>
  <si>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</si>
  <si>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</si>
  <si>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</si>
  <si>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</si>
  <si>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</si>
  <si>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</si>
  <si>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</si>
  <si>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</si>
  <si>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</si>
  <si>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</si>
  <si>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</si>
  <si>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</si>
  <si>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</si>
  <si>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</si>
  <si>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</si>
  <si>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</si>
  <si>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</si>
  <si>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</si>
  <si>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</si>
  <si>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</si>
  <si>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</si>
  <si>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</si>
  <si>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</si>
  <si>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</si>
  <si>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</si>
  <si>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</si>
  <si>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</si>
  <si>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</si>
  <si>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</si>
  <si>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</si>
  <si>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</si>
  <si>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</si>
  <si>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</si>
  <si>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</si>
  <si>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</si>
  <si>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</si>
  <si>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SEASON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</si>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</sst>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02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166" fontId="0" fillId="16" borderId="0" xfId="0" applyNumberFormat="1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1" fontId="0" fillId="16" borderId="0" xfId="0" applyNumberFormat="1" applyFill="1"/>
    <xf numFmtId="1" fontId="20" fillId="0" borderId="0" xfId="2" applyNumberFormat="1" applyFont="1" applyFill="1" applyBorder="1" applyAlignment="1">
      <alignment horizontal="right" wrapText="1"/>
    </xf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168" fontId="0" fillId="0" borderId="12" xfId="0" applyNumberFormat="1" applyBorder="1"/>
    <xf numFmtId="168" fontId="0" fillId="0" borderId="0" xfId="0" applyNumberFormat="1" applyBorder="1"/>
    <xf numFmtId="0" fontId="4" fillId="0" borderId="0" xfId="9" applyBorder="1"/>
    <xf numFmtId="2" fontId="4" fillId="0" borderId="0" xfId="9" applyNumberFormat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48</xdr:row>
      <xdr:rowOff>57149</xdr:rowOff>
    </xdr:from>
    <xdr:to>
      <xdr:col>14</xdr:col>
      <xdr:colOff>407670</xdr:colOff>
      <xdr:row>54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109641</xdr:colOff>
      <xdr:row>54</xdr:row>
      <xdr:rowOff>146261</xdr:rowOff>
    </xdr:from>
    <xdr:to>
      <xdr:col>25</xdr:col>
      <xdr:colOff>74063</xdr:colOff>
      <xdr:row>62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2904891" y="9618344"/>
          <a:ext cx="7097589" cy="12624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40" t="s">
        <v>42</v>
      </c>
      <c r="E2" s="40" t="s">
        <v>43</v>
      </c>
      <c r="F2" s="40" t="s">
        <v>44</v>
      </c>
      <c r="G2" s="40" t="s">
        <v>125</v>
      </c>
      <c r="H2" s="40" t="s">
        <v>126</v>
      </c>
      <c r="I2" s="40" t="s">
        <v>127</v>
      </c>
      <c r="J2" s="40" t="s">
        <v>128</v>
      </c>
      <c r="K2" s="40" t="s">
        <v>129</v>
      </c>
      <c r="L2" s="40" t="s">
        <v>130</v>
      </c>
      <c r="M2" s="40" t="s">
        <v>131</v>
      </c>
      <c r="N2" s="40" t="s">
        <v>45</v>
      </c>
      <c r="O2" s="40" t="s">
        <v>152</v>
      </c>
      <c r="P2" s="40" t="s">
        <v>148</v>
      </c>
      <c r="Q2" s="40" t="s">
        <v>153</v>
      </c>
      <c r="R2" s="40" t="s">
        <v>153</v>
      </c>
      <c r="S2" s="40" t="s">
        <v>153</v>
      </c>
      <c r="T2" s="40" t="s">
        <v>154</v>
      </c>
      <c r="U2" s="40" t="s">
        <v>46</v>
      </c>
      <c r="V2" s="40" t="s">
        <v>47</v>
      </c>
      <c r="W2" s="40" t="s">
        <v>48</v>
      </c>
      <c r="X2" s="40" t="s">
        <v>147</v>
      </c>
      <c r="AA2" s="39" t="s">
        <v>181</v>
      </c>
      <c r="AB2" s="10" t="s">
        <v>68</v>
      </c>
      <c r="AC2" s="10" t="s">
        <v>87</v>
      </c>
    </row>
    <row r="3" spans="2:29" ht="38.25" x14ac:dyDescent="0.2">
      <c r="C3" s="59" t="s">
        <v>121</v>
      </c>
      <c r="D3" s="41" t="s">
        <v>49</v>
      </c>
      <c r="E3" s="41" t="s">
        <v>50</v>
      </c>
      <c r="F3" s="41" t="s">
        <v>124</v>
      </c>
      <c r="G3" s="41" t="s">
        <v>137</v>
      </c>
      <c r="H3" s="41" t="s">
        <v>134</v>
      </c>
      <c r="I3" s="41" t="s">
        <v>127</v>
      </c>
      <c r="J3" s="41" t="s">
        <v>135</v>
      </c>
      <c r="K3" s="41" t="s">
        <v>136</v>
      </c>
      <c r="L3" s="41" t="s">
        <v>132</v>
      </c>
      <c r="M3" s="41" t="s">
        <v>133</v>
      </c>
      <c r="N3" s="41" t="s">
        <v>51</v>
      </c>
      <c r="O3" s="41" t="s">
        <v>155</v>
      </c>
      <c r="P3" s="41" t="s">
        <v>149</v>
      </c>
      <c r="Q3" s="41" t="s">
        <v>150</v>
      </c>
      <c r="R3" s="41" t="s">
        <v>191</v>
      </c>
      <c r="S3" s="41" t="s">
        <v>192</v>
      </c>
      <c r="T3" s="41" t="s">
        <v>151</v>
      </c>
      <c r="U3" s="41" t="s">
        <v>52</v>
      </c>
      <c r="V3" s="41" t="s">
        <v>53</v>
      </c>
      <c r="W3" s="41" t="s">
        <v>74</v>
      </c>
      <c r="X3" s="41" t="s">
        <v>54</v>
      </c>
    </row>
    <row r="4" spans="2:29" x14ac:dyDescent="0.2">
      <c r="B4" s="38"/>
      <c r="C4" s="72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3"/>
    </row>
    <row r="5" spans="2:29" x14ac:dyDescent="0.2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/>
      <c r="S5" s="43"/>
      <c r="T5" s="43">
        <v>0</v>
      </c>
      <c r="U5" s="43">
        <v>-0.76</v>
      </c>
      <c r="V5" s="43">
        <v>0</v>
      </c>
      <c r="W5" s="43">
        <v>0</v>
      </c>
      <c r="X5" s="74">
        <v>-1274.6994499999998</v>
      </c>
    </row>
    <row r="6" spans="2:29" ht="15" x14ac:dyDescent="0.25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/>
      <c r="S6" s="45"/>
      <c r="T6" s="45">
        <v>-68</v>
      </c>
      <c r="U6" s="43">
        <v>-16.474499999999999</v>
      </c>
      <c r="V6" s="43">
        <v>868.77949999999998</v>
      </c>
      <c r="W6" s="45">
        <v>5790.5</v>
      </c>
      <c r="X6" s="74">
        <v>-8279.3107875000023</v>
      </c>
      <c r="Z6" s="80"/>
    </row>
    <row r="7" spans="2:29" x14ac:dyDescent="0.2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/>
      <c r="S7" s="43"/>
      <c r="T7" s="43">
        <v>0</v>
      </c>
      <c r="U7" s="43">
        <v>-0.78449999999999998</v>
      </c>
      <c r="V7" s="43">
        <v>329.37150000000003</v>
      </c>
      <c r="W7" s="43">
        <v>0</v>
      </c>
      <c r="X7" s="74">
        <v>-26.820549999999912</v>
      </c>
    </row>
    <row r="8" spans="2:29" x14ac:dyDescent="0.2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/>
      <c r="S8" s="43"/>
      <c r="T8" s="43">
        <v>0</v>
      </c>
      <c r="U8" s="43">
        <v>0</v>
      </c>
      <c r="V8" s="43">
        <v>0</v>
      </c>
      <c r="W8" s="43">
        <v>0</v>
      </c>
      <c r="X8" s="74">
        <v>-200.86150000000021</v>
      </c>
    </row>
    <row r="9" spans="2:29" ht="15" x14ac:dyDescent="0.25">
      <c r="B9" s="38"/>
      <c r="C9" s="47" t="s">
        <v>63</v>
      </c>
      <c r="D9" s="50">
        <f>SUM(D5:D8)</f>
        <v>-6381.1501000000017</v>
      </c>
      <c r="E9" s="48">
        <f t="shared" ref="E9:W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/>
      <c r="S9" s="48"/>
      <c r="T9" s="48">
        <f t="shared" si="0"/>
        <v>-68</v>
      </c>
      <c r="U9" s="48">
        <f t="shared" si="0"/>
        <v>-18.019000000000002</v>
      </c>
      <c r="V9" s="48">
        <f t="shared" si="0"/>
        <v>1198.1510000000001</v>
      </c>
      <c r="W9" s="48">
        <f t="shared" si="0"/>
        <v>5790.5</v>
      </c>
      <c r="X9" s="49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1"/>
      <c r="Q11" s="81"/>
      <c r="R11" s="81"/>
      <c r="S11" s="81"/>
      <c r="T11" s="81"/>
    </row>
    <row r="12" spans="2:29" ht="15" x14ac:dyDescent="0.25">
      <c r="C12" s="45" t="s">
        <v>141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6" t="s">
        <v>89</v>
      </c>
      <c r="D15" s="58" t="s">
        <v>90</v>
      </c>
      <c r="E15" s="57" t="s">
        <v>91</v>
      </c>
    </row>
    <row r="16" spans="2:29" x14ac:dyDescent="0.2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2">
      <c r="B17" s="42" t="s">
        <v>48</v>
      </c>
      <c r="C17" s="78">
        <v>1</v>
      </c>
      <c r="D17" s="55"/>
      <c r="E17" s="7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174</v>
      </c>
      <c r="C2" t="s">
        <v>183</v>
      </c>
    </row>
    <row r="3" spans="2:3" x14ac:dyDescent="0.2">
      <c r="B3" t="s">
        <v>165</v>
      </c>
      <c r="C3" t="s">
        <v>186</v>
      </c>
    </row>
    <row r="4" spans="2:3" x14ac:dyDescent="0.2">
      <c r="B4" t="s">
        <v>166</v>
      </c>
      <c r="C4" t="s">
        <v>184</v>
      </c>
    </row>
    <row r="5" spans="2:3" x14ac:dyDescent="0.2">
      <c r="B5" t="s">
        <v>167</v>
      </c>
      <c r="C5" t="s">
        <v>185</v>
      </c>
    </row>
    <row r="6" spans="2:3" x14ac:dyDescent="0.2">
      <c r="B6" t="s">
        <v>168</v>
      </c>
      <c r="C6" t="s">
        <v>176</v>
      </c>
    </row>
    <row r="7" spans="2:3" x14ac:dyDescent="0.2">
      <c r="B7" t="s">
        <v>169</v>
      </c>
      <c r="C7" t="s">
        <v>167</v>
      </c>
    </row>
    <row r="8" spans="2:3" x14ac:dyDescent="0.2">
      <c r="B8" t="s">
        <v>170</v>
      </c>
      <c r="C8" t="s">
        <v>180</v>
      </c>
    </row>
    <row r="9" spans="2:3" x14ac:dyDescent="0.2">
      <c r="B9" t="s">
        <v>180</v>
      </c>
      <c r="C9" t="s">
        <v>178</v>
      </c>
    </row>
    <row r="10" spans="2:3" x14ac:dyDescent="0.2">
      <c r="B10" t="s">
        <v>171</v>
      </c>
      <c r="C10" t="s">
        <v>168</v>
      </c>
    </row>
    <row r="11" spans="2:3" x14ac:dyDescent="0.2">
      <c r="B11" t="s">
        <v>172</v>
      </c>
      <c r="C11" t="s">
        <v>165</v>
      </c>
    </row>
    <row r="12" spans="2:3" x14ac:dyDescent="0.2">
      <c r="B12" t="s">
        <v>173</v>
      </c>
    </row>
    <row r="13" spans="2:3" x14ac:dyDescent="0.2">
      <c r="B13" t="s">
        <v>175</v>
      </c>
    </row>
    <row r="14" spans="2:3" x14ac:dyDescent="0.2">
      <c r="B14" t="s">
        <v>176</v>
      </c>
    </row>
    <row r="15" spans="2:3" x14ac:dyDescent="0.2">
      <c r="B15" t="s">
        <v>177</v>
      </c>
    </row>
    <row r="16" spans="2:3" x14ac:dyDescent="0.2">
      <c r="B16" t="s">
        <v>178</v>
      </c>
    </row>
    <row r="17" spans="2:2" x14ac:dyDescent="0.2">
      <c r="B17" t="s">
        <v>179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zoomScaleNormal="100" workbookViewId="0">
      <selection activeCell="M14" sqref="M14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9" t="s">
        <v>14</v>
      </c>
      <c r="K2" s="89"/>
      <c r="L2" s="90"/>
      <c r="M2" s="90"/>
      <c r="N2" s="90"/>
      <c r="O2" s="90"/>
      <c r="P2" s="90"/>
      <c r="Q2" s="90"/>
      <c r="R2" s="90"/>
    </row>
    <row r="3" spans="2:18" x14ac:dyDescent="0.2">
      <c r="J3" s="91" t="s">
        <v>7</v>
      </c>
      <c r="K3" s="92" t="s">
        <v>30</v>
      </c>
      <c r="L3" s="91" t="s">
        <v>0</v>
      </c>
      <c r="M3" s="91" t="s">
        <v>3</v>
      </c>
      <c r="N3" s="91" t="s">
        <v>4</v>
      </c>
      <c r="O3" s="91" t="s">
        <v>8</v>
      </c>
      <c r="P3" s="91" t="s">
        <v>9</v>
      </c>
      <c r="Q3" s="91" t="s">
        <v>10</v>
      </c>
      <c r="R3" s="91" t="s">
        <v>12</v>
      </c>
    </row>
    <row r="4" spans="2:18" ht="24" thickBot="1" x14ac:dyDescent="0.3">
      <c r="B4" s="9"/>
      <c r="C4" s="9"/>
      <c r="D4" s="9"/>
      <c r="E4" s="9"/>
      <c r="G4" s="9"/>
      <c r="J4" s="93" t="s">
        <v>35</v>
      </c>
      <c r="K4" s="93" t="s">
        <v>31</v>
      </c>
      <c r="L4" s="93" t="s">
        <v>26</v>
      </c>
      <c r="M4" s="93" t="s">
        <v>27</v>
      </c>
      <c r="N4" s="93" t="s">
        <v>4</v>
      </c>
      <c r="O4" s="93" t="s">
        <v>38</v>
      </c>
      <c r="P4" s="93" t="s">
        <v>39</v>
      </c>
      <c r="Q4" s="93" t="s">
        <v>28</v>
      </c>
      <c r="R4" s="93" t="s">
        <v>29</v>
      </c>
    </row>
    <row r="5" spans="2:18" x14ac:dyDescent="0.2">
      <c r="E5" s="12"/>
      <c r="F5" s="12"/>
      <c r="G5" s="68"/>
      <c r="H5" s="11"/>
      <c r="J5" s="94" t="s">
        <v>64</v>
      </c>
      <c r="K5" s="94"/>
      <c r="L5" s="94" t="str">
        <f>$B$2&amp;'EB1'!$D$2</f>
        <v>ELCCOA</v>
      </c>
      <c r="M5" s="95" t="str">
        <f>$C$2&amp;" "&amp;'EB1'!$D$3</f>
        <v>Electricity Plants Solid Fuels</v>
      </c>
      <c r="N5" s="94" t="str">
        <f t="shared" ref="N5:N14" si="0">$E$2</f>
        <v>PJ</v>
      </c>
      <c r="O5" s="94"/>
      <c r="P5" s="94"/>
      <c r="Q5" s="94"/>
      <c r="R5" s="94"/>
    </row>
    <row r="6" spans="2:18" x14ac:dyDescent="0.2">
      <c r="E6" s="12"/>
      <c r="F6" s="12"/>
      <c r="G6" s="68"/>
      <c r="H6" s="11"/>
      <c r="J6" s="94" t="s">
        <v>64</v>
      </c>
      <c r="K6" s="94"/>
      <c r="L6" s="94" t="str">
        <f>$B$2&amp;'EB1'!$E$2</f>
        <v>ELCGAS</v>
      </c>
      <c r="M6" s="95" t="str">
        <f>$C$2&amp;" "&amp;'EB1'!$E$3</f>
        <v>Electricity Plants Natural Gas</v>
      </c>
      <c r="N6" s="94" t="str">
        <f t="shared" si="0"/>
        <v>PJ</v>
      </c>
      <c r="O6" s="94"/>
      <c r="P6" s="94"/>
      <c r="Q6" s="94"/>
      <c r="R6" s="94"/>
    </row>
    <row r="7" spans="2:18" x14ac:dyDescent="0.2">
      <c r="E7" s="12"/>
      <c r="F7" s="12"/>
      <c r="G7" s="68"/>
      <c r="H7" s="11"/>
      <c r="J7" s="94" t="s">
        <v>64</v>
      </c>
      <c r="K7" s="94"/>
      <c r="L7" s="94" t="str">
        <f>$B$2&amp;'EB1'!$F$2</f>
        <v>ELCOIL</v>
      </c>
      <c r="M7" s="95" t="str">
        <f>$C$2&amp;" "&amp;RIGHT('EB1'!$F$3,3)</f>
        <v>Electricity Plants oil</v>
      </c>
      <c r="N7" s="94" t="str">
        <f t="shared" si="0"/>
        <v>PJ</v>
      </c>
      <c r="O7" s="94"/>
      <c r="P7" s="94"/>
      <c r="Q7" s="94"/>
      <c r="R7" s="94"/>
    </row>
    <row r="8" spans="2:18" x14ac:dyDescent="0.2">
      <c r="E8" s="12"/>
      <c r="F8" s="12"/>
      <c r="G8" s="68"/>
      <c r="H8" s="11"/>
      <c r="J8" s="94" t="s">
        <v>64</v>
      </c>
      <c r="K8" s="94"/>
      <c r="L8" s="94" t="str">
        <f>$B$2&amp;'EB1'!$N$2</f>
        <v>ELCNUC</v>
      </c>
      <c r="M8" s="95" t="str">
        <f>$C$2&amp;" "&amp;'EB1'!$N$3</f>
        <v>Electricity Plants Nuclear Energy</v>
      </c>
      <c r="N8" s="94" t="str">
        <f t="shared" si="0"/>
        <v>PJ</v>
      </c>
      <c r="O8" s="94"/>
      <c r="P8" s="94"/>
      <c r="Q8" s="94"/>
      <c r="R8" s="94"/>
    </row>
    <row r="9" spans="2:18" x14ac:dyDescent="0.2">
      <c r="E9" s="12"/>
      <c r="F9" s="12"/>
      <c r="G9" s="68"/>
      <c r="H9" s="11"/>
      <c r="J9" s="94" t="s">
        <v>64</v>
      </c>
      <c r="K9" s="94"/>
      <c r="L9" s="94" t="str">
        <f>$B$2&amp;'EB1'!$O$2</f>
        <v>ELCBIO</v>
      </c>
      <c r="M9" s="95" t="str">
        <f>$C$2&amp;" "&amp;'EB1'!$O$3</f>
        <v>Electricity Plants Biomass</v>
      </c>
      <c r="N9" s="94" t="str">
        <f t="shared" si="0"/>
        <v>PJ</v>
      </c>
      <c r="O9" s="94"/>
      <c r="P9" s="94"/>
      <c r="Q9" s="94"/>
      <c r="R9" s="94"/>
    </row>
    <row r="10" spans="2:18" x14ac:dyDescent="0.2">
      <c r="E10" s="12"/>
      <c r="F10" s="12"/>
      <c r="G10" s="68"/>
      <c r="H10" s="11"/>
      <c r="J10" s="94" t="s">
        <v>64</v>
      </c>
      <c r="K10" s="94"/>
      <c r="L10" s="94" t="str">
        <f>$B$2&amp;'EB1'!$P$2</f>
        <v>ELCHYD</v>
      </c>
      <c r="M10" s="95" t="str">
        <f>$C$2&amp;" "&amp;'EB1'!$P$3</f>
        <v>Electricity Plants Hydro power</v>
      </c>
      <c r="N10" s="94" t="str">
        <f t="shared" si="0"/>
        <v>PJ</v>
      </c>
      <c r="O10" s="94"/>
      <c r="P10" s="94"/>
      <c r="Q10" s="94"/>
      <c r="R10" s="94"/>
    </row>
    <row r="11" spans="2:18" x14ac:dyDescent="0.2">
      <c r="E11" s="12"/>
      <c r="F11" s="12"/>
      <c r="G11" s="68"/>
      <c r="H11" s="11"/>
      <c r="J11" s="94" t="s">
        <v>64</v>
      </c>
      <c r="K11" s="94"/>
      <c r="L11" s="94" t="str">
        <f>$B$2&amp;'EB1'!$Q$2</f>
        <v>ELCWIN</v>
      </c>
      <c r="M11" s="95" t="str">
        <f>$C$2&amp;" "&amp;'EB1'!$Q$3</f>
        <v>Electricity Plants Wind energy</v>
      </c>
      <c r="N11" s="94" t="str">
        <f t="shared" si="0"/>
        <v>PJ</v>
      </c>
      <c r="O11" s="94"/>
      <c r="P11" s="94"/>
      <c r="Q11" s="94"/>
      <c r="R11" s="94"/>
    </row>
    <row r="12" spans="2:18" x14ac:dyDescent="0.2">
      <c r="E12" s="12"/>
      <c r="F12" s="12"/>
      <c r="G12" s="68"/>
      <c r="H12" s="11"/>
      <c r="J12" s="94" t="s">
        <v>64</v>
      </c>
      <c r="K12" s="94"/>
      <c r="L12" s="94" t="s">
        <v>187</v>
      </c>
      <c r="M12" s="95" t="s">
        <v>189</v>
      </c>
      <c r="N12" s="94" t="s">
        <v>68</v>
      </c>
      <c r="O12" s="94"/>
      <c r="P12" s="94"/>
      <c r="Q12" s="94"/>
      <c r="R12" s="94"/>
    </row>
    <row r="13" spans="2:18" x14ac:dyDescent="0.2">
      <c r="E13" s="12"/>
      <c r="F13" s="12"/>
      <c r="G13" s="68"/>
      <c r="H13" s="11"/>
      <c r="J13" s="94" t="s">
        <v>64</v>
      </c>
      <c r="K13" s="94"/>
      <c r="L13" s="94" t="s">
        <v>190</v>
      </c>
      <c r="M13" s="95" t="s">
        <v>188</v>
      </c>
      <c r="N13" s="94" t="s">
        <v>68</v>
      </c>
      <c r="O13" s="94"/>
      <c r="P13" s="94"/>
      <c r="Q13" s="94"/>
      <c r="R13" s="94"/>
    </row>
    <row r="14" spans="2:18" x14ac:dyDescent="0.2">
      <c r="E14" s="12"/>
      <c r="F14" s="12"/>
      <c r="G14" s="68"/>
      <c r="H14" s="11"/>
      <c r="J14" s="94" t="s">
        <v>64</v>
      </c>
      <c r="K14" s="94"/>
      <c r="L14" s="94" t="str">
        <f>$B$2&amp;'EB1'!$T$2</f>
        <v>ELCSOL</v>
      </c>
      <c r="M14" s="95" t="str">
        <f>$C$2&amp;" "&amp;'EB1'!$T$3</f>
        <v>Electricity Plants Solar energy</v>
      </c>
      <c r="N14" s="94" t="str">
        <f t="shared" si="0"/>
        <v>PJ</v>
      </c>
      <c r="O14" s="94"/>
      <c r="P14" s="94"/>
      <c r="Q14" s="94"/>
      <c r="R14" s="94"/>
    </row>
    <row r="15" spans="2:18" x14ac:dyDescent="0.2">
      <c r="L15" s="21"/>
      <c r="M15" s="22"/>
    </row>
    <row r="16" spans="2:18" x14ac:dyDescent="0.2">
      <c r="D16" s="4" t="s">
        <v>13</v>
      </c>
      <c r="E16" s="4"/>
      <c r="F16" s="4"/>
      <c r="J16" s="89" t="s">
        <v>15</v>
      </c>
      <c r="K16" s="89"/>
      <c r="L16" s="94"/>
      <c r="M16" s="94"/>
      <c r="N16" s="94"/>
      <c r="O16" s="94"/>
      <c r="P16" s="94"/>
      <c r="Q16" s="94"/>
      <c r="R16" s="94"/>
    </row>
    <row r="17" spans="2:18" x14ac:dyDescent="0.2">
      <c r="B17" s="16" t="s">
        <v>1</v>
      </c>
      <c r="C17" s="16" t="s">
        <v>5</v>
      </c>
      <c r="D17" s="16" t="s">
        <v>6</v>
      </c>
      <c r="E17" s="71" t="s">
        <v>140</v>
      </c>
      <c r="F17" s="69" t="s">
        <v>123</v>
      </c>
      <c r="G17" s="69" t="s">
        <v>73</v>
      </c>
      <c r="H17" s="69" t="s">
        <v>70</v>
      </c>
      <c r="J17" s="91" t="s">
        <v>11</v>
      </c>
      <c r="K17" s="92" t="s">
        <v>30</v>
      </c>
      <c r="L17" s="91" t="s">
        <v>1</v>
      </c>
      <c r="M17" s="91" t="s">
        <v>2</v>
      </c>
      <c r="N17" s="91" t="s">
        <v>16</v>
      </c>
      <c r="O17" s="91" t="s">
        <v>17</v>
      </c>
      <c r="P17" s="91" t="s">
        <v>18</v>
      </c>
      <c r="Q17" s="91" t="s">
        <v>19</v>
      </c>
      <c r="R17" s="91" t="s">
        <v>20</v>
      </c>
    </row>
    <row r="18" spans="2:18" ht="23.25" thickBot="1" x14ac:dyDescent="0.25">
      <c r="B18" s="15" t="s">
        <v>37</v>
      </c>
      <c r="C18" s="15" t="s">
        <v>32</v>
      </c>
      <c r="D18" s="15" t="s">
        <v>33</v>
      </c>
      <c r="E18" s="15" t="s">
        <v>139</v>
      </c>
      <c r="F18" s="15" t="s">
        <v>34</v>
      </c>
      <c r="G18" s="15" t="s">
        <v>75</v>
      </c>
      <c r="H18" s="15" t="s">
        <v>156</v>
      </c>
      <c r="J18" s="93" t="s">
        <v>36</v>
      </c>
      <c r="K18" s="93" t="s">
        <v>31</v>
      </c>
      <c r="L18" s="93" t="s">
        <v>21</v>
      </c>
      <c r="M18" s="93" t="s">
        <v>22</v>
      </c>
      <c r="N18" s="93" t="s">
        <v>23</v>
      </c>
      <c r="O18" s="93" t="s">
        <v>24</v>
      </c>
      <c r="P18" s="93" t="s">
        <v>41</v>
      </c>
      <c r="Q18" s="93" t="s">
        <v>40</v>
      </c>
      <c r="R18" s="93" t="s">
        <v>25</v>
      </c>
    </row>
    <row r="19" spans="2:18" ht="13.5" thickBot="1" x14ac:dyDescent="0.25">
      <c r="B19" s="14" t="s">
        <v>76</v>
      </c>
      <c r="C19" s="14"/>
      <c r="D19" s="14"/>
      <c r="E19" s="13"/>
      <c r="F19" s="13" t="str">
        <f>F2&amp;"a"</f>
        <v>M€2025a</v>
      </c>
      <c r="G19" s="13"/>
      <c r="H19" s="13" t="s">
        <v>77</v>
      </c>
      <c r="J19" s="93" t="s">
        <v>71</v>
      </c>
      <c r="K19" s="96"/>
      <c r="L19" s="96"/>
      <c r="M19" s="96"/>
      <c r="N19" s="96"/>
      <c r="O19" s="96"/>
      <c r="P19" s="96"/>
      <c r="Q19" s="96"/>
      <c r="R19" s="96"/>
    </row>
    <row r="20" spans="2:18" x14ac:dyDescent="0.2">
      <c r="B20" s="21" t="str">
        <f>Sector_Fuels_ELC!L20</f>
        <v>FTE-ELCCOA</v>
      </c>
      <c r="C20" t="str">
        <f>RIGHT(D20,3)</f>
        <v>COA</v>
      </c>
      <c r="D20" s="21" t="str">
        <f>L5</f>
        <v>ELCCOA</v>
      </c>
      <c r="E20" s="12"/>
      <c r="F20" s="12"/>
      <c r="G20" s="63">
        <v>1</v>
      </c>
      <c r="H20" s="64">
        <v>30</v>
      </c>
      <c r="J20" s="90" t="s">
        <v>95</v>
      </c>
      <c r="K20" s="97"/>
      <c r="L20" s="94" t="str">
        <f>"FT"&amp;$G$2&amp;"-"&amp;L5</f>
        <v>FTE-ELCCOA</v>
      </c>
      <c r="M20" s="95" t="str">
        <f>$D$2&amp;" Technology"&amp;" "&amp;$G$1&amp;" "&amp;M5</f>
        <v>Sector Fuel Technology Existing Electricity Plants Solid Fuels</v>
      </c>
      <c r="N20" s="94" t="str">
        <f t="shared" ref="N20:N29" si="1">$E$2</f>
        <v>PJ</v>
      </c>
      <c r="O20" s="94" t="str">
        <f t="shared" ref="O20:O29" si="2">$E$2&amp;"a"</f>
        <v>PJa</v>
      </c>
      <c r="P20" s="94"/>
      <c r="Q20" s="94"/>
      <c r="R20" s="94"/>
    </row>
    <row r="21" spans="2:18" x14ac:dyDescent="0.2">
      <c r="B21" s="21" t="str">
        <f>Sector_Fuels_ELC!L21</f>
        <v>FTE-ELCGAS</v>
      </c>
      <c r="C21" t="str">
        <f>RIGHT(D21,3)</f>
        <v>GAS</v>
      </c>
      <c r="D21" s="21" t="str">
        <f>L6</f>
        <v>ELCGAS</v>
      </c>
      <c r="E21" s="12"/>
      <c r="F21" s="12"/>
      <c r="G21" s="63">
        <v>1</v>
      </c>
      <c r="H21" s="64">
        <v>30</v>
      </c>
      <c r="J21" s="90" t="s">
        <v>95</v>
      </c>
      <c r="K21" s="97"/>
      <c r="L21" s="94" t="str">
        <f>"FT"&amp;$G$2&amp;"-"&amp;L6</f>
        <v>FTE-ELCGAS</v>
      </c>
      <c r="M21" s="95" t="str">
        <f>$D$2&amp;" Technology"&amp;" "&amp;$G$1&amp;" "&amp;M6</f>
        <v>Sector Fuel Technology Existing Electricity Plants Natural Gas</v>
      </c>
      <c r="N21" s="94" t="str">
        <f t="shared" si="1"/>
        <v>PJ</v>
      </c>
      <c r="O21" s="94" t="str">
        <f t="shared" si="2"/>
        <v>PJa</v>
      </c>
      <c r="P21" s="94"/>
      <c r="Q21" s="94"/>
      <c r="R21" s="94"/>
    </row>
    <row r="22" spans="2:18" x14ac:dyDescent="0.2">
      <c r="B22" s="21" t="str">
        <f>Sector_Fuels_ELC!L22</f>
        <v>FTE-ELCOIL</v>
      </c>
      <c r="C22" t="str">
        <f>'EB1'!G$2</f>
        <v>DSL</v>
      </c>
      <c r="D22" s="21" t="str">
        <f>L7</f>
        <v>ELCOIL</v>
      </c>
      <c r="E22" s="62">
        <f>-'EB1'!G$6/-SUM('EB1'!$G$6:$M$6)</f>
        <v>4.9257354796510562E-2</v>
      </c>
      <c r="F22" s="12"/>
      <c r="G22" s="63">
        <v>1</v>
      </c>
      <c r="H22" s="64">
        <v>30</v>
      </c>
      <c r="J22" s="90" t="s">
        <v>95</v>
      </c>
      <c r="K22" s="97"/>
      <c r="L22" s="94" t="str">
        <f>"FT"&amp;$G$2&amp;"-"&amp;L7</f>
        <v>FTE-ELCOIL</v>
      </c>
      <c r="M22" s="95" t="str">
        <f>$D$2&amp;" Technology"&amp;" "&amp;$G$1&amp;" "&amp;M7</f>
        <v>Sector Fuel Technology Existing Electricity Plants oil</v>
      </c>
      <c r="N22" s="94" t="str">
        <f t="shared" si="1"/>
        <v>PJ</v>
      </c>
      <c r="O22" s="94" t="str">
        <f t="shared" si="2"/>
        <v>PJa</v>
      </c>
      <c r="P22" s="94"/>
      <c r="Q22" s="94"/>
      <c r="R22" s="94"/>
    </row>
    <row r="23" spans="2:18" x14ac:dyDescent="0.2">
      <c r="B23" s="21"/>
      <c r="C23" t="str">
        <f>'EB1'!I$2</f>
        <v>LPG</v>
      </c>
      <c r="D23" s="21"/>
      <c r="E23" s="62">
        <f>-'EB1'!I$6/-SUM('EB1'!$G$6:$M$6)</f>
        <v>3.8926710484734312E-2</v>
      </c>
      <c r="F23" s="12"/>
      <c r="G23" s="63"/>
      <c r="H23" s="64"/>
      <c r="J23" s="90" t="s">
        <v>95</v>
      </c>
      <c r="K23" s="94"/>
      <c r="L23" s="94" t="str">
        <f>"FT"&amp;$G$2&amp;"-"&amp;L8</f>
        <v>FTE-ELCNUC</v>
      </c>
      <c r="M23" s="95" t="str">
        <f>$D$2&amp;" Technology"&amp;" "&amp;$G$1&amp;" "&amp;M8</f>
        <v>Sector Fuel Technology Existing Electricity Plants Nuclear Energy</v>
      </c>
      <c r="N23" s="94" t="str">
        <f t="shared" si="1"/>
        <v>PJ</v>
      </c>
      <c r="O23" s="94" t="str">
        <f t="shared" si="2"/>
        <v>PJa</v>
      </c>
      <c r="P23" s="94"/>
      <c r="Q23" s="94"/>
      <c r="R23" s="94"/>
    </row>
    <row r="24" spans="2:18" x14ac:dyDescent="0.2">
      <c r="B24" s="21"/>
      <c r="C24" t="str">
        <f>'EB1'!L$2</f>
        <v>HFO</v>
      </c>
      <c r="D24" s="21"/>
      <c r="E24" s="62">
        <f>-'EB1'!L$6/-SUM('EB1'!$G$6:$M$6)</f>
        <v>0.85705723214511731</v>
      </c>
      <c r="F24" s="12"/>
      <c r="G24" s="63"/>
      <c r="H24" s="64"/>
      <c r="J24" s="90" t="s">
        <v>95</v>
      </c>
      <c r="K24" s="94"/>
      <c r="L24" s="94" t="str">
        <f>"FT"&amp;$G$2&amp;"-"&amp;L9</f>
        <v>FTE-ELCBIO</v>
      </c>
      <c r="M24" s="95" t="str">
        <f>$D$2&amp;" Technology"&amp;" "&amp;$G$1&amp;" "&amp;M9</f>
        <v>Sector Fuel Technology Existing Electricity Plants Biomass</v>
      </c>
      <c r="N24" s="94" t="str">
        <f t="shared" si="1"/>
        <v>PJ</v>
      </c>
      <c r="O24" s="94" t="str">
        <f t="shared" si="2"/>
        <v>PJa</v>
      </c>
      <c r="P24" s="94"/>
      <c r="Q24" s="94"/>
      <c r="R24" s="94"/>
    </row>
    <row r="25" spans="2:18" x14ac:dyDescent="0.2">
      <c r="B25" s="21"/>
      <c r="C25" t="str">
        <f>'EB1'!M$2</f>
        <v>OPP</v>
      </c>
      <c r="D25" s="21"/>
      <c r="E25" s="62">
        <f>-'EB1'!M$6/-SUM('EB1'!$G$6:$M$6)</f>
        <v>5.4758702573637796E-2</v>
      </c>
      <c r="F25" s="12"/>
      <c r="G25" s="63"/>
      <c r="H25" s="64"/>
      <c r="J25" s="90" t="s">
        <v>95</v>
      </c>
      <c r="K25" s="94"/>
      <c r="L25" s="94" t="str">
        <f>"FT"&amp;$G$2&amp;"-"&amp;L10</f>
        <v>FTE-ELCHYD</v>
      </c>
      <c r="M25" s="95" t="str">
        <f>$D$2&amp;" Technology"&amp;" "&amp;$G$1&amp;" "&amp;M10</f>
        <v>Sector Fuel Technology Existing Electricity Plants Hydro power</v>
      </c>
      <c r="N25" s="94" t="str">
        <f t="shared" si="1"/>
        <v>PJ</v>
      </c>
      <c r="O25" s="94" t="str">
        <f t="shared" si="2"/>
        <v>PJa</v>
      </c>
      <c r="P25" s="94"/>
      <c r="Q25" s="94"/>
      <c r="R25" s="94"/>
    </row>
    <row r="26" spans="2:18" x14ac:dyDescent="0.2">
      <c r="B26" s="21" t="str">
        <f>Sector_Fuels_ELC!L23</f>
        <v>FTE-ELCNUC</v>
      </c>
      <c r="C26" t="str">
        <f>RIGHT(D26,3)</f>
        <v>NUC</v>
      </c>
      <c r="D26" s="21" t="str">
        <f>L8</f>
        <v>ELCNUC</v>
      </c>
      <c r="E26" s="12"/>
      <c r="F26" s="12"/>
      <c r="G26" s="63">
        <v>1</v>
      </c>
      <c r="H26" s="64">
        <v>30</v>
      </c>
      <c r="J26" s="90" t="s">
        <v>95</v>
      </c>
      <c r="K26" s="94"/>
      <c r="L26" s="94" t="str">
        <f>"FT"&amp;$G$2&amp;"-"&amp;L11</f>
        <v>FTE-ELCWIN</v>
      </c>
      <c r="M26" s="95" t="str">
        <f>$D$2&amp;" Technology"&amp;" "&amp;$G$1&amp;" "&amp;M11</f>
        <v>Sector Fuel Technology Existing Electricity Plants Wind energy</v>
      </c>
      <c r="N26" s="94" t="str">
        <f t="shared" si="1"/>
        <v>PJ</v>
      </c>
      <c r="O26" s="94" t="str">
        <f t="shared" si="2"/>
        <v>PJa</v>
      </c>
      <c r="P26" s="94"/>
      <c r="Q26" s="94"/>
      <c r="R26" s="94"/>
    </row>
    <row r="27" spans="2:18" x14ac:dyDescent="0.2">
      <c r="B27" s="21" t="str">
        <f>Sector_Fuels_ELC!L24</f>
        <v>FTE-ELCBIO</v>
      </c>
      <c r="C27" t="str">
        <f>RIGHT(D27,3)</f>
        <v>BIO</v>
      </c>
      <c r="D27" s="21" t="str">
        <f>L9</f>
        <v>ELCBIO</v>
      </c>
      <c r="E27" s="12"/>
      <c r="F27" s="12"/>
      <c r="G27" s="63">
        <v>1</v>
      </c>
      <c r="H27" s="64">
        <v>30</v>
      </c>
      <c r="J27" s="90" t="s">
        <v>95</v>
      </c>
      <c r="K27" s="94"/>
      <c r="L27" s="94" t="str">
        <f>"FT"&amp;$G$2&amp;"-"&amp;L12</f>
        <v>FTE-ELCWON</v>
      </c>
      <c r="M27" s="95" t="str">
        <f>$D$2&amp;" Technology"&amp;" "&amp;$G$1&amp;" "&amp;M12</f>
        <v>Sector Fuel Technology Existing Electricity Plants Wind Onshore energy</v>
      </c>
      <c r="N27" s="94" t="str">
        <f t="shared" si="1"/>
        <v>PJ</v>
      </c>
      <c r="O27" s="94" t="str">
        <f t="shared" si="2"/>
        <v>PJa</v>
      </c>
      <c r="P27" s="94"/>
      <c r="Q27" s="94"/>
      <c r="R27" s="94"/>
    </row>
    <row r="28" spans="2:18" x14ac:dyDescent="0.2">
      <c r="B28" s="21" t="str">
        <f>Sector_Fuels_ELC!L25</f>
        <v>FTE-ELCHYD</v>
      </c>
      <c r="C28" t="str">
        <f>RIGHT(D28,3)</f>
        <v>HYD</v>
      </c>
      <c r="D28" s="21" t="str">
        <f>L10</f>
        <v>ELCHYD</v>
      </c>
      <c r="E28" s="12"/>
      <c r="F28" s="12"/>
      <c r="G28" s="63">
        <v>1</v>
      </c>
      <c r="H28" s="64">
        <v>30</v>
      </c>
      <c r="J28" s="90" t="s">
        <v>95</v>
      </c>
      <c r="K28" s="94"/>
      <c r="L28" s="94" t="str">
        <f>"FT"&amp;$G$2&amp;"-"&amp;L13</f>
        <v>FTE-ELCWOF</v>
      </c>
      <c r="M28" s="95" t="str">
        <f>$D$2&amp;" Technology"&amp;" "&amp;$G$1&amp;" "&amp;M13</f>
        <v>Sector Fuel Technology Existing Electricity Plants Wind Offshore energy</v>
      </c>
      <c r="N28" s="94" t="str">
        <f t="shared" si="1"/>
        <v>PJ</v>
      </c>
      <c r="O28" s="94" t="str">
        <f t="shared" si="2"/>
        <v>PJa</v>
      </c>
    </row>
    <row r="29" spans="2:18" x14ac:dyDescent="0.2">
      <c r="B29" s="21" t="str">
        <f>Sector_Fuels_ELC!L26</f>
        <v>FTE-ELCWIN</v>
      </c>
      <c r="C29" t="str">
        <f>RIGHT(D29,3)</f>
        <v>WIN</v>
      </c>
      <c r="D29" s="21" t="str">
        <f>L11</f>
        <v>ELCWIN</v>
      </c>
      <c r="E29" s="12"/>
      <c r="F29" s="12"/>
      <c r="G29" s="63">
        <v>1</v>
      </c>
      <c r="H29" s="64">
        <v>30</v>
      </c>
      <c r="J29" s="90" t="s">
        <v>95</v>
      </c>
      <c r="K29" s="94"/>
      <c r="L29" s="94" t="str">
        <f>"FT"&amp;$G$2&amp;"-"&amp;L14</f>
        <v>FTE-ELCSOL</v>
      </c>
      <c r="M29" s="95" t="str">
        <f>$D$2&amp;" Technology"&amp;" "&amp;$G$1&amp;" "&amp;M14</f>
        <v>Sector Fuel Technology Existing Electricity Plants Solar energy</v>
      </c>
      <c r="N29" s="94" t="str">
        <f t="shared" si="1"/>
        <v>PJ</v>
      </c>
      <c r="O29" s="94" t="str">
        <f t="shared" si="2"/>
        <v>PJa</v>
      </c>
    </row>
    <row r="30" spans="2:18" x14ac:dyDescent="0.2">
      <c r="B30" s="21" t="str">
        <f>Sector_Fuels_ELC!L27</f>
        <v>FTE-ELCWON</v>
      </c>
      <c r="C30" t="s">
        <v>153</v>
      </c>
      <c r="D30" s="21" t="str">
        <f>L12</f>
        <v>ELCWON</v>
      </c>
      <c r="E30" s="12"/>
      <c r="F30" s="12"/>
      <c r="G30" s="63">
        <v>1</v>
      </c>
      <c r="H30" s="64">
        <v>30</v>
      </c>
    </row>
    <row r="31" spans="2:18" x14ac:dyDescent="0.2">
      <c r="B31" s="21" t="str">
        <f>Sector_Fuels_ELC!L28</f>
        <v>FTE-ELCWOF</v>
      </c>
      <c r="C31" t="s">
        <v>153</v>
      </c>
      <c r="D31" s="21" t="str">
        <f>L13</f>
        <v>ELCWOF</v>
      </c>
      <c r="E31" s="12"/>
      <c r="F31" s="12"/>
      <c r="G31" s="63">
        <v>1</v>
      </c>
      <c r="H31" s="64">
        <v>30</v>
      </c>
    </row>
    <row r="32" spans="2:18" x14ac:dyDescent="0.2">
      <c r="B32" s="21" t="str">
        <f>Sector_Fuels_ELC!L29</f>
        <v>FTE-ELCSOL</v>
      </c>
      <c r="C32" t="str">
        <f>RIGHT(D32,3)</f>
        <v>SOL</v>
      </c>
      <c r="D32" s="21" t="str">
        <f>L14</f>
        <v>ELCSOL</v>
      </c>
      <c r="E32" s="12"/>
      <c r="F32" s="12"/>
      <c r="G32" s="63">
        <v>1</v>
      </c>
      <c r="H32" s="64">
        <v>30</v>
      </c>
    </row>
    <row r="34" spans="2:3" x14ac:dyDescent="0.2">
      <c r="B34" s="44"/>
      <c r="C34" s="1" t="s">
        <v>143</v>
      </c>
    </row>
    <row r="35" spans="2:3" x14ac:dyDescent="0.2">
      <c r="B35" s="60"/>
      <c r="C35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36"/>
  <sheetViews>
    <sheetView tabSelected="1" zoomScale="90" zoomScaleNormal="90" workbookViewId="0">
      <selection activeCell="K37" sqref="K37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9" t="s">
        <v>14</v>
      </c>
      <c r="U2" s="89"/>
      <c r="V2" s="90"/>
      <c r="W2" s="90"/>
      <c r="X2" s="90"/>
      <c r="Y2" s="90"/>
      <c r="Z2" s="90"/>
      <c r="AA2" s="90"/>
      <c r="AB2" s="90"/>
    </row>
    <row r="3" spans="2:28" x14ac:dyDescent="0.2">
      <c r="T3" s="91" t="s">
        <v>7</v>
      </c>
      <c r="U3" s="92" t="s">
        <v>30</v>
      </c>
      <c r="V3" s="91" t="s">
        <v>0</v>
      </c>
      <c r="W3" s="91" t="s">
        <v>3</v>
      </c>
      <c r="X3" s="91" t="s">
        <v>4</v>
      </c>
      <c r="Y3" s="91" t="s">
        <v>8</v>
      </c>
      <c r="Z3" s="91" t="s">
        <v>9</v>
      </c>
      <c r="AA3" s="91" t="s">
        <v>10</v>
      </c>
      <c r="AB3" s="91" t="s">
        <v>12</v>
      </c>
    </row>
    <row r="4" spans="2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122</v>
      </c>
      <c r="H4" s="9"/>
      <c r="K4" s="9"/>
      <c r="T4" s="93" t="s">
        <v>35</v>
      </c>
      <c r="U4" s="93" t="s">
        <v>31</v>
      </c>
      <c r="V4" s="93" t="s">
        <v>26</v>
      </c>
      <c r="W4" s="93" t="s">
        <v>27</v>
      </c>
      <c r="X4" s="93" t="s">
        <v>4</v>
      </c>
      <c r="Y4" s="93" t="s">
        <v>38</v>
      </c>
      <c r="Z4" s="93" t="s">
        <v>39</v>
      </c>
      <c r="AA4" s="93" t="s">
        <v>28</v>
      </c>
      <c r="AB4" s="93" t="s">
        <v>29</v>
      </c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90" t="s">
        <v>64</v>
      </c>
      <c r="U5" s="94"/>
      <c r="V5" s="90" t="s">
        <v>164</v>
      </c>
      <c r="W5" s="90" t="str">
        <f>'EB1'!$W$3</f>
        <v>Electricity</v>
      </c>
      <c r="X5" s="90" t="str">
        <f>$E$2</f>
        <v>PJ</v>
      </c>
      <c r="Y5" s="90"/>
      <c r="Z5" s="90" t="s">
        <v>116</v>
      </c>
      <c r="AA5" s="90"/>
      <c r="AB5" s="90" t="s">
        <v>48</v>
      </c>
    </row>
    <row r="6" spans="2:28" x14ac:dyDescent="0.2">
      <c r="T6" s="94" t="s">
        <v>88</v>
      </c>
      <c r="U6" s="94"/>
      <c r="V6" s="94" t="str">
        <f>$B$2&amp;'EB1'!$C$15</f>
        <v>ELCCO2</v>
      </c>
      <c r="W6" s="94" t="str">
        <f>$C$2&amp;" "&amp;'EB1'!$C$16</f>
        <v>Electricity Plants Carbon dioxide</v>
      </c>
      <c r="X6" s="94" t="str">
        <f>'EB1'!$AC$2</f>
        <v>kt</v>
      </c>
      <c r="Y6" s="94"/>
      <c r="Z6" s="94"/>
      <c r="AA6" s="94"/>
      <c r="AB6" s="94"/>
    </row>
    <row r="7" spans="2:28" x14ac:dyDescent="0.2">
      <c r="T7" s="2"/>
      <c r="U7" s="2"/>
    </row>
    <row r="8" spans="2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9" t="s">
        <v>15</v>
      </c>
      <c r="U8" s="89"/>
      <c r="V8" s="90"/>
      <c r="W8" s="90"/>
      <c r="X8" s="90"/>
      <c r="Y8" s="90"/>
      <c r="Z8" s="90"/>
      <c r="AA8" s="90"/>
      <c r="AB8" s="90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17" t="s">
        <v>160</v>
      </c>
      <c r="F9" s="17" t="s">
        <v>161</v>
      </c>
      <c r="G9" s="69" t="s">
        <v>123</v>
      </c>
      <c r="H9" s="69" t="s">
        <v>145</v>
      </c>
      <c r="I9" s="69" t="s">
        <v>73</v>
      </c>
      <c r="J9" s="69" t="s">
        <v>163</v>
      </c>
      <c r="K9" s="69" t="s">
        <v>158</v>
      </c>
      <c r="L9" s="69" t="s">
        <v>72</v>
      </c>
      <c r="M9" s="69" t="s">
        <v>103</v>
      </c>
      <c r="N9" s="69" t="s">
        <v>70</v>
      </c>
      <c r="O9" s="69" t="s">
        <v>157</v>
      </c>
      <c r="P9" s="69" t="s">
        <v>118</v>
      </c>
      <c r="Q9" s="23"/>
      <c r="R9" s="85" t="s">
        <v>115</v>
      </c>
      <c r="S9" s="27"/>
      <c r="T9" s="91" t="s">
        <v>11</v>
      </c>
      <c r="U9" s="92" t="s">
        <v>30</v>
      </c>
      <c r="V9" s="91" t="s">
        <v>1</v>
      </c>
      <c r="W9" s="91" t="s">
        <v>2</v>
      </c>
      <c r="X9" s="91" t="s">
        <v>16</v>
      </c>
      <c r="Y9" s="91" t="s">
        <v>17</v>
      </c>
      <c r="Z9" s="91" t="s">
        <v>18</v>
      </c>
      <c r="AA9" s="91" t="s">
        <v>19</v>
      </c>
      <c r="AB9" s="91" t="s">
        <v>20</v>
      </c>
    </row>
    <row r="10" spans="2:28" ht="23.25" thickBot="1" x14ac:dyDescent="0.25">
      <c r="B10" s="15" t="s">
        <v>37</v>
      </c>
      <c r="C10" s="15" t="s">
        <v>32</v>
      </c>
      <c r="D10" s="15" t="s">
        <v>33</v>
      </c>
      <c r="E10" s="15" t="s">
        <v>162</v>
      </c>
      <c r="F10" s="15" t="s">
        <v>162</v>
      </c>
      <c r="G10" s="15" t="s">
        <v>34</v>
      </c>
      <c r="H10" s="75" t="s">
        <v>120</v>
      </c>
      <c r="I10" s="15" t="s">
        <v>75</v>
      </c>
      <c r="J10" s="75" t="s">
        <v>82</v>
      </c>
      <c r="K10" s="15" t="s">
        <v>159</v>
      </c>
      <c r="L10" s="15" t="s">
        <v>81</v>
      </c>
      <c r="M10" s="15" t="s">
        <v>105</v>
      </c>
      <c r="N10" s="15" t="s">
        <v>156</v>
      </c>
      <c r="O10" s="15" t="s">
        <v>106</v>
      </c>
      <c r="P10" s="15" t="s">
        <v>119</v>
      </c>
      <c r="R10" s="30" t="s">
        <v>104</v>
      </c>
      <c r="S10" s="28"/>
      <c r="T10" s="93" t="s">
        <v>36</v>
      </c>
      <c r="U10" s="93" t="s">
        <v>31</v>
      </c>
      <c r="V10" s="93" t="s">
        <v>21</v>
      </c>
      <c r="W10" s="93" t="s">
        <v>22</v>
      </c>
      <c r="X10" s="93" t="s">
        <v>23</v>
      </c>
      <c r="Y10" s="93" t="s">
        <v>24</v>
      </c>
      <c r="Z10" s="93" t="s">
        <v>41</v>
      </c>
      <c r="AA10" s="93" t="s">
        <v>40</v>
      </c>
      <c r="AB10" s="93" t="s">
        <v>25</v>
      </c>
    </row>
    <row r="11" spans="2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70" t="str">
        <f>$F$2</f>
        <v>GW</v>
      </c>
      <c r="I11" s="13"/>
      <c r="J11" s="70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tr">
        <f>$E$2&amp;"/"&amp;$F$2</f>
        <v>PJ/GW</v>
      </c>
      <c r="P11" s="13"/>
      <c r="R11" s="86" t="s">
        <v>121</v>
      </c>
      <c r="S11" s="28"/>
      <c r="T11" s="93" t="s">
        <v>71</v>
      </c>
      <c r="U11" s="93"/>
      <c r="V11" s="93"/>
      <c r="W11" s="93"/>
      <c r="X11" s="93"/>
      <c r="Y11" s="93"/>
      <c r="Z11" s="93"/>
      <c r="AA11" s="93"/>
      <c r="AB11" s="93"/>
    </row>
    <row r="12" spans="2:28" x14ac:dyDescent="0.2">
      <c r="B12" s="97" t="str">
        <f>V12</f>
        <v>ELCTECOA00</v>
      </c>
      <c r="C12" s="21" t="str">
        <f>$B$2&amp;RIGHT(Sector_Fuels_ELC!L5,3)</f>
        <v>ELCCOA</v>
      </c>
      <c r="D12" s="21" t="str">
        <f t="shared" ref="D12:D43" si="0">$V$5</f>
        <v>ELCC</v>
      </c>
      <c r="G12" s="83">
        <f>(-'EB1'!$D$6*$I$12)/($J$12*$O$12)</f>
        <v>89.372771062763022</v>
      </c>
      <c r="H12" s="61"/>
      <c r="I12" s="67">
        <v>0.38400000000000001</v>
      </c>
      <c r="J12" s="67">
        <v>0.85</v>
      </c>
      <c r="K12" s="66"/>
      <c r="L12" s="67">
        <v>40</v>
      </c>
      <c r="M12" s="67">
        <v>0.5</v>
      </c>
      <c r="N12" s="66">
        <v>30</v>
      </c>
      <c r="O12" s="66">
        <v>31.536000000000001</v>
      </c>
      <c r="P12" s="67">
        <v>1</v>
      </c>
      <c r="R12" s="26">
        <f>G12*$J12*$O12</f>
        <v>2395.6907520000004</v>
      </c>
      <c r="S12" s="84"/>
      <c r="T12" s="94" t="s">
        <v>102</v>
      </c>
      <c r="U12" s="94"/>
      <c r="V12" s="94" t="str">
        <f>$B$2&amp;$C$5&amp;$H$2&amp;RIGHT(Sector_Fuels_ELC!$L$5,3)&amp;"00"</f>
        <v>ELCTECOA00</v>
      </c>
      <c r="W12" s="95" t="str">
        <f>$D$2&amp;" "&amp;$H$1&amp;RIGHT(V12,2)&amp;" - "&amp;'EB1'!D3</f>
        <v>Power Plants Existing00 - Solid Fuels</v>
      </c>
      <c r="X12" s="94" t="str">
        <f t="shared" ref="X12:X19" si="1">$E$2</f>
        <v>PJ</v>
      </c>
      <c r="Y12" s="94" t="str">
        <f t="shared" ref="Y12:Y19" si="2">$F$2</f>
        <v>GW</v>
      </c>
      <c r="Z12" s="90" t="s">
        <v>117</v>
      </c>
      <c r="AA12" s="94"/>
      <c r="AB12" s="94"/>
    </row>
    <row r="13" spans="2:28" x14ac:dyDescent="0.2">
      <c r="B13" s="21" t="str">
        <f>V13</f>
        <v>ELCTEGAS00</v>
      </c>
      <c r="C13" s="21" t="str">
        <f>$B$2&amp;RIGHT(Sector_Fuels_ELC!L6,3)</f>
        <v>ELCGAS</v>
      </c>
      <c r="D13" s="21" t="str">
        <f t="shared" si="0"/>
        <v>ELCC</v>
      </c>
      <c r="G13" s="83">
        <f>(-'EB1'!$E$6*$I$13)/($J$13*$O$13)</f>
        <v>41.450437783149788</v>
      </c>
      <c r="H13" s="61"/>
      <c r="I13" s="67">
        <v>0.4929</v>
      </c>
      <c r="J13" s="67">
        <v>0.85</v>
      </c>
      <c r="K13" s="66"/>
      <c r="L13" s="67">
        <v>35</v>
      </c>
      <c r="M13" s="67">
        <v>0.4</v>
      </c>
      <c r="N13" s="66">
        <v>20</v>
      </c>
      <c r="O13" s="66">
        <v>31.536000000000001</v>
      </c>
      <c r="P13" s="67">
        <v>1</v>
      </c>
      <c r="R13" s="26">
        <f>G13*$J13*$O13</f>
        <v>1111.1038550399999</v>
      </c>
      <c r="S13" s="29"/>
      <c r="T13" s="94" t="s">
        <v>102</v>
      </c>
      <c r="U13" s="94"/>
      <c r="V13" s="94" t="str">
        <f>$B$2&amp;$C$5&amp;$H$2&amp;RIGHT(Sector_Fuels_ELC!$L$6,3)&amp;"00"</f>
        <v>ELCTEGAS00</v>
      </c>
      <c r="W13" s="95" t="str">
        <f>$D$2&amp;" "&amp;$H$1&amp;RIGHT(V13,2)&amp;" - "&amp;'EB1'!E3</f>
        <v>Power Plants Existing00 - Natural Gas</v>
      </c>
      <c r="X13" s="94" t="str">
        <f t="shared" si="1"/>
        <v>PJ</v>
      </c>
      <c r="Y13" s="94" t="str">
        <f t="shared" si="2"/>
        <v>GW</v>
      </c>
      <c r="Z13" s="94"/>
      <c r="AA13" s="94"/>
      <c r="AB13" s="94"/>
    </row>
    <row r="14" spans="2:28" x14ac:dyDescent="0.2">
      <c r="B14" s="21" t="str">
        <f>V14</f>
        <v>ELCTEOIL00</v>
      </c>
      <c r="C14" s="21" t="str">
        <f>$B$2&amp;RIGHT(Sector_Fuels_ELC!L7,3)</f>
        <v>ELCOIL</v>
      </c>
      <c r="D14" s="21" t="str">
        <f t="shared" si="0"/>
        <v>ELCC</v>
      </c>
      <c r="G14" s="83">
        <f>((-SUM('EB1'!G6:M6)*$I$14)/($J$14*$O$14))</f>
        <v>5.710602448742053</v>
      </c>
      <c r="H14" s="61"/>
      <c r="I14" s="67">
        <v>0.25</v>
      </c>
      <c r="J14" s="67">
        <v>0.85</v>
      </c>
      <c r="K14" s="66"/>
      <c r="L14" s="67">
        <v>20</v>
      </c>
      <c r="M14" s="67">
        <v>0.2</v>
      </c>
      <c r="N14" s="66">
        <v>30</v>
      </c>
      <c r="O14" s="66">
        <v>31.536000000000001</v>
      </c>
      <c r="P14" s="67">
        <v>1</v>
      </c>
      <c r="R14" s="26">
        <f>G14*$J14*$O14</f>
        <v>153.07612499999996</v>
      </c>
      <c r="S14" s="29"/>
      <c r="T14" s="94" t="s">
        <v>102</v>
      </c>
      <c r="U14" s="94"/>
      <c r="V14" s="94" t="str">
        <f>$B$2&amp;$C$5&amp;$H$2&amp;RIGHT(Sector_Fuels_ELC!$L$7,3)&amp;"00"</f>
        <v>ELCTEOIL00</v>
      </c>
      <c r="W14" s="95" t="str">
        <f>$D$2&amp;" "&amp;$H$1&amp;RIGHT(V14,2)&amp;" - "&amp;'EB1'!F3</f>
        <v>Power Plants Existing00 - Crude oil</v>
      </c>
      <c r="X14" s="94" t="str">
        <f t="shared" si="1"/>
        <v>PJ</v>
      </c>
      <c r="Y14" s="94" t="str">
        <f t="shared" si="2"/>
        <v>GW</v>
      </c>
      <c r="Z14" s="94"/>
      <c r="AA14" s="94"/>
      <c r="AB14" s="94"/>
    </row>
    <row r="15" spans="2:28" x14ac:dyDescent="0.2">
      <c r="B15" s="21" t="str">
        <f>V15</f>
        <v>ELCNENUC00</v>
      </c>
      <c r="C15" s="21" t="str">
        <f>$B$2&amp;RIGHT(Sector_Fuels_ELC!L8,3)</f>
        <v>ELCNUC</v>
      </c>
      <c r="D15" s="21" t="str">
        <f t="shared" si="0"/>
        <v>ELCC</v>
      </c>
      <c r="G15" s="83">
        <f>(-'EB1'!$N$6*$I$15)/($J$15*$O$15)</f>
        <v>51.797945205479458</v>
      </c>
      <c r="H15" s="83">
        <f>G15</f>
        <v>51.797945205479458</v>
      </c>
      <c r="I15" s="66">
        <v>0.33</v>
      </c>
      <c r="J15" s="67">
        <v>0.9</v>
      </c>
      <c r="K15" s="66"/>
      <c r="L15" s="67">
        <v>38</v>
      </c>
      <c r="M15" s="66">
        <v>0.27</v>
      </c>
      <c r="N15" s="43"/>
      <c r="O15" s="66">
        <v>31.536000000000001</v>
      </c>
      <c r="P15" s="67">
        <v>1</v>
      </c>
      <c r="R15" s="26">
        <f>G15*$J15*$O15</f>
        <v>1470.1500000000003</v>
      </c>
      <c r="S15" s="29"/>
      <c r="T15" s="94" t="s">
        <v>102</v>
      </c>
      <c r="U15" s="94"/>
      <c r="V15" s="94" t="str">
        <f>$B$2&amp;$F$5&amp;$H$2&amp;RIGHT(Sector_Fuels_ELC!$L$8,3)&amp;"00"</f>
        <v>ELCNENUC00</v>
      </c>
      <c r="W15" s="94" t="str">
        <f>$D$2&amp;" "&amp;$H$1&amp;RIGHT(V15,2)&amp;" - "&amp;'EB1'!N3</f>
        <v>Power Plants Existing00 - Nuclear Energy</v>
      </c>
      <c r="X15" s="94" t="str">
        <f t="shared" si="1"/>
        <v>PJ</v>
      </c>
      <c r="Y15" s="94" t="str">
        <f t="shared" si="2"/>
        <v>GW</v>
      </c>
      <c r="Z15" s="90" t="s">
        <v>117</v>
      </c>
      <c r="AA15" s="94"/>
      <c r="AB15" s="94"/>
    </row>
    <row r="16" spans="2:28" x14ac:dyDescent="0.2">
      <c r="B16" s="21" t="str">
        <f>V16</f>
        <v>ELCREBIO00</v>
      </c>
      <c r="C16" s="21" t="str">
        <f>$B$2&amp;RIGHT(Sector_Fuels_ELC!L9,3)</f>
        <v>ELCBIO</v>
      </c>
      <c r="D16" s="21" t="str">
        <f t="shared" si="0"/>
        <v>ELCC</v>
      </c>
      <c r="G16" s="83">
        <f>(-'EB1'!$O$6*$I$16)/($J$16*$O$16)</f>
        <v>7.8023302733384083</v>
      </c>
      <c r="H16" s="61"/>
      <c r="I16" s="65">
        <v>0.28000000000000003</v>
      </c>
      <c r="J16" s="65">
        <v>0.6</v>
      </c>
      <c r="K16" s="65"/>
      <c r="L16" s="43">
        <v>25</v>
      </c>
      <c r="M16" s="65">
        <v>0.35</v>
      </c>
      <c r="N16" s="43">
        <v>25</v>
      </c>
      <c r="O16" s="66">
        <v>31.536000000000001</v>
      </c>
      <c r="P16" s="67">
        <v>1</v>
      </c>
      <c r="R16" s="26">
        <f>G16*$J16*$O16</f>
        <v>147.63257250000001</v>
      </c>
      <c r="S16" s="29"/>
      <c r="T16" s="94" t="s">
        <v>102</v>
      </c>
      <c r="U16" s="94"/>
      <c r="V16" s="94" t="str">
        <f>$B$2&amp;$E$5&amp;$H$2&amp;RIGHT(Sector_Fuels_ELC!$L$9,3)&amp;"00"</f>
        <v>ELCREBIO00</v>
      </c>
      <c r="W16" s="94" t="str">
        <f>$D$2&amp;" "&amp;$H$1&amp;RIGHT(V16,2)&amp;" - "&amp;'EB1'!O3</f>
        <v>Power Plants Existing00 - Biomass</v>
      </c>
      <c r="X16" s="94" t="str">
        <f t="shared" si="1"/>
        <v>PJ</v>
      </c>
      <c r="Y16" s="94" t="str">
        <f t="shared" si="2"/>
        <v>GW</v>
      </c>
      <c r="Z16" s="90"/>
      <c r="AA16" s="94"/>
      <c r="AB16" s="94"/>
    </row>
    <row r="17" spans="1:28" x14ac:dyDescent="0.2">
      <c r="B17" s="21" t="str">
        <f>V17</f>
        <v>ELCREHYD00</v>
      </c>
      <c r="C17" s="21" t="str">
        <f>$B$2&amp;RIGHT(Sector_Fuels_ELC!L10,3)</f>
        <v>ELCHYD</v>
      </c>
      <c r="D17" s="21" t="str">
        <f t="shared" si="0"/>
        <v>ELCC</v>
      </c>
      <c r="E17" s="43">
        <v>15</v>
      </c>
      <c r="F17" s="43">
        <v>16</v>
      </c>
      <c r="G17" s="87"/>
      <c r="H17" s="88"/>
      <c r="I17" s="65">
        <v>1</v>
      </c>
      <c r="J17" s="65">
        <v>0.5</v>
      </c>
      <c r="K17" s="65"/>
      <c r="L17" s="43">
        <v>50</v>
      </c>
      <c r="M17" s="65">
        <v>2</v>
      </c>
      <c r="N17" s="43">
        <v>50</v>
      </c>
      <c r="O17" s="66">
        <v>31.536000000000001</v>
      </c>
      <c r="P17" s="67">
        <v>0.5</v>
      </c>
      <c r="R17" s="26">
        <f>(E17+F17)*$J17*$O17</f>
        <v>488.80799999999999</v>
      </c>
      <c r="S17" s="29"/>
      <c r="T17" s="94" t="s">
        <v>102</v>
      </c>
      <c r="U17" s="94"/>
      <c r="V17" s="94" t="str">
        <f>$B$2&amp;$E$5&amp;$H$2&amp;RIGHT(Sector_Fuels_ELC!$L$10,3)&amp;"00"</f>
        <v>ELCREHYD00</v>
      </c>
      <c r="W17" s="94" t="str">
        <f>$D$2&amp;" "&amp;$H$1&amp;RIGHT(V17,2)&amp;" - "&amp;'EB1'!P3</f>
        <v>Power Plants Existing00 - Hydro power</v>
      </c>
      <c r="X17" s="94" t="str">
        <f t="shared" si="1"/>
        <v>PJ</v>
      </c>
      <c r="Y17" s="94" t="str">
        <f t="shared" si="2"/>
        <v>GW</v>
      </c>
      <c r="Z17" s="94"/>
      <c r="AA17" s="94"/>
      <c r="AB17" s="94"/>
    </row>
    <row r="18" spans="1:28" x14ac:dyDescent="0.2">
      <c r="B18" s="97" t="str">
        <f>V18</f>
        <v>ELCREWIN00</v>
      </c>
      <c r="C18" s="21" t="str">
        <f>$B$2&amp;RIGHT(Sector_Fuels_ELC!L11,3)</f>
        <v>ELCWIN</v>
      </c>
      <c r="D18" s="21" t="str">
        <f t="shared" si="0"/>
        <v>ELCC</v>
      </c>
      <c r="G18" s="83">
        <f>(-'EB1'!$Q$6*$I$18)/($J$18*$O$18)</f>
        <v>23.908866057838662</v>
      </c>
      <c r="H18" s="61"/>
      <c r="I18" s="65">
        <v>1</v>
      </c>
      <c r="J18" s="65">
        <v>0.35</v>
      </c>
      <c r="K18" s="65"/>
      <c r="L18" s="43">
        <v>35</v>
      </c>
      <c r="M18" s="65">
        <v>0.5</v>
      </c>
      <c r="N18" s="43">
        <v>20</v>
      </c>
      <c r="O18" s="66">
        <v>31.536000000000001</v>
      </c>
      <c r="P18" s="67">
        <v>0.3</v>
      </c>
      <c r="R18" s="26">
        <f>G18*$J18*$O18</f>
        <v>263.8965</v>
      </c>
      <c r="S18" s="29"/>
      <c r="T18" s="99" t="s">
        <v>102</v>
      </c>
      <c r="U18" s="99"/>
      <c r="V18" s="99" t="str">
        <f>$B$2&amp;$E$5&amp;$H$2&amp;RIGHT(Sector_Fuels_ELC!$L$11,3)&amp;"00"</f>
        <v>ELCREWIN00</v>
      </c>
      <c r="W18" s="99" t="str">
        <f>$D$2&amp;" "&amp;$H$1&amp;RIGHT(V18,2)&amp;" - "&amp;'EB1'!Q3</f>
        <v>Power Plants Existing00 - Wind energy</v>
      </c>
      <c r="X18" s="99" t="str">
        <f t="shared" si="1"/>
        <v>PJ</v>
      </c>
      <c r="Y18" s="99" t="str">
        <f t="shared" si="2"/>
        <v>GW</v>
      </c>
      <c r="Z18" s="94"/>
      <c r="AA18" s="94"/>
      <c r="AB18" s="94"/>
    </row>
    <row r="19" spans="1:28" ht="13.5" thickBot="1" x14ac:dyDescent="0.25">
      <c r="B19" s="21" t="str">
        <f>V19</f>
        <v>ELCRESOL00</v>
      </c>
      <c r="C19" s="21" t="str">
        <f>$B$2&amp;RIGHT(Sector_Fuels_ELC!L14,3)</f>
        <v>ELCSOL</v>
      </c>
      <c r="D19" s="21" t="str">
        <f t="shared" si="0"/>
        <v>ELCC</v>
      </c>
      <c r="G19" s="83">
        <f>(-'EB1'!$T$6*$I$19)/($J$19*$O$19)</f>
        <v>7.1875528496533061</v>
      </c>
      <c r="H19" s="61"/>
      <c r="I19" s="65">
        <v>1</v>
      </c>
      <c r="J19" s="65">
        <v>0.3</v>
      </c>
      <c r="K19" s="65"/>
      <c r="L19" s="43">
        <v>60</v>
      </c>
      <c r="M19" s="65"/>
      <c r="N19" s="43">
        <v>15</v>
      </c>
      <c r="O19" s="66">
        <v>31.536000000000001</v>
      </c>
      <c r="P19" s="67">
        <v>0.2</v>
      </c>
      <c r="R19" s="26">
        <f>G19*$J19*$O19</f>
        <v>68</v>
      </c>
      <c r="S19" s="29"/>
      <c r="T19" s="98" t="s">
        <v>102</v>
      </c>
      <c r="U19" s="98"/>
      <c r="V19" s="98" t="str">
        <f>$B$2&amp;$E$5&amp;$H$2&amp;RIGHT(Sector_Fuels_ELC!$L$14,3)&amp;"00"</f>
        <v>ELCRESOL00</v>
      </c>
      <c r="W19" s="98" t="str">
        <f>$D$2&amp;" "&amp;$H$1&amp;RIGHT(V19,2)&amp;" - "&amp;'EB1'!T3</f>
        <v>Power Plants Existing00 - Solar energy</v>
      </c>
      <c r="X19" s="98" t="str">
        <f t="shared" si="1"/>
        <v>PJ</v>
      </c>
      <c r="Y19" s="98" t="str">
        <f t="shared" si="2"/>
        <v>GW</v>
      </c>
      <c r="Z19" s="94"/>
      <c r="AA19" s="94"/>
      <c r="AB19" s="94"/>
    </row>
    <row r="20" spans="1:28" x14ac:dyDescent="0.2">
      <c r="B20" s="21" t="str">
        <f>V20</f>
        <v>ELCRESOL_PARNU00</v>
      </c>
      <c r="C20" s="21" t="str">
        <f>$B$2&amp;RIGHT(Sector_Fuels_ELC!L14,3)</f>
        <v>ELCSOL</v>
      </c>
      <c r="D20" s="21" t="str">
        <f t="shared" si="0"/>
        <v>ELCC</v>
      </c>
      <c r="G20">
        <v>0.24199999999999999</v>
      </c>
      <c r="I20" s="101">
        <v>1</v>
      </c>
      <c r="K20" s="7">
        <v>1018</v>
      </c>
      <c r="L20" s="88">
        <v>16.064040000000002</v>
      </c>
      <c r="M20" s="88">
        <v>0</v>
      </c>
      <c r="N20" s="21">
        <v>35</v>
      </c>
      <c r="O20" s="66">
        <v>31.536000000000001</v>
      </c>
      <c r="P20" s="77">
        <v>0.1461854238754417</v>
      </c>
      <c r="T20" s="94" t="s">
        <v>102</v>
      </c>
      <c r="V20" s="94" t="str">
        <f>$B$2&amp;$E$5&amp;$H$2&amp;RIGHT(Sector_Fuels_ELC!$L$14,3)&amp;"_"&amp;Intra_areas!B3&amp;"00"</f>
        <v>ELCRESOL_PARNU00</v>
      </c>
      <c r="W20" s="94" t="str">
        <f>$D$2&amp;" "&amp;$H$1&amp;RIGHT(V20,2)&amp;" in "&amp;Intra_areas!B3&amp;" - "&amp;'EB1'!$T$3</f>
        <v>Power Plants Existing00 in PARNU - Solar energy</v>
      </c>
      <c r="X20" t="s">
        <v>68</v>
      </c>
      <c r="Y20" t="s">
        <v>101</v>
      </c>
      <c r="Z20" t="s">
        <v>116</v>
      </c>
    </row>
    <row r="21" spans="1:28" x14ac:dyDescent="0.2">
      <c r="B21" s="21" t="str">
        <f t="shared" ref="B21:B43" si="3">V21</f>
        <v>ELCRESOL_TARTU00</v>
      </c>
      <c r="C21" s="21" t="str">
        <f>$B$2&amp;RIGHT(Sector_Fuels_ELC!L14,3)</f>
        <v>ELCSOL</v>
      </c>
      <c r="D21" s="21" t="str">
        <f t="shared" si="0"/>
        <v>ELCC</v>
      </c>
      <c r="G21">
        <v>0.108</v>
      </c>
      <c r="I21" s="101">
        <v>1</v>
      </c>
      <c r="K21" s="7">
        <v>1018</v>
      </c>
      <c r="L21" s="88">
        <v>16.064040000000002</v>
      </c>
      <c r="M21" s="88">
        <v>0</v>
      </c>
      <c r="N21" s="21">
        <v>35</v>
      </c>
      <c r="O21" s="66">
        <v>31.536000000000001</v>
      </c>
      <c r="P21" s="77">
        <v>0.1461854238754417</v>
      </c>
      <c r="R21" s="82"/>
      <c r="T21" s="94" t="s">
        <v>102</v>
      </c>
      <c r="V21" s="94" t="str">
        <f>$B$2&amp;$E$5&amp;$H$2&amp;RIGHT(Sector_Fuels_ELC!$L$14,3)&amp;"_"&amp;Intra_areas!B4&amp;"00"</f>
        <v>ELCRESOL_TARTU00</v>
      </c>
      <c r="W21" s="94" t="str">
        <f>$D$2&amp;" "&amp;$H$1&amp;RIGHT(V21,2)&amp;" in "&amp;Intra_areas!B4&amp;" - "&amp;'EB1'!$T$3</f>
        <v>Power Plants Existing00 in TARTU - Solar energy</v>
      </c>
      <c r="X21" t="s">
        <v>68</v>
      </c>
      <c r="Y21" t="s">
        <v>101</v>
      </c>
      <c r="Z21" t="s">
        <v>116</v>
      </c>
    </row>
    <row r="22" spans="1:28" x14ac:dyDescent="0.2">
      <c r="A22" s="100"/>
      <c r="B22" s="21" t="str">
        <f t="shared" si="3"/>
        <v>ELCRESOL_LVIRU00</v>
      </c>
      <c r="C22" s="21" t="str">
        <f>$B$2&amp;RIGHT(Sector_Fuels_ELC!L14,3)</f>
        <v>ELCSOL</v>
      </c>
      <c r="D22" s="21" t="str">
        <f t="shared" si="0"/>
        <v>ELCC</v>
      </c>
      <c r="G22">
        <v>0.13200000000000001</v>
      </c>
      <c r="I22" s="101">
        <v>1</v>
      </c>
      <c r="K22" s="7">
        <v>1018</v>
      </c>
      <c r="L22" s="88">
        <v>16.064040000000002</v>
      </c>
      <c r="M22" s="88">
        <v>0</v>
      </c>
      <c r="N22" s="21">
        <v>35</v>
      </c>
      <c r="O22" s="66">
        <v>31.536000000000001</v>
      </c>
      <c r="P22" s="77">
        <v>0.14867925344692126</v>
      </c>
      <c r="R22" s="82"/>
      <c r="T22" s="94" t="s">
        <v>102</v>
      </c>
      <c r="V22" s="94" t="str">
        <f>$B$2&amp;$E$5&amp;$H$2&amp;RIGHT(Sector_Fuels_ELC!$L$14,3)&amp;"_"&amp;Intra_areas!B5&amp;"00"</f>
        <v>ELCRESOL_LVIRU00</v>
      </c>
      <c r="W22" s="94" t="str">
        <f>$D$2&amp;" "&amp;$H$1&amp;RIGHT(V22,2)&amp;" in "&amp;Intra_areas!B5&amp;" - "&amp;'EB1'!$T$3</f>
        <v>Power Plants Existing00 in LVIRU - Solar energy</v>
      </c>
      <c r="X22" t="s">
        <v>68</v>
      </c>
      <c r="Y22" t="s">
        <v>101</v>
      </c>
      <c r="Z22" t="s">
        <v>116</v>
      </c>
    </row>
    <row r="23" spans="1:28" x14ac:dyDescent="0.2">
      <c r="A23" s="100"/>
      <c r="B23" s="21" t="str">
        <f t="shared" si="3"/>
        <v>ELCRESOL_IVIRU00</v>
      </c>
      <c r="C23" s="21" t="str">
        <f>$B$2&amp;RIGHT(Sector_Fuels_ELC!L14,3)</f>
        <v>ELCSOL</v>
      </c>
      <c r="D23" s="21" t="str">
        <f t="shared" si="0"/>
        <v>ELCC</v>
      </c>
      <c r="G23">
        <v>7.8E-2</v>
      </c>
      <c r="I23" s="101">
        <v>1</v>
      </c>
      <c r="K23" s="7">
        <v>1018</v>
      </c>
      <c r="L23" s="88">
        <v>16.064040000000002</v>
      </c>
      <c r="M23" s="88">
        <v>0</v>
      </c>
      <c r="N23" s="21">
        <v>35</v>
      </c>
      <c r="O23" s="66">
        <v>31.536000000000001</v>
      </c>
      <c r="P23" s="77">
        <v>0.14701259708091721</v>
      </c>
      <c r="R23" s="82"/>
      <c r="T23" s="94" t="s">
        <v>102</v>
      </c>
      <c r="V23" s="94" t="str">
        <f>$B$2&amp;$E$5&amp;$H$2&amp;RIGHT(Sector_Fuels_ELC!$L$14,3)&amp;"_"&amp;Intra_areas!B6&amp;"00"</f>
        <v>ELCRESOL_IVIRU00</v>
      </c>
      <c r="W23" s="94" t="str">
        <f>$D$2&amp;" "&amp;$H$1&amp;RIGHT(V23,2)&amp;" in "&amp;Intra_areas!B6&amp;" - "&amp;'EB1'!$T$3</f>
        <v>Power Plants Existing00 in IVIRU - Solar energy</v>
      </c>
      <c r="X23" t="s">
        <v>68</v>
      </c>
      <c r="Y23" t="s">
        <v>101</v>
      </c>
      <c r="Z23" t="s">
        <v>116</v>
      </c>
    </row>
    <row r="24" spans="1:28" x14ac:dyDescent="0.2">
      <c r="A24" s="100"/>
      <c r="B24" s="21" t="str">
        <f t="shared" si="3"/>
        <v>ELCRESOL_JARVA00</v>
      </c>
      <c r="C24" s="21" t="str">
        <f>$B$2&amp;RIGHT(Sector_Fuels_ELC!L14,3)</f>
        <v>ELCSOL</v>
      </c>
      <c r="D24" s="21" t="str">
        <f t="shared" si="0"/>
        <v>ELCC</v>
      </c>
      <c r="G24">
        <v>7.4999999999999997E-2</v>
      </c>
      <c r="I24" s="101">
        <v>1</v>
      </c>
      <c r="K24" s="7">
        <v>1018</v>
      </c>
      <c r="L24" s="88">
        <v>16.064040000000002</v>
      </c>
      <c r="M24" s="88">
        <v>0</v>
      </c>
      <c r="N24" s="21">
        <v>35</v>
      </c>
      <c r="O24" s="66">
        <v>31.536000000000001</v>
      </c>
      <c r="P24" s="77">
        <v>0.15309859852159369</v>
      </c>
      <c r="R24" s="82"/>
      <c r="T24" s="94" t="s">
        <v>102</v>
      </c>
      <c r="V24" s="94" t="str">
        <f>$B$2&amp;$E$5&amp;$H$2&amp;RIGHT(Sector_Fuels_ELC!$L$14,3)&amp;"_"&amp;Intra_areas!B7&amp;"00"</f>
        <v>ELCRESOL_JARVA00</v>
      </c>
      <c r="W24" s="94" t="str">
        <f>$D$2&amp;" "&amp;$H$1&amp;RIGHT(V24,2)&amp;" in "&amp;Intra_areas!B7&amp;" - "&amp;'EB1'!$T$3</f>
        <v>Power Plants Existing00 in JARVA - Solar energy</v>
      </c>
      <c r="X24" t="s">
        <v>68</v>
      </c>
      <c r="Y24" t="s">
        <v>101</v>
      </c>
      <c r="Z24" t="s">
        <v>116</v>
      </c>
    </row>
    <row r="25" spans="1:28" x14ac:dyDescent="0.2">
      <c r="A25" s="100"/>
      <c r="B25" s="21" t="str">
        <f t="shared" si="3"/>
        <v>ELCRESOL_JOGEVA00</v>
      </c>
      <c r="C25" s="21" t="str">
        <f>$B$2&amp;RIGHT(Sector_Fuels_ELC!L14,3)</f>
        <v>ELCSOL</v>
      </c>
      <c r="D25" s="21" t="str">
        <f t="shared" si="0"/>
        <v>ELCC</v>
      </c>
      <c r="G25">
        <v>4.7E-2</v>
      </c>
      <c r="I25" s="101">
        <v>1</v>
      </c>
      <c r="K25" s="7">
        <v>1018</v>
      </c>
      <c r="L25" s="88">
        <v>16.064040000000002</v>
      </c>
      <c r="M25" s="88">
        <v>0</v>
      </c>
      <c r="N25" s="21">
        <v>35</v>
      </c>
      <c r="O25" s="66">
        <v>31.536000000000001</v>
      </c>
      <c r="P25" s="77">
        <v>0.15309859852159369</v>
      </c>
      <c r="R25" s="82"/>
      <c r="T25" s="94" t="s">
        <v>102</v>
      </c>
      <c r="V25" s="94" t="str">
        <f>$B$2&amp;$E$5&amp;$H$2&amp;RIGHT(Sector_Fuels_ELC!$L$14,3)&amp;"_"&amp;Intra_areas!B8&amp;"00"</f>
        <v>ELCRESOL_JOGEVA00</v>
      </c>
      <c r="W25" s="94" t="str">
        <f>$D$2&amp;" "&amp;$H$1&amp;RIGHT(V25,2)&amp;" in "&amp;Intra_areas!B8&amp;" - "&amp;'EB1'!$T$3</f>
        <v>Power Plants Existing00 in JOGEVA - Solar energy</v>
      </c>
      <c r="X25" t="s">
        <v>68</v>
      </c>
      <c r="Y25" t="s">
        <v>101</v>
      </c>
      <c r="Z25" t="s">
        <v>116</v>
      </c>
    </row>
    <row r="26" spans="1:28" x14ac:dyDescent="0.2">
      <c r="B26" s="21" t="str">
        <f t="shared" si="3"/>
        <v>ELCRESOL_HARJU00</v>
      </c>
      <c r="C26" s="21" t="str">
        <f>$B$2&amp;RIGHT(Sector_Fuels_ELC!L14,3)</f>
        <v>ELCSOL</v>
      </c>
      <c r="D26" s="21" t="str">
        <f t="shared" si="0"/>
        <v>ELCC</v>
      </c>
      <c r="G26">
        <v>0.04</v>
      </c>
      <c r="I26" s="101">
        <v>1</v>
      </c>
      <c r="K26" s="7">
        <v>1018</v>
      </c>
      <c r="L26" s="88">
        <v>16.064040000000002</v>
      </c>
      <c r="M26" s="88">
        <v>0</v>
      </c>
      <c r="N26" s="21">
        <v>35</v>
      </c>
      <c r="O26" s="66">
        <v>31.536000000000001</v>
      </c>
      <c r="P26" s="77">
        <v>0.15619560585976827</v>
      </c>
      <c r="T26" s="94" t="s">
        <v>102</v>
      </c>
      <c r="V26" s="94" t="str">
        <f>$B$2&amp;$E$5&amp;$H$2&amp;RIGHT(Sector_Fuels_ELC!$L$14,3)&amp;"_"&amp;Intra_areas!B9&amp;"00"</f>
        <v>ELCRESOL_HARJU00</v>
      </c>
      <c r="W26" s="94" t="str">
        <f>$D$2&amp;" "&amp;$H$1&amp;RIGHT(V26,2)&amp;" in "&amp;Intra_areas!B9&amp;" - "&amp;'EB1'!$T$3</f>
        <v>Power Plants Existing00 in HARJU - Solar energy</v>
      </c>
      <c r="X26" t="s">
        <v>68</v>
      </c>
      <c r="Y26" t="s">
        <v>101</v>
      </c>
      <c r="Z26" t="s">
        <v>116</v>
      </c>
    </row>
    <row r="27" spans="1:28" x14ac:dyDescent="0.2">
      <c r="B27" s="21" t="str">
        <f t="shared" si="3"/>
        <v>ELCRESOL_POLVA00</v>
      </c>
      <c r="C27" s="21" t="str">
        <f>$B$2&amp;RIGHT(Sector_Fuels_ELC!L14,3)</f>
        <v>ELCSOL</v>
      </c>
      <c r="D27" s="21" t="str">
        <f t="shared" si="0"/>
        <v>ELCC</v>
      </c>
      <c r="G27">
        <v>0.24199999999999999</v>
      </c>
      <c r="I27" s="101">
        <v>1</v>
      </c>
      <c r="K27" s="7">
        <v>1018</v>
      </c>
      <c r="L27" s="88">
        <v>16.064040000000002</v>
      </c>
      <c r="M27" s="88">
        <v>0</v>
      </c>
      <c r="N27" s="21">
        <v>35</v>
      </c>
      <c r="O27" s="66">
        <v>31.536000000000001</v>
      </c>
      <c r="P27" s="77">
        <v>0.14537310453496291</v>
      </c>
      <c r="T27" s="94" t="s">
        <v>102</v>
      </c>
      <c r="V27" s="94" t="str">
        <f>$B$2&amp;$E$5&amp;$H$2&amp;RIGHT(Sector_Fuels_ELC!$L$14,3)&amp;"_"&amp;Intra_areas!B10&amp;"00"</f>
        <v>ELCRESOL_POLVA00</v>
      </c>
      <c r="W27" s="94" t="str">
        <f>$D$2&amp;" "&amp;$H$1&amp;RIGHT(V27,2)&amp;" in "&amp;Intra_areas!B10&amp;" - "&amp;'EB1'!$T$3</f>
        <v>Power Plants Existing00 in POLVA - Solar energy</v>
      </c>
      <c r="X27" t="s">
        <v>68</v>
      </c>
      <c r="Y27" t="s">
        <v>101</v>
      </c>
      <c r="Z27" t="s">
        <v>116</v>
      </c>
    </row>
    <row r="28" spans="1:28" x14ac:dyDescent="0.2">
      <c r="B28" s="21" t="str">
        <f t="shared" si="3"/>
        <v>ELCRESOL_VALGA00</v>
      </c>
      <c r="C28" s="21" t="str">
        <f>$B$2&amp;RIGHT(Sector_Fuels_ELC!L14,3)</f>
        <v>ELCSOL</v>
      </c>
      <c r="D28" s="21" t="str">
        <f t="shared" si="0"/>
        <v>ELCC</v>
      </c>
      <c r="G28">
        <v>4.2999999999999997E-2</v>
      </c>
      <c r="I28" s="101">
        <v>1</v>
      </c>
      <c r="K28" s="7">
        <v>1018</v>
      </c>
      <c r="L28" s="88">
        <v>16.064040000000002</v>
      </c>
      <c r="M28" s="88">
        <v>0</v>
      </c>
      <c r="N28" s="21">
        <v>35</v>
      </c>
      <c r="O28" s="66">
        <v>31.536000000000001</v>
      </c>
      <c r="P28" s="77">
        <v>0.14763873655681015</v>
      </c>
      <c r="T28" s="94" t="s">
        <v>102</v>
      </c>
      <c r="V28" s="94" t="str">
        <f>$B$2&amp;$E$5&amp;$H$2&amp;RIGHT(Sector_Fuels_ELC!$L$14,3)&amp;"_"&amp;Intra_areas!B11&amp;"00"</f>
        <v>ELCRESOL_VALGA00</v>
      </c>
      <c r="W28" s="94" t="str">
        <f>$D$2&amp;" "&amp;$H$1&amp;RIGHT(V28,2)&amp;" in "&amp;Intra_areas!B11&amp;" - "&amp;'EB1'!$T$3</f>
        <v>Power Plants Existing00 in VALGA - Solar energy</v>
      </c>
      <c r="X28" t="s">
        <v>68</v>
      </c>
      <c r="Y28" t="s">
        <v>101</v>
      </c>
      <c r="Z28" t="s">
        <v>116</v>
      </c>
    </row>
    <row r="29" spans="1:28" x14ac:dyDescent="0.2">
      <c r="B29" s="21" t="str">
        <f t="shared" si="3"/>
        <v>ELCRESOL_VILJANDI00</v>
      </c>
      <c r="C29" s="21" t="str">
        <f>$B$2&amp;RIGHT(Sector_Fuels_ELC!L14,3)</f>
        <v>ELCSOL</v>
      </c>
      <c r="D29" s="21" t="str">
        <f t="shared" si="0"/>
        <v>ELCC</v>
      </c>
      <c r="G29">
        <v>0.08</v>
      </c>
      <c r="I29" s="101">
        <v>1</v>
      </c>
      <c r="K29" s="7">
        <v>1018</v>
      </c>
      <c r="L29" s="88">
        <v>16.064040000000002</v>
      </c>
      <c r="M29" s="88">
        <v>0</v>
      </c>
      <c r="N29" s="21">
        <v>35</v>
      </c>
      <c r="O29" s="66">
        <v>31.536000000000001</v>
      </c>
      <c r="P29" s="77">
        <v>0.1532628310027955</v>
      </c>
      <c r="T29" s="94" t="s">
        <v>102</v>
      </c>
      <c r="V29" s="94" t="str">
        <f>$B$2&amp;$E$5&amp;$H$2&amp;RIGHT(Sector_Fuels_ELC!$L$14,3)&amp;"_"&amp;Intra_areas!B12&amp;"00"</f>
        <v>ELCRESOL_VILJANDI00</v>
      </c>
      <c r="W29" s="94" t="str">
        <f>$D$2&amp;" "&amp;$H$1&amp;RIGHT(V29,2)&amp;" in "&amp;Intra_areas!B12&amp;" - "&amp;'EB1'!$T$3</f>
        <v>Power Plants Existing00 in VILJANDI - Solar energy</v>
      </c>
      <c r="X29" t="s">
        <v>68</v>
      </c>
      <c r="Y29" t="s">
        <v>101</v>
      </c>
      <c r="Z29" t="s">
        <v>116</v>
      </c>
    </row>
    <row r="30" spans="1:28" x14ac:dyDescent="0.2">
      <c r="B30" s="21" t="str">
        <f t="shared" si="3"/>
        <v>ELCRESOL_VORU00</v>
      </c>
      <c r="C30" s="21" t="str">
        <f>$B$2&amp;RIGHT(Sector_Fuels_ELC!L14,3)</f>
        <v>ELCSOL</v>
      </c>
      <c r="D30" s="21" t="str">
        <f t="shared" si="0"/>
        <v>ELCC</v>
      </c>
      <c r="G30">
        <v>3.5000000000000003E-2</v>
      </c>
      <c r="I30" s="101">
        <v>1</v>
      </c>
      <c r="K30" s="7">
        <v>1019</v>
      </c>
      <c r="L30" s="88">
        <v>16.079820000000002</v>
      </c>
      <c r="M30" s="88">
        <v>0</v>
      </c>
      <c r="N30" s="21">
        <v>35</v>
      </c>
      <c r="O30" s="66">
        <v>31.536000000000001</v>
      </c>
      <c r="P30" s="77">
        <v>0.1461854238754417</v>
      </c>
      <c r="T30" s="94" t="s">
        <v>102</v>
      </c>
      <c r="V30" s="94" t="str">
        <f>$B$2&amp;$E$5&amp;$H$2&amp;RIGHT(Sector_Fuels_ELC!$L$14,3)&amp;"_"&amp;Intra_areas!B13&amp;"00"</f>
        <v>ELCRESOL_VORU00</v>
      </c>
      <c r="W30" s="94" t="str">
        <f>$D$2&amp;" "&amp;$H$1&amp;RIGHT(V30,2)&amp;" in "&amp;Intra_areas!B13&amp;" - "&amp;'EB1'!$T$3</f>
        <v>Power Plants Existing00 in VORU - Solar energy</v>
      </c>
      <c r="X30" t="s">
        <v>68</v>
      </c>
      <c r="Y30" t="s">
        <v>101</v>
      </c>
      <c r="Z30" t="s">
        <v>116</v>
      </c>
    </row>
    <row r="31" spans="1:28" x14ac:dyDescent="0.2">
      <c r="B31" s="21" t="str">
        <f t="shared" si="3"/>
        <v>ELCRESOL_SAARE00</v>
      </c>
      <c r="C31" s="21" t="str">
        <f>$B$2&amp;RIGHT(Sector_Fuels_ELC!L14,3)</f>
        <v>ELCSOL</v>
      </c>
      <c r="D31" s="21" t="str">
        <f t="shared" si="0"/>
        <v>ELCC</v>
      </c>
      <c r="G31">
        <v>3.1E-2</v>
      </c>
      <c r="I31" s="101">
        <v>1</v>
      </c>
      <c r="K31" s="7">
        <v>1020</v>
      </c>
      <c r="L31" s="88">
        <v>16.095600000000001</v>
      </c>
      <c r="M31" s="88">
        <v>0</v>
      </c>
      <c r="N31" s="21">
        <v>35</v>
      </c>
      <c r="O31" s="66">
        <v>31.536000000000001</v>
      </c>
      <c r="P31" s="77">
        <v>0.1461854238754417</v>
      </c>
      <c r="T31" s="94" t="s">
        <v>102</v>
      </c>
      <c r="V31" s="94" t="str">
        <f>$B$2&amp;$E$5&amp;$H$2&amp;RIGHT(Sector_Fuels_ELC!$L$14,3)&amp;"_"&amp;Intra_areas!B14&amp;"00"</f>
        <v>ELCRESOL_SAARE00</v>
      </c>
      <c r="W31" s="94" t="str">
        <f>$D$2&amp;" "&amp;$H$1&amp;RIGHT(V31,2)&amp;" in "&amp;Intra_areas!B14&amp;" - "&amp;'EB1'!$T$3</f>
        <v>Power Plants Existing00 in SAARE - Solar energy</v>
      </c>
      <c r="X31" t="s">
        <v>68</v>
      </c>
      <c r="Y31" t="s">
        <v>101</v>
      </c>
      <c r="Z31" t="s">
        <v>116</v>
      </c>
    </row>
    <row r="32" spans="1:28" x14ac:dyDescent="0.2">
      <c r="B32" s="21" t="str">
        <f t="shared" si="3"/>
        <v>ELCRESOL_RAPLA00</v>
      </c>
      <c r="C32" s="21" t="str">
        <f>$B$2&amp;RIGHT(Sector_Fuels_ELC!L14,3)</f>
        <v>ELCSOL</v>
      </c>
      <c r="D32" s="21" t="str">
        <f t="shared" si="0"/>
        <v>ELCC</v>
      </c>
      <c r="G32">
        <v>2.9000000000000001E-2</v>
      </c>
      <c r="I32" s="101">
        <v>1</v>
      </c>
      <c r="K32" s="7">
        <v>1021</v>
      </c>
      <c r="L32" s="88">
        <v>16.111380000000004</v>
      </c>
      <c r="M32" s="88">
        <v>0</v>
      </c>
      <c r="N32" s="21">
        <v>35</v>
      </c>
      <c r="O32" s="66">
        <v>31.536000000000001</v>
      </c>
      <c r="P32" s="77">
        <v>0.1461854238754417</v>
      </c>
      <c r="T32" s="94" t="s">
        <v>102</v>
      </c>
      <c r="V32" s="94" t="str">
        <f>$B$2&amp;$E$5&amp;$H$2&amp;RIGHT(Sector_Fuels_ELC!$L$14,3)&amp;"_"&amp;Intra_areas!B15&amp;"00"</f>
        <v>ELCRESOL_RAPLA00</v>
      </c>
      <c r="W32" s="94" t="str">
        <f>$D$2&amp;" "&amp;$H$1&amp;RIGHT(V32,2)&amp;" in "&amp;Intra_areas!B15&amp;" - "&amp;'EB1'!$T$3</f>
        <v>Power Plants Existing00 in RAPLA - Solar energy</v>
      </c>
      <c r="X32" t="s">
        <v>68</v>
      </c>
      <c r="Y32" t="s">
        <v>101</v>
      </c>
      <c r="Z32" t="s">
        <v>116</v>
      </c>
    </row>
    <row r="33" spans="2:26" x14ac:dyDescent="0.2">
      <c r="B33" s="21" t="str">
        <f t="shared" si="3"/>
        <v>ELCRESOL_LAANE00</v>
      </c>
      <c r="C33" s="21" t="str">
        <f>$B$2&amp;RIGHT(Sector_Fuels_ELC!L14,3)</f>
        <v>ELCSOL</v>
      </c>
      <c r="D33" s="21" t="str">
        <f t="shared" si="0"/>
        <v>ELCC</v>
      </c>
      <c r="G33">
        <v>0.01</v>
      </c>
      <c r="I33" s="101">
        <v>1</v>
      </c>
      <c r="K33" s="7">
        <v>1022</v>
      </c>
      <c r="L33" s="88">
        <v>16.127160000000003</v>
      </c>
      <c r="M33" s="88">
        <v>0</v>
      </c>
      <c r="N33" s="21">
        <v>35</v>
      </c>
      <c r="O33" s="66">
        <v>31.536000000000001</v>
      </c>
      <c r="P33" s="77">
        <v>0.1461854238754417</v>
      </c>
      <c r="T33" s="94" t="s">
        <v>102</v>
      </c>
      <c r="V33" s="94" t="str">
        <f>$B$2&amp;$E$5&amp;$H$2&amp;RIGHT(Sector_Fuels_ELC!$L$14,3)&amp;"_"&amp;Intra_areas!B16&amp;"00"</f>
        <v>ELCRESOL_LAANE00</v>
      </c>
      <c r="W33" s="94" t="str">
        <f>$D$2&amp;" "&amp;$H$1&amp;RIGHT(V33,2)&amp;" in "&amp;Intra_areas!B16&amp;" - "&amp;'EB1'!$T$3</f>
        <v>Power Plants Existing00 in LAANE - Solar energy</v>
      </c>
      <c r="X33" t="s">
        <v>68</v>
      </c>
      <c r="Y33" t="s">
        <v>101</v>
      </c>
      <c r="Z33" t="s">
        <v>116</v>
      </c>
    </row>
    <row r="34" spans="2:26" x14ac:dyDescent="0.2">
      <c r="B34" s="21" t="str">
        <f t="shared" si="3"/>
        <v>ELCRESOL_HIIU00</v>
      </c>
      <c r="C34" s="21" t="str">
        <f>$B$2&amp;RIGHT(Sector_Fuels_ELC!L14,3)</f>
        <v>ELCSOL</v>
      </c>
      <c r="D34" s="21" t="str">
        <f t="shared" si="0"/>
        <v>ELCC</v>
      </c>
      <c r="G34">
        <v>5.0000000000000001E-3</v>
      </c>
      <c r="I34" s="101">
        <v>1</v>
      </c>
      <c r="K34" s="7">
        <v>1023</v>
      </c>
      <c r="L34" s="88">
        <v>16.142940000000003</v>
      </c>
      <c r="M34" s="88">
        <v>0</v>
      </c>
      <c r="N34" s="21">
        <v>35</v>
      </c>
      <c r="O34" s="21">
        <v>8.76</v>
      </c>
      <c r="P34" s="77">
        <v>0.1461854238754417</v>
      </c>
      <c r="T34" s="94" t="s">
        <v>102</v>
      </c>
      <c r="V34" s="94" t="str">
        <f>$B$2&amp;$E$5&amp;$H$2&amp;RIGHT(Sector_Fuels_ELC!$L$14,3)&amp;"_"&amp;Intra_areas!B17&amp;"00"</f>
        <v>ELCRESOL_HIIU00</v>
      </c>
      <c r="W34" s="94" t="str">
        <f>$D$2&amp;" "&amp;$H$1&amp;RIGHT(V34,2)&amp;" in "&amp;Intra_areas!B17&amp;" - "&amp;'EB1'!$T$3</f>
        <v>Power Plants Existing00 in HIIU - Solar energy</v>
      </c>
      <c r="X34" t="s">
        <v>182</v>
      </c>
      <c r="Y34" t="s">
        <v>101</v>
      </c>
      <c r="Z34" t="s">
        <v>116</v>
      </c>
    </row>
    <row r="35" spans="2:26" x14ac:dyDescent="0.2">
      <c r="B35" s="21" t="str">
        <f t="shared" si="3"/>
        <v>ELCRESOL_SOPITOOTSI00</v>
      </c>
      <c r="C35" s="21" t="str">
        <f>$B$2&amp;RIGHT(Sector_Fuels_ELC!$L$12,3)</f>
        <v>ELCWON</v>
      </c>
      <c r="D35" s="21" t="str">
        <f t="shared" si="0"/>
        <v>ELCC</v>
      </c>
      <c r="G35">
        <v>7.9699999999999993E-2</v>
      </c>
      <c r="I35" s="101">
        <v>1</v>
      </c>
      <c r="K35" s="7">
        <v>1494.4630999999999</v>
      </c>
      <c r="L35" s="88">
        <v>18.701711233400001</v>
      </c>
      <c r="M35" s="88">
        <v>2.0036999999999998</v>
      </c>
      <c r="N35">
        <v>27</v>
      </c>
      <c r="O35" s="21">
        <v>8.76</v>
      </c>
      <c r="P35">
        <v>0.4</v>
      </c>
      <c r="T35" s="94" t="s">
        <v>102</v>
      </c>
      <c r="V35" t="str">
        <f>$B$2&amp;$E$5&amp;$H$2&amp;RIGHT(Sector_Fuels_ELC!$L$14,3)&amp;"_"&amp;Intra_areas!C3&amp;"00"</f>
        <v>ELCRESOL_SOPITOOTSI00</v>
      </c>
      <c r="W35" t="str">
        <f>$D$2&amp;" "&amp;$H$1&amp;RIGHT(V35,2)&amp;" in "&amp;Intra_areas!C3&amp;" - "&amp;'EB1'!$R$3</f>
        <v>Power Plants Existing00 in SOPITOOTSI - Wind onshore energy</v>
      </c>
      <c r="X35" t="s">
        <v>68</v>
      </c>
      <c r="Y35" t="s">
        <v>101</v>
      </c>
      <c r="Z35" t="s">
        <v>116</v>
      </c>
    </row>
    <row r="36" spans="2:26" x14ac:dyDescent="0.2">
      <c r="B36" s="21" t="str">
        <f t="shared" si="3"/>
        <v>ELCRESOL_SOPIPURTSE00</v>
      </c>
      <c r="C36" s="21" t="str">
        <f>$B$2&amp;RIGHT(Sector_Fuels_ELC!$L$12,3)</f>
        <v>ELCWON</v>
      </c>
      <c r="D36" s="21" t="str">
        <f t="shared" si="0"/>
        <v>ELCC</v>
      </c>
      <c r="G36">
        <v>0.17519999999999999</v>
      </c>
      <c r="I36" s="101">
        <v>1</v>
      </c>
      <c r="K36" s="7">
        <v>1494.4630999999999</v>
      </c>
      <c r="L36" s="88">
        <v>18.701711233400001</v>
      </c>
      <c r="M36" s="88">
        <v>2.0036999999999998</v>
      </c>
      <c r="N36">
        <v>27</v>
      </c>
      <c r="O36" s="21">
        <v>8.76</v>
      </c>
      <c r="P36">
        <v>0.4</v>
      </c>
      <c r="T36" s="94" t="s">
        <v>102</v>
      </c>
      <c r="V36" t="str">
        <f>$B$2&amp;$E$5&amp;$H$2&amp;RIGHT(Sector_Fuels_ELC!$L$14,3)&amp;"_"&amp;Intra_areas!C4&amp;"00"</f>
        <v>ELCRESOL_SOPIPURTSE00</v>
      </c>
      <c r="W36" t="str">
        <f>$D$2&amp;" "&amp;$H$1&amp;RIGHT(V36,2)&amp;" in "&amp;Intra_areas!C4&amp;" - "&amp;'EB1'!$R$3</f>
        <v>Power Plants Existing00 in SOPIPURTSE - Wind onshore energy</v>
      </c>
      <c r="X36" t="s">
        <v>68</v>
      </c>
      <c r="Y36" t="s">
        <v>101</v>
      </c>
      <c r="Z36" t="s">
        <v>116</v>
      </c>
    </row>
    <row r="37" spans="2:26" x14ac:dyDescent="0.2">
      <c r="B37" s="21" t="str">
        <f t="shared" si="3"/>
        <v>ELCRESOL_OTHER00</v>
      </c>
      <c r="C37" s="21" t="str">
        <f>$B$2&amp;RIGHT(Sector_Fuels_ELC!$L$12,3)</f>
        <v>ELCWON</v>
      </c>
      <c r="D37" s="21" t="str">
        <f t="shared" si="0"/>
        <v>ELCC</v>
      </c>
      <c r="G37">
        <v>8.130000000000015E-2</v>
      </c>
      <c r="I37" s="101">
        <v>1</v>
      </c>
      <c r="K37" s="7">
        <v>1494.4630999999999</v>
      </c>
      <c r="L37" s="88">
        <v>18.701711233400001</v>
      </c>
      <c r="M37" s="88">
        <v>2.0036999999999998</v>
      </c>
      <c r="N37">
        <v>27</v>
      </c>
      <c r="O37" s="21">
        <v>8.76</v>
      </c>
      <c r="P37">
        <v>0.4</v>
      </c>
      <c r="T37" s="94" t="s">
        <v>102</v>
      </c>
      <c r="V37" t="str">
        <f>$B$2&amp;$E$5&amp;$H$2&amp;RIGHT(Sector_Fuels_ELC!$L$14,3)&amp;"_"&amp;Intra_areas!C5&amp;"00"</f>
        <v>ELCRESOL_OTHER00</v>
      </c>
      <c r="W37" t="str">
        <f>$D$2&amp;" "&amp;$H$1&amp;RIGHT(V37,2)&amp;" in "&amp;Intra_areas!C5&amp;" - "&amp;'EB1'!$R$3</f>
        <v>Power Plants Existing00 in OTHER - Wind onshore energy</v>
      </c>
      <c r="X37" t="s">
        <v>68</v>
      </c>
      <c r="Y37" t="s">
        <v>101</v>
      </c>
      <c r="Z37" t="s">
        <v>116</v>
      </c>
    </row>
    <row r="38" spans="2:26" x14ac:dyDescent="0.2">
      <c r="B38" s="21" t="str">
        <f t="shared" si="3"/>
        <v>ELCRESOL_SAARE00</v>
      </c>
      <c r="C38" s="21" t="str">
        <f>$B$2&amp;RIGHT(Sector_Fuels_ELC!$L$12,3)</f>
        <v>ELCWON</v>
      </c>
      <c r="D38" s="21" t="str">
        <f t="shared" si="0"/>
        <v>ELCC</v>
      </c>
      <c r="G38">
        <v>1.6E-2</v>
      </c>
      <c r="I38" s="101">
        <v>1</v>
      </c>
      <c r="K38" s="7">
        <v>1494.4630999999999</v>
      </c>
      <c r="L38" s="88">
        <v>18.701711233400001</v>
      </c>
      <c r="M38" s="88">
        <v>2.0036999999999998</v>
      </c>
      <c r="N38">
        <v>27</v>
      </c>
      <c r="O38" s="21">
        <v>8.76</v>
      </c>
      <c r="P38">
        <v>0.4</v>
      </c>
      <c r="T38" s="94" t="s">
        <v>102</v>
      </c>
      <c r="V38" t="str">
        <f>$B$2&amp;$E$5&amp;$H$2&amp;RIGHT(Sector_Fuels_ELC!$L$14,3)&amp;"_"&amp;Intra_areas!C6&amp;"00"</f>
        <v>ELCRESOL_SAARE00</v>
      </c>
      <c r="W38" t="str">
        <f>$D$2&amp;" "&amp;$H$1&amp;RIGHT(V38,2)&amp;" in "&amp;Intra_areas!C6&amp;" - "&amp;'EB1'!$R$3</f>
        <v>Power Plants Existing00 in SAARE - Wind onshore energy</v>
      </c>
      <c r="X38" t="s">
        <v>68</v>
      </c>
      <c r="Y38" t="s">
        <v>101</v>
      </c>
      <c r="Z38" t="s">
        <v>116</v>
      </c>
    </row>
    <row r="39" spans="2:26" x14ac:dyDescent="0.2">
      <c r="B39" s="21" t="str">
        <f t="shared" si="3"/>
        <v>ELCRESOL_LVIRU00</v>
      </c>
      <c r="C39" s="21" t="str">
        <f>$B$2&amp;RIGHT(Sector_Fuels_ELC!$L$12,3)</f>
        <v>ELCWON</v>
      </c>
      <c r="D39" s="21" t="str">
        <f t="shared" si="0"/>
        <v>ELCC</v>
      </c>
      <c r="G39">
        <v>3.27E-2</v>
      </c>
      <c r="I39" s="101">
        <v>1</v>
      </c>
      <c r="K39" s="7">
        <v>1494.4630999999999</v>
      </c>
      <c r="L39" s="88">
        <v>18.701711233400001</v>
      </c>
      <c r="M39" s="88">
        <v>2.0036999999999998</v>
      </c>
      <c r="N39">
        <v>27</v>
      </c>
      <c r="O39" s="21">
        <v>8.76</v>
      </c>
      <c r="P39">
        <v>0.4</v>
      </c>
      <c r="T39" s="94" t="s">
        <v>102</v>
      </c>
      <c r="V39" t="str">
        <f>$B$2&amp;$E$5&amp;$H$2&amp;RIGHT(Sector_Fuels_ELC!$L$14,3)&amp;"_"&amp;Intra_areas!C7&amp;"00"</f>
        <v>ELCRESOL_LVIRU00</v>
      </c>
      <c r="W39" t="str">
        <f>$D$2&amp;" "&amp;$H$1&amp;RIGHT(V39,2)&amp;" in "&amp;Intra_areas!C7&amp;" - "&amp;'EB1'!$R$3</f>
        <v>Power Plants Existing00 in LVIRU - Wind onshore energy</v>
      </c>
      <c r="X39" t="s">
        <v>68</v>
      </c>
      <c r="Y39" t="s">
        <v>101</v>
      </c>
      <c r="Z39" t="s">
        <v>116</v>
      </c>
    </row>
    <row r="40" spans="2:26" x14ac:dyDescent="0.2">
      <c r="B40" s="21" t="str">
        <f t="shared" si="3"/>
        <v>ELCRESOL_HARJU00</v>
      </c>
      <c r="C40" s="21" t="str">
        <f>$B$2&amp;RIGHT(Sector_Fuels_ELC!$L$12,3)</f>
        <v>ELCWON</v>
      </c>
      <c r="D40" s="21" t="str">
        <f t="shared" si="0"/>
        <v>ELCC</v>
      </c>
      <c r="G40">
        <v>6.3399999999999998E-2</v>
      </c>
      <c r="I40" s="101">
        <v>1</v>
      </c>
      <c r="K40" s="7">
        <v>1494.4630999999999</v>
      </c>
      <c r="L40" s="88">
        <v>18.701711233400001</v>
      </c>
      <c r="M40" s="88">
        <v>2.0036999999999998</v>
      </c>
      <c r="N40">
        <v>27</v>
      </c>
      <c r="O40" s="21">
        <v>8.76</v>
      </c>
      <c r="P40">
        <v>0.4</v>
      </c>
      <c r="T40" s="94" t="s">
        <v>102</v>
      </c>
      <c r="V40" t="str">
        <f>$B$2&amp;$E$5&amp;$H$2&amp;RIGHT(Sector_Fuels_ELC!$L$14,3)&amp;"_"&amp;Intra_areas!C8&amp;"00"</f>
        <v>ELCRESOL_HARJU00</v>
      </c>
      <c r="W40" t="str">
        <f>$D$2&amp;" "&amp;$H$1&amp;RIGHT(V40,2)&amp;" in "&amp;Intra_areas!C8&amp;" - "&amp;'EB1'!$R$3</f>
        <v>Power Plants Existing00 in HARJU - Wind onshore energy</v>
      </c>
      <c r="X40" t="s">
        <v>68</v>
      </c>
      <c r="Y40" t="s">
        <v>101</v>
      </c>
      <c r="Z40" t="s">
        <v>116</v>
      </c>
    </row>
    <row r="41" spans="2:26" x14ac:dyDescent="0.2">
      <c r="B41" s="21" t="str">
        <f t="shared" si="3"/>
        <v>ELCRESOL_LAANE00</v>
      </c>
      <c r="C41" s="21" t="str">
        <f>$B$2&amp;RIGHT(Sector_Fuels_ELC!$L$12,3)</f>
        <v>ELCWON</v>
      </c>
      <c r="D41" s="21" t="str">
        <f t="shared" si="0"/>
        <v>ELCC</v>
      </c>
      <c r="G41">
        <v>0.06</v>
      </c>
      <c r="I41" s="101">
        <v>1</v>
      </c>
      <c r="K41" s="7">
        <v>1494.4630999999999</v>
      </c>
      <c r="L41" s="88">
        <v>18.701711233400001</v>
      </c>
      <c r="M41" s="88">
        <v>2.0036999999999998</v>
      </c>
      <c r="N41">
        <v>27</v>
      </c>
      <c r="O41" s="21">
        <v>8.76</v>
      </c>
      <c r="P41">
        <v>0.4</v>
      </c>
      <c r="T41" s="94" t="s">
        <v>102</v>
      </c>
      <c r="V41" t="str">
        <f>$B$2&amp;$E$5&amp;$H$2&amp;RIGHT(Sector_Fuels_ELC!$L$14,3)&amp;"_"&amp;Intra_areas!C9&amp;"00"</f>
        <v>ELCRESOL_LAANE00</v>
      </c>
      <c r="W41" t="str">
        <f>$D$2&amp;" "&amp;$H$1&amp;RIGHT(V41,2)&amp;" in "&amp;Intra_areas!C9&amp;" - "&amp;'EB1'!$R$3</f>
        <v>Power Plants Existing00 in LAANE - Wind onshore energy</v>
      </c>
      <c r="X41" t="s">
        <v>68</v>
      </c>
      <c r="Y41" t="s">
        <v>101</v>
      </c>
      <c r="Z41" t="s">
        <v>116</v>
      </c>
    </row>
    <row r="42" spans="2:26" x14ac:dyDescent="0.2">
      <c r="B42" s="21" t="str">
        <f t="shared" si="3"/>
        <v>ELCRESOL_IVIRU00</v>
      </c>
      <c r="C42" s="21" t="str">
        <f>$B$2&amp;RIGHT(Sector_Fuels_ELC!$L$12,3)</f>
        <v>ELCWON</v>
      </c>
      <c r="D42" s="21" t="str">
        <f t="shared" si="0"/>
        <v>ELCC</v>
      </c>
      <c r="G42">
        <v>8.2000000000000003E-2</v>
      </c>
      <c r="I42" s="101">
        <v>1</v>
      </c>
      <c r="K42" s="7">
        <v>1494.4630999999999</v>
      </c>
      <c r="L42" s="88">
        <v>18.701711233400001</v>
      </c>
      <c r="M42" s="88">
        <v>2.0036999999999998</v>
      </c>
      <c r="N42">
        <v>27</v>
      </c>
      <c r="O42" s="21">
        <v>8.76</v>
      </c>
      <c r="P42">
        <v>0.4</v>
      </c>
      <c r="T42" s="94" t="s">
        <v>102</v>
      </c>
      <c r="V42" t="str">
        <f>$B$2&amp;$E$5&amp;$H$2&amp;RIGHT(Sector_Fuels_ELC!$L$14,3)&amp;"_"&amp;Intra_areas!C10&amp;"00"</f>
        <v>ELCRESOL_IVIRU00</v>
      </c>
      <c r="W42" t="str">
        <f>$D$2&amp;" "&amp;$H$1&amp;RIGHT(V42,2)&amp;" in "&amp;Intra_areas!C10&amp;" - "&amp;'EB1'!$R$3</f>
        <v>Power Plants Existing00 in IVIRU - Wind onshore energy</v>
      </c>
      <c r="X42" t="s">
        <v>68</v>
      </c>
      <c r="Y42" t="s">
        <v>101</v>
      </c>
      <c r="Z42" t="s">
        <v>116</v>
      </c>
    </row>
    <row r="43" spans="2:26" x14ac:dyDescent="0.2">
      <c r="B43" s="21" t="str">
        <f t="shared" si="3"/>
        <v>ELCRESOL_PARNU00</v>
      </c>
      <c r="C43" s="21" t="str">
        <f>$B$2&amp;RIGHT(Sector_Fuels_ELC!$L$12,3)</f>
        <v>ELCWON</v>
      </c>
      <c r="D43" s="21" t="str">
        <f t="shared" si="0"/>
        <v>ELCC</v>
      </c>
      <c r="G43">
        <v>0.1036</v>
      </c>
      <c r="I43" s="101">
        <v>1</v>
      </c>
      <c r="K43" s="7">
        <v>1494.4630999999999</v>
      </c>
      <c r="L43" s="88">
        <v>18.701711233400001</v>
      </c>
      <c r="M43" s="88">
        <v>2.0036999999999998</v>
      </c>
      <c r="N43">
        <v>27</v>
      </c>
      <c r="O43" s="21">
        <v>8.76</v>
      </c>
      <c r="P43">
        <v>0.4</v>
      </c>
      <c r="T43" s="94" t="s">
        <v>102</v>
      </c>
      <c r="V43" t="str">
        <f>$B$2&amp;$E$5&amp;$H$2&amp;RIGHT(Sector_Fuels_ELC!$L$14,3)&amp;"_"&amp;Intra_areas!C11&amp;"00"</f>
        <v>ELCRESOL_PARNU00</v>
      </c>
      <c r="W43" t="str">
        <f>$D$2&amp;" "&amp;$H$1&amp;RIGHT(V43,2)&amp;" in "&amp;Intra_areas!C11&amp;" - "&amp;'EB1'!$R$3</f>
        <v>Power Plants Existing00 in PARNU - Wind onshore energy</v>
      </c>
      <c r="X43" t="s">
        <v>68</v>
      </c>
      <c r="Y43" t="s">
        <v>101</v>
      </c>
      <c r="Z43" t="s">
        <v>116</v>
      </c>
    </row>
    <row r="65536" spans="19:19" x14ac:dyDescent="0.2">
      <c r="S65536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146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138</v>
      </c>
      <c r="C5" s="33"/>
    </row>
    <row r="6" spans="2:10" ht="13.5" thickBot="1" x14ac:dyDescent="0.2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3.5" thickBot="1" x14ac:dyDescent="0.25">
      <c r="B7" s="14" t="s">
        <v>76</v>
      </c>
      <c r="C7" s="14" t="s">
        <v>142</v>
      </c>
      <c r="D7" s="14" t="s">
        <v>142</v>
      </c>
      <c r="E7" s="14" t="s">
        <v>142</v>
      </c>
      <c r="F7" s="76"/>
      <c r="G7" s="76"/>
      <c r="H7" s="1"/>
    </row>
    <row r="8" spans="2:10" x14ac:dyDescent="0.2">
      <c r="B8" s="21" t="str">
        <f>ELC!$V$6</f>
        <v>ELCCO2</v>
      </c>
      <c r="C8" s="65">
        <v>95</v>
      </c>
      <c r="D8" s="65">
        <v>56.1</v>
      </c>
      <c r="E8" s="65">
        <v>76.400000000000006</v>
      </c>
      <c r="F8" s="77"/>
      <c r="G8" s="77"/>
      <c r="H8" s="1"/>
    </row>
    <row r="23" spans="2:3" x14ac:dyDescent="0.2">
      <c r="B23" s="44"/>
      <c r="C23" s="1" t="s">
        <v>143</v>
      </c>
    </row>
    <row r="24" spans="2:3" x14ac:dyDescent="0.2">
      <c r="B24" s="60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EB1</vt:lpstr>
      <vt:lpstr>Intra_areas</vt:lpstr>
      <vt:lpstr>Sector_Fuels_ELC</vt:lpstr>
      <vt:lpstr>ELC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2026-09-17T11:35:21Z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