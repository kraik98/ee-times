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2C06CE32-0FDD-4B0C-B379-F906750CAE57}" xr6:coauthVersionLast="47" xr6:coauthVersionMax="47" xr10:uidLastSave="{00000000-0000-0000-0000-000000000000}"/>
  <bookViews>
    <workbookView xWindow="-38520" yWindow="-5220" windowWidth="38640" windowHeight="21120" tabRatio="901" activeTab="3" xr2:uid="{00000000-000D-0000-FFFF-FFFF00000000}"/>
  </bookViews>
  <sheets>
    <sheet name="EB1" sheetId="133" r:id="rId1"/>
    <sheet name="Pri_COA" sheetId="132" r:id="rId2"/>
    <sheet name="Pri_SHL" sheetId="155" r:id="rId3"/>
    <sheet name="Pri_GAS" sheetId="136" r:id="rId4"/>
    <sheet name="Pri_OIL" sheetId="137" r:id="rId5"/>
    <sheet name="Pri_NUC" sheetId="144" r:id="rId6"/>
    <sheet name="Pri_RNW" sheetId="142" r:id="rId7"/>
    <sheet name="Pri_WST" sheetId="154" r:id="rId8"/>
    <sheet name="Pri_PP" sheetId="148" r:id="rId9"/>
    <sheet name="Pri_ELC" sheetId="152" r:id="rId10"/>
    <sheet name="Con_REF" sheetId="147" r:id="rId11"/>
    <sheet name="TOTCO2" sheetId="153" r:id="rId12"/>
  </sheets>
  <externalReferences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52" l="1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B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M11" i="136"/>
  <c r="M15" i="136"/>
  <c r="F2" i="136"/>
  <c r="F10" i="136" s="1"/>
  <c r="E2" i="132"/>
  <c r="E10" i="132" s="1"/>
  <c r="F2" i="132"/>
  <c r="F10" i="132" s="1"/>
  <c r="I11" i="136"/>
  <c r="K13" i="136" s="1"/>
  <c r="D2" i="137"/>
  <c r="C2" i="137"/>
  <c r="I12" i="137"/>
  <c r="K12" i="137" s="1"/>
  <c r="I11" i="137"/>
  <c r="D2" i="136"/>
  <c r="C2" i="136"/>
  <c r="I15" i="136"/>
  <c r="I14" i="136"/>
  <c r="K14" i="136" s="1"/>
  <c r="B14" i="136" s="1"/>
  <c r="I12" i="132"/>
  <c r="I11" i="132"/>
  <c r="D2" i="132"/>
  <c r="C2" i="132"/>
  <c r="K5" i="144"/>
  <c r="J7" i="148"/>
  <c r="C30" i="148"/>
  <c r="D23" i="148"/>
  <c r="F12" i="147"/>
  <c r="B15" i="152" l="1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K11" i="136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M14" i="136"/>
  <c r="N14" i="136"/>
  <c r="N12" i="136"/>
  <c r="N13" i="136"/>
  <c r="E10" i="136"/>
  <c r="N11" i="132"/>
  <c r="M11" i="132"/>
  <c r="M12" i="132"/>
  <c r="B13" i="136"/>
  <c r="L13" i="136"/>
  <c r="L5" i="136"/>
  <c r="L14" i="136"/>
  <c r="K15" i="136"/>
  <c r="L15" i="136" s="1"/>
  <c r="K5" i="136"/>
  <c r="D12" i="136" s="1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B15" i="136"/>
  <c r="L10" i="148"/>
  <c r="M11" i="144"/>
  <c r="K12" i="136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B11" i="136"/>
  <c r="L11" i="136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N11" i="136"/>
  <c r="M5" i="136"/>
  <c r="M12" i="136"/>
  <c r="N15" i="136"/>
  <c r="M13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L12" i="132" l="1"/>
  <c r="D11" i="137"/>
  <c r="K14" i="154"/>
  <c r="K16" i="142"/>
  <c r="B16" i="142"/>
  <c r="B11" i="132"/>
  <c r="L11" i="132"/>
  <c r="D13" i="136"/>
  <c r="C15" i="136"/>
  <c r="D14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B12" i="136"/>
  <c r="L12" i="136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<sst xmlns="http://schemas.openxmlformats.org/spreadsheetml/2006/main" count="741" uniqueCount="172">
  <si>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</si>
  <si>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</si>
  <si>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</si>
  <si>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</si>
  <si>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</si>
  <si>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</si>
  <si>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</si>
  <si>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</si>
  <si>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</si>
  <si>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</si>
  <si>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</si>
  <si>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</si>
  <si>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</si>
  <si>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</si>
  <si>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</si>
  <si>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</si>
  <si>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</si>
  <si>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</si>
  <si>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</si>
  <si>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</si>
  <si>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</si>
  <si>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</si>
  <si>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</si>
  <si>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</si>
  <si>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</si>
  <si>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</si>
  <si>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</si>
  <si>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</si>
  <si>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</si>
  <si>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</si>
  <si>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</si>
  <si>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</si>
  <si>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</si>
  <si>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</si>
  <si>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</si>
  <si>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</si>
  <si>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</si>
  <si>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</si>
  <si>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</si>
  <si>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</si>
  <si>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</si>
  <si>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</si>
  <si>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</si>
  <si>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</si>
  <si>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</si>
  <si>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</si>
  <si>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</si>
  <si>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</si>
  <si>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</si>
  <si>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</si>
  <si>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</si>
  <si>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</si>
  <si>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</si>
  <si>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</si>
  <si>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</si>
  <si>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</si>
  <si>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</si>
  <si>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</si>
  <si>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</si>
  <si>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</si>
  <si>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</si>
  <si>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</si>
  <si>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</si>
  <si>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</si>
  <si>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</si>
  <si>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</si>
  <si>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</si>
  <si>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</si>
  <si>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</si>
  <si>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</si>
  <si>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</si>
  <si>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</si>
  <si>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</si>
  <si>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</si>
  <si>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</si>
  <si>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</si>
  <si>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</si>
  <si>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</si>
  <si>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</si>
  <si>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</si>
  <si>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</si>
  <si>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</si>
  <si>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</si>
  <si>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</si>
  <si>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</si>
  <si>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</si>
  <si>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</si>
  <si>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</si>
  <si>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</si>
  <si>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</si>
  <si>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</si>
  <si>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</si>
  <si>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</si>
  <si>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</si>
  <si>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</si>
  <si>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</si>
  <si>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</si>
  <si>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</si>
  <si>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</si>
  <si>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</si>
  <si>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</si>
  <si>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</si>
  <si>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</si>
  <si>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</si>
  <si>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</si>
  <si>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</si>
  <si>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</si>
  <si>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</si>
  <si>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</si>
  <si>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</si>
  <si>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</si>
  <si>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</si>
  <si>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</si>
  <si>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</si>
  <si>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</si>
  <si>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</si>
  <si>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</si>
  <si>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</si>
  <si>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</si>
  <si>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</si>
  <si>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</si>
  <si>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</si>
  <si>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</si>
  <si>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</si>
  <si>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</si>
  <si>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</si>
  <si>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</si>
  <si>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</si>
  <si>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</si>
  <si>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</si>
  <si>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</si>
  <si>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</si>
  <si>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</si>
  <si>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</si>
  <si>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</si>
  <si>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</si>
  <si>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</si>
  <si>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</si>
  <si>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</si>
  <si>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</si>
  <si>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</si>
  <si>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</si>
  <si>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</si>
  <si>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</si>
  <si>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</si>
  <si>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</si>
  <si>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</si>
  <si>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</si>
  <si>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</si>
  <si>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</si>
  <si>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</si>
  <si>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</si>
  <si>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</si>
  <si>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</si>
  <si>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</si>
  <si>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</si>
  <si>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</si>
  <si>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</si>
  <si>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</si>
  <si>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</si>
  <si>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</si>
  <si>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</si>
  <si>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</si>
  <si>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</si>
  <si>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</si>
  <si>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</si>
  <si>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</si>
  <si>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</si>
  <si>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</si>
  <si>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</si>
  <si>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FLO_COST</t>
  </si>
  <si>
    <t>NCAP_AF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</si>
</sst>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71" formatCode="0.000"/>
  </numFmts>
  <fonts count="27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3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Border="1" applyAlignment="1">
      <alignment horizontal="center" wrapText="1"/>
    </xf>
    <xf numFmtId="2" fontId="4" fillId="14" borderId="0" xfId="0" applyNumberFormat="1" applyFont="1" applyFill="1"/>
    <xf numFmtId="171" fontId="4" fillId="14" borderId="0" xfId="0" applyNumberFormat="1" applyFont="1" applyFill="1"/>
    <xf numFmtId="171" fontId="0" fillId="0" borderId="0" xfId="0" applyNumberFormat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19</xdr:row>
      <xdr:rowOff>0</xdr:rowOff>
    </xdr:from>
    <xdr:to>
      <xdr:col>11</xdr:col>
      <xdr:colOff>2325972</xdr:colOff>
      <xdr:row>24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topLeftCell="I1"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L26" sqref="L2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L43" sqref="L43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1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4"/>
  <sheetViews>
    <sheetView tabSelected="1" zoomScaleNormal="100" workbookViewId="0">
      <selection activeCell="M53" sqref="M53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4.28515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710937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GAS</v>
      </c>
      <c r="L5" s="92" t="str">
        <f>D2</f>
        <v>Natural Gas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MINGAS1</v>
      </c>
      <c r="C11" s="1"/>
      <c r="D11" s="1" t="str">
        <f>$K$5</f>
        <v>GAS</v>
      </c>
      <c r="E11" s="43"/>
      <c r="F11" s="49">
        <v>3.6</v>
      </c>
      <c r="G11" s="45"/>
      <c r="I11" s="92" t="str">
        <f>'EB1'!$B$5</f>
        <v>MIN</v>
      </c>
      <c r="J11" s="96"/>
      <c r="K11" s="96" t="str">
        <f>$I$11&amp;$C$2&amp;1</f>
        <v>MINGAS1</v>
      </c>
      <c r="L11" s="98" t="str">
        <f>"Domestic Supply of "&amp;$D$2&amp; " Step "&amp;RIGHT(K11,1)</f>
        <v>Domestic Supply of Natural Gas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MINGAS2</v>
      </c>
      <c r="C12" s="1"/>
      <c r="D12" s="1" t="str">
        <f>$K$5</f>
        <v>GAS</v>
      </c>
      <c r="E12" s="43"/>
      <c r="F12" s="49">
        <v>4.1399999999999997</v>
      </c>
      <c r="G12" s="45"/>
      <c r="I12" s="96"/>
      <c r="J12" s="96"/>
      <c r="K12" s="96" t="str">
        <f>$I$11&amp;$C$2&amp;2</f>
        <v>MINGAS2</v>
      </c>
      <c r="L12" s="98" t="str">
        <f>"Domestic Supply of "&amp;$D$2&amp; " Step "&amp;RIGHT(K12,1)</f>
        <v>Domestic Supply of Natural Gas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 t="str">
        <f>K13</f>
        <v>MINGAS3</v>
      </c>
      <c r="C13" s="1"/>
      <c r="D13" s="1" t="str">
        <f>$K$5</f>
        <v>GAS</v>
      </c>
      <c r="E13" s="49"/>
      <c r="F13" s="49">
        <v>5.4</v>
      </c>
      <c r="G13" s="43"/>
      <c r="I13" s="96"/>
      <c r="J13" s="96"/>
      <c r="K13" s="96" t="str">
        <f>$I$11&amp;$C$2&amp;3</f>
        <v>MINGAS3</v>
      </c>
      <c r="L13" s="98" t="str">
        <f>"Domestic Supply of "&amp;$D$2&amp; " Step "&amp;RIGHT(K13,1)</f>
        <v>Domestic Supply of Natural Gas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2">
      <c r="B14" s="1" t="str">
        <f>K14</f>
        <v>IMPGAS1</v>
      </c>
      <c r="C14" s="1"/>
      <c r="D14" s="1" t="str">
        <f>$K$5</f>
        <v>GAS</v>
      </c>
      <c r="F14" s="49">
        <v>4.5</v>
      </c>
      <c r="G14" s="45"/>
      <c r="I14" s="96" t="str">
        <f>'EB1'!$B$6</f>
        <v>IMP</v>
      </c>
      <c r="J14" s="96"/>
      <c r="K14" s="96" t="str">
        <f>$I$14&amp;$C$2&amp;1</f>
        <v>IMPGAS1</v>
      </c>
      <c r="L14" s="98" t="str">
        <f>"Import of "&amp;$D$2&amp; " Step "&amp;RIGHT(K14,1)</f>
        <v>Import of Natural Gas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2">
      <c r="B15" s="1" t="str">
        <f>K15</f>
        <v>EXPGAS1</v>
      </c>
      <c r="C15" s="1" t="str">
        <f>$K$5</f>
        <v>GAS</v>
      </c>
      <c r="F15" s="49">
        <v>4.5</v>
      </c>
      <c r="G15" s="45"/>
      <c r="I15" s="96" t="str">
        <f>'EB1'!B7</f>
        <v>EXP</v>
      </c>
      <c r="J15" s="96"/>
      <c r="K15" s="96" t="str">
        <f>$I$15&amp;$C$2&amp;1</f>
        <v>EXPGAS1</v>
      </c>
      <c r="L15" s="98" t="str">
        <f>"Export of "&amp;$D$2&amp; " Step "&amp;RIGHT(K15,1)</f>
        <v>Export of Natural Gas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2">
      <c r="B16" s="1"/>
      <c r="F16" s="51"/>
    </row>
    <row r="22" spans="2:18" x14ac:dyDescent="0.2">
      <c r="B22" s="48"/>
      <c r="C22" s="1" t="s">
        <v>114</v>
      </c>
    </row>
    <row r="23" spans="2:18" s="1" customFormat="1" x14ac:dyDescent="0.2">
      <c r="B23" s="46"/>
      <c r="C23" s="1" t="s">
        <v>115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2:18" x14ac:dyDescent="0.2">
      <c r="H24" s="1"/>
      <c r="R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L24" sqref="L2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J53" sqref="J53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O26" sqref="O26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/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3"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zoomScaleNormal="100" workbookViewId="0">
      <selection activeCell="K28" sqref="K2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170</v>
      </c>
      <c r="F12" s="53" t="s">
        <v>169</v>
      </c>
      <c r="G12" s="99" t="s">
        <v>159</v>
      </c>
      <c r="H12" s="99" t="s">
        <v>171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/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H17" s="51"/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H18" s="51"/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V44" sqref="V44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120" zoomScaleNormal="120" workbookViewId="0">
      <selection activeCell="K51" sqref="K51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EB1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2026-09-21T07:33:21Z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