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67818AE0-98CB-49AB-9A13-5891C522BC49}" xr6:coauthVersionLast="47" xr6:coauthVersionMax="47" xr10:uidLastSave="{00000000-0000-0000-0000-000000000000}"/>
  <bookViews>
    <workbookView xWindow="-110" yWindow="-110" windowWidth="19420" windowHeight="11500" tabRatio="901" activeTab="2" xr2:uid="{00000000-000D-0000-FFFF-FFFF00000000}"/>
  </bookViews>
  <sheets>
    <sheet name="EB1" sheetId="133" r:id="rId1"/>
    <sheet name="Pri_COA" sheetId="132" r:id="rId2"/>
    <sheet name="Pri_SHL" sheetId="155" r:id="rId3"/>
    <sheet name="Pri_GAS" sheetId="136" r:id="rId4"/>
    <sheet name="Pri_OIL" sheetId="137" r:id="rId5"/>
    <sheet name="Pri_NUC" sheetId="144" r:id="rId6"/>
    <sheet name="Pri_RNW" sheetId="142" r:id="rId7"/>
    <sheet name="Pri_WST" sheetId="154" r:id="rId8"/>
    <sheet name="Pri_PP" sheetId="148" r:id="rId9"/>
    <sheet name="Pri_ELC" sheetId="152" r:id="rId10"/>
    <sheet name="Con_REF" sheetId="147" r:id="rId11"/>
    <sheet name="TOTCO2" sheetId="153" r:id="rId12"/>
  </sheets>
  <externalReferences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55" l="1"/>
  <c r="K11" i="155" s="1"/>
  <c r="B11" i="155" s="1"/>
  <c r="G11" i="155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G11" i="136"/>
  <c r="G12" i="136"/>
  <c r="G12" i="137"/>
  <c r="F8" i="133"/>
  <c r="G11" i="137"/>
  <c r="G8" i="133"/>
  <c r="J8" i="133"/>
  <c r="N8" i="133"/>
  <c r="M8" i="133"/>
  <c r="O8" i="133"/>
  <c r="U8" i="133"/>
  <c r="F15" i="152"/>
  <c r="G15" i="132"/>
  <c r="G15" i="136"/>
  <c r="G15" i="137"/>
  <c r="F24" i="148"/>
  <c r="H8" i="133"/>
  <c r="F26" i="148"/>
  <c r="I8" i="133"/>
  <c r="F27" i="148"/>
  <c r="F28" i="148"/>
  <c r="F29" i="148"/>
  <c r="F30" i="148"/>
  <c r="F16" i="152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E15" i="152"/>
  <c r="D2" i="152"/>
  <c r="K16" i="152" s="1"/>
  <c r="C2" i="152"/>
  <c r="D15" i="152" s="1"/>
  <c r="C16" i="152"/>
  <c r="H16" i="152"/>
  <c r="J16" i="152" s="1"/>
  <c r="B16" i="152" s="1"/>
  <c r="H15" i="152"/>
  <c r="J15" i="152" s="1"/>
  <c r="B15" i="152" s="1"/>
  <c r="F2" i="152"/>
  <c r="E2" i="152"/>
  <c r="E23" i="148"/>
  <c r="E30" i="148" s="1"/>
  <c r="E22" i="148"/>
  <c r="E29" i="148"/>
  <c r="E21" i="148"/>
  <c r="E28" i="148"/>
  <c r="E20" i="148"/>
  <c r="E27" i="148" s="1"/>
  <c r="E19" i="148"/>
  <c r="E26" i="148"/>
  <c r="E18" i="148"/>
  <c r="E25" i="148"/>
  <c r="E17" i="148"/>
  <c r="E24" i="148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C2" i="142"/>
  <c r="J5" i="142" s="1"/>
  <c r="D14" i="142" s="1"/>
  <c r="E2" i="137"/>
  <c r="M5" i="137"/>
  <c r="F2" i="137"/>
  <c r="F10" i="137" s="1"/>
  <c r="E2" i="136"/>
  <c r="M11" i="136"/>
  <c r="M15" i="136"/>
  <c r="F2" i="136"/>
  <c r="F10" i="136" s="1"/>
  <c r="E2" i="132"/>
  <c r="M5" i="132"/>
  <c r="F2" i="132"/>
  <c r="F10" i="132" s="1"/>
  <c r="I11" i="137"/>
  <c r="K11" i="137" s="1"/>
  <c r="I11" i="136"/>
  <c r="K13" i="136" s="1"/>
  <c r="I11" i="132"/>
  <c r="K12" i="132" s="1"/>
  <c r="D2" i="137"/>
  <c r="L5" i="137" s="1"/>
  <c r="C2" i="137"/>
  <c r="K5" i="137" s="1"/>
  <c r="I15" i="137"/>
  <c r="K15" i="137" s="1"/>
  <c r="I14" i="137"/>
  <c r="K14" i="137" s="1"/>
  <c r="D2" i="136"/>
  <c r="C2" i="136"/>
  <c r="I15" i="136"/>
  <c r="I14" i="136"/>
  <c r="K14" i="136" s="1"/>
  <c r="B14" i="136" s="1"/>
  <c r="I15" i="132"/>
  <c r="K15" i="132" s="1"/>
  <c r="B15" i="132" s="1"/>
  <c r="I14" i="132"/>
  <c r="D2" i="132"/>
  <c r="L11" i="132" s="1"/>
  <c r="L5" i="132"/>
  <c r="C2" i="132"/>
  <c r="K5" i="132" s="1"/>
  <c r="K11" i="132"/>
  <c r="B11" i="132" s="1"/>
  <c r="K5" i="144"/>
  <c r="G10" i="132"/>
  <c r="J7" i="148"/>
  <c r="M13" i="132"/>
  <c r="E10" i="132"/>
  <c r="C30" i="148"/>
  <c r="N15" i="132"/>
  <c r="D23" i="148"/>
  <c r="G12" i="147"/>
  <c r="F12" i="147"/>
  <c r="D11" i="155" l="1"/>
  <c r="M11" i="155"/>
  <c r="L11" i="155"/>
  <c r="N11" i="155"/>
  <c r="E13" i="154"/>
  <c r="F13" i="154"/>
  <c r="L5" i="154"/>
  <c r="J14" i="154"/>
  <c r="B14" i="154" s="1"/>
  <c r="L14" i="154"/>
  <c r="M14" i="154"/>
  <c r="E14" i="152"/>
  <c r="K13" i="132"/>
  <c r="K11" i="136"/>
  <c r="J11" i="144"/>
  <c r="J16" i="142"/>
  <c r="K14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2" i="137"/>
  <c r="N14" i="137"/>
  <c r="M13" i="137"/>
  <c r="M15" i="137"/>
  <c r="M12" i="137"/>
  <c r="N11" i="137"/>
  <c r="N13" i="137"/>
  <c r="M11" i="137"/>
  <c r="E10" i="137"/>
  <c r="G10" i="137"/>
  <c r="N15" i="137"/>
  <c r="M14" i="136"/>
  <c r="N14" i="136"/>
  <c r="N12" i="136"/>
  <c r="N13" i="136"/>
  <c r="E10" i="136"/>
  <c r="N14" i="132"/>
  <c r="M11" i="132"/>
  <c r="M12" i="132"/>
  <c r="N13" i="132"/>
  <c r="N11" i="132"/>
  <c r="M14" i="132"/>
  <c r="N12" i="132"/>
  <c r="M15" i="132"/>
  <c r="B13" i="136"/>
  <c r="L13" i="136"/>
  <c r="B12" i="132"/>
  <c r="L12" i="132"/>
  <c r="D12" i="137"/>
  <c r="D13" i="137"/>
  <c r="C15" i="137"/>
  <c r="D11" i="137"/>
  <c r="L5" i="136"/>
  <c r="L14" i="136"/>
  <c r="K15" i="136"/>
  <c r="L15" i="136" s="1"/>
  <c r="K5" i="136"/>
  <c r="D12" i="136" s="1"/>
  <c r="L15" i="137"/>
  <c r="B15" i="137"/>
  <c r="B14" i="137"/>
  <c r="L14" i="137"/>
  <c r="B11" i="137"/>
  <c r="L11" i="137"/>
  <c r="L5" i="144"/>
  <c r="L11" i="144"/>
  <c r="V6" i="133"/>
  <c r="K7" i="148"/>
  <c r="J21" i="148"/>
  <c r="J20" i="148"/>
  <c r="B20" i="148" s="1"/>
  <c r="J23" i="148"/>
  <c r="J18" i="148"/>
  <c r="G11" i="132"/>
  <c r="V5" i="133"/>
  <c r="G12" i="132"/>
  <c r="V12" i="133"/>
  <c r="H14" i="133"/>
  <c r="V10" i="133"/>
  <c r="J22" i="148"/>
  <c r="B15" i="136"/>
  <c r="L10" i="148"/>
  <c r="L15" i="132"/>
  <c r="M11" i="144"/>
  <c r="K12" i="136"/>
  <c r="F25" i="148"/>
  <c r="D8" i="133"/>
  <c r="E12" i="147"/>
  <c r="E14" i="133"/>
  <c r="J30" i="148"/>
  <c r="J24" i="148"/>
  <c r="J29" i="148"/>
  <c r="J28" i="148"/>
  <c r="B28" i="148" s="1"/>
  <c r="J26" i="148"/>
  <c r="B26" i="148" s="1"/>
  <c r="D14" i="133"/>
  <c r="B11" i="144"/>
  <c r="K11" i="144"/>
  <c r="F10" i="144"/>
  <c r="B11" i="136"/>
  <c r="L11" i="136"/>
  <c r="M15" i="142"/>
  <c r="M16" i="142"/>
  <c r="L14" i="142"/>
  <c r="M17" i="142"/>
  <c r="L5" i="142"/>
  <c r="L7" i="142"/>
  <c r="V7" i="133"/>
  <c r="S8" i="133"/>
  <c r="E16" i="147"/>
  <c r="F14" i="152"/>
  <c r="L16" i="152"/>
  <c r="J27" i="148"/>
  <c r="E10" i="144"/>
  <c r="D12" i="132"/>
  <c r="D14" i="132"/>
  <c r="D11" i="132"/>
  <c r="E14" i="147"/>
  <c r="J25" i="148"/>
  <c r="L13" i="132"/>
  <c r="B13" i="132"/>
  <c r="L17" i="148"/>
  <c r="K15" i="152"/>
  <c r="L22" i="148"/>
  <c r="L29" i="148"/>
  <c r="D13" i="132"/>
  <c r="D14" i="137"/>
  <c r="D20" i="148"/>
  <c r="K12" i="137"/>
  <c r="K13" i="137"/>
  <c r="G10" i="136"/>
  <c r="N11" i="136"/>
  <c r="M5" i="136"/>
  <c r="M12" i="136"/>
  <c r="N15" i="136"/>
  <c r="M13" i="136"/>
  <c r="D19" i="148"/>
  <c r="C26" i="148"/>
  <c r="E17" i="147"/>
  <c r="T14" i="133"/>
  <c r="V13" i="133"/>
  <c r="L15" i="152"/>
  <c r="C15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G14" i="136"/>
  <c r="O14" i="133"/>
  <c r="J17" i="142"/>
  <c r="J14" i="142"/>
  <c r="B14" i="142" s="1"/>
  <c r="M14" i="137"/>
  <c r="K14" i="154" l="1"/>
  <c r="K16" i="142"/>
  <c r="B16" i="142"/>
  <c r="B14" i="132"/>
  <c r="L14" i="132"/>
  <c r="D13" i="136"/>
  <c r="C15" i="136"/>
  <c r="D14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B12" i="136"/>
  <c r="L12" i="136"/>
  <c r="K19" i="148"/>
  <c r="B22" i="148"/>
  <c r="K22" i="148"/>
  <c r="K20" i="148"/>
  <c r="B13" i="137"/>
  <c r="L13" i="137"/>
  <c r="B12" i="137"/>
  <c r="L12" i="137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<sst xmlns="http://schemas.openxmlformats.org/spreadsheetml/2006/main" count="715" uniqueCount="151">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</sst>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General_)"/>
    <numFmt numFmtId="165" formatCode="\Te\x\t"/>
  </numFmts>
  <fonts count="26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99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19</xdr:row>
      <xdr:rowOff>0</xdr:rowOff>
    </xdr:from>
    <xdr:to>
      <xdr:col>11</xdr:col>
      <xdr:colOff>2325972</xdr:colOff>
      <xdr:row>24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12</xdr:col>
      <xdr:colOff>0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10</xdr:col>
      <xdr:colOff>2486057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7200900" y="6076950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9</xdr:col>
      <xdr:colOff>0</xdr:colOff>
      <xdr:row>5</xdr:row>
      <xdr:rowOff>0</xdr:rowOff>
    </xdr:from>
    <xdr:to>
      <xdr:col>14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topLeftCell="I1"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6"/>
  <sheetViews>
    <sheetView zoomScaleNormal="100" workbookViewId="0">
      <selection sqref="A1:XFD104857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MINCOA1</v>
      </c>
      <c r="C11" s="1"/>
      <c r="D11" s="1" t="str">
        <f>$K$5</f>
        <v>COA</v>
      </c>
      <c r="E11" s="48">
        <v>80000</v>
      </c>
      <c r="F11" s="50">
        <v>2</v>
      </c>
      <c r="G11" s="44">
        <f>'EB1'!$D$5*'EB1'!D21</f>
        <v>3947.949525</v>
      </c>
      <c r="I11" s="92" t="str">
        <f>'EB1'!$B$5</f>
        <v>MIN</v>
      </c>
      <c r="J11" s="96"/>
      <c r="K11" s="96" t="str">
        <f>$I$11&amp;$C$2&amp;1</f>
        <v>MINCOA1</v>
      </c>
      <c r="L11" s="98" t="str">
        <f>"Domestic Supply of "&amp;$D$2&amp; " Step "&amp;RIGHT(K11,1)</f>
        <v>Domestic Supply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MINCOA2</v>
      </c>
      <c r="C12" s="1"/>
      <c r="D12" s="1" t="str">
        <f>$K$5</f>
        <v>COA</v>
      </c>
      <c r="E12" s="48">
        <v>160000</v>
      </c>
      <c r="F12" s="50">
        <v>2.5</v>
      </c>
      <c r="G12" s="44">
        <f>'EB1'!$D$5*'EB1'!D22</f>
        <v>1315.9831750000001</v>
      </c>
      <c r="I12" s="96"/>
      <c r="J12" s="96"/>
      <c r="K12" s="96" t="str">
        <f>$I$11&amp;$C$2&amp;2</f>
        <v>MINCOA2</v>
      </c>
      <c r="L12" s="98" t="str">
        <f>"Domestic Supply of "&amp;$D$2&amp; " Step "&amp;RIGHT(K12,1)</f>
        <v>Domestic Supply of Solid Fuels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 t="str">
        <f>K13</f>
        <v>MINCOA3</v>
      </c>
      <c r="C13" s="1"/>
      <c r="D13" s="1" t="str">
        <f>$K$5</f>
        <v>COA</v>
      </c>
      <c r="E13" s="48">
        <v>3000000</v>
      </c>
      <c r="F13" s="50">
        <v>3</v>
      </c>
      <c r="G13" s="10"/>
      <c r="I13" s="96"/>
      <c r="J13" s="96"/>
      <c r="K13" s="96" t="str">
        <f>$I$11&amp;$C$2&amp;3</f>
        <v>MINCOA3</v>
      </c>
      <c r="L13" s="98" t="str">
        <f>"Domestic Supply of "&amp;$D$2&amp; " Step "&amp;RIGHT(K13,1)</f>
        <v>Domestic Supply of Solid Fuels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2">
      <c r="B14" s="1" t="str">
        <f>K14</f>
        <v>IMPCOA1</v>
      </c>
      <c r="C14" s="1"/>
      <c r="D14" s="1" t="str">
        <f>$K$5</f>
        <v>COA</v>
      </c>
      <c r="E14" s="1"/>
      <c r="F14" s="50">
        <v>2.75</v>
      </c>
      <c r="G14" s="5"/>
      <c r="I14" s="96" t="str">
        <f>'EB1'!$B$6</f>
        <v>IMP</v>
      </c>
      <c r="J14" s="96"/>
      <c r="K14" s="96" t="str">
        <f>$I$14&amp;$C$2&amp;1</f>
        <v>IMPCOA1</v>
      </c>
      <c r="L14" s="98" t="str">
        <f>"Import of "&amp;$D$2&amp; " Step "&amp;RIGHT(K14,1)</f>
        <v>Import of Solid Fuels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2">
      <c r="B15" s="1" t="str">
        <f>K15</f>
        <v>EXPCOA1</v>
      </c>
      <c r="C15" s="1" t="str">
        <f>$K$5</f>
        <v>COA</v>
      </c>
      <c r="D15" s="1"/>
      <c r="F15" s="50">
        <v>2.75</v>
      </c>
      <c r="G15" s="45">
        <f>-'EB1'!D7</f>
        <v>745.59484999999995</v>
      </c>
      <c r="I15" s="96" t="str">
        <f>'EB1'!B7</f>
        <v>EXP</v>
      </c>
      <c r="J15" s="96"/>
      <c r="K15" s="96" t="str">
        <f>$I$15&amp;$C$2&amp;1</f>
        <v>EXPCOA1</v>
      </c>
      <c r="L15" s="98" t="str">
        <f>"Export of "&amp;$D$2&amp; " Step "&amp;RIGHT(K15,1)</f>
        <v>Export of Solid Fuels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R26"/>
  <sheetViews>
    <sheetView tabSelected="1" topLeftCell="A4" workbookViewId="0">
      <selection activeCell="M17" sqref="M17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MINSHL1</v>
      </c>
      <c r="C11" s="1"/>
      <c r="D11" s="1" t="str">
        <f>$K$5</f>
        <v>SHL</v>
      </c>
      <c r="E11" s="48">
        <v>80000</v>
      </c>
      <c r="F11" s="50">
        <v>2</v>
      </c>
      <c r="G11" s="44">
        <f>'EB1'!$D$5*'EB1'!D21</f>
        <v>3947.949525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17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17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17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17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4"/>
  <sheetViews>
    <sheetView zoomScaleNormal="100" workbookViewId="0">
      <selection activeCell="E1" sqref="E1:F6553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4.28515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710937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GAS</v>
      </c>
      <c r="L5" s="92" t="str">
        <f>D2</f>
        <v>Natural Gas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MINGAS1</v>
      </c>
      <c r="C11" s="1"/>
      <c r="D11" s="1" t="str">
        <f>$K$5</f>
        <v>GAS</v>
      </c>
      <c r="E11" s="43">
        <v>15000</v>
      </c>
      <c r="F11" s="49">
        <v>3.6</v>
      </c>
      <c r="G11" s="45">
        <f>'EB1'!$E$5*'EB1'!E21</f>
        <v>1579.8994000000002</v>
      </c>
      <c r="I11" s="92" t="str">
        <f>'EB1'!$B$5</f>
        <v>MIN</v>
      </c>
      <c r="J11" s="96"/>
      <c r="K11" s="96" t="str">
        <f>$I$11&amp;$C$2&amp;1</f>
        <v>MINGAS1</v>
      </c>
      <c r="L11" s="98" t="str">
        <f>"Domestic Supply of "&amp;$D$2&amp; " Step "&amp;RIGHT(K11,1)</f>
        <v>Domestic Supply of Natural Gas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MINGAS2</v>
      </c>
      <c r="C12" s="1"/>
      <c r="D12" s="1" t="str">
        <f>$K$5</f>
        <v>GAS</v>
      </c>
      <c r="E12" s="43">
        <v>20000</v>
      </c>
      <c r="F12" s="49">
        <v>4.1399999999999997</v>
      </c>
      <c r="G12" s="45">
        <f>'EB1'!$E$5*'EB1'!E22</f>
        <v>1579.8994000000002</v>
      </c>
      <c r="I12" s="96"/>
      <c r="J12" s="96"/>
      <c r="K12" s="96" t="str">
        <f>$I$11&amp;$C$2&amp;2</f>
        <v>MINGAS2</v>
      </c>
      <c r="L12" s="98" t="str">
        <f>"Domestic Supply of "&amp;$D$2&amp; " Step "&amp;RIGHT(K12,1)</f>
        <v>Domestic Supply of Natural Gas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 t="str">
        <f>K13</f>
        <v>MINGAS3</v>
      </c>
      <c r="C13" s="1"/>
      <c r="D13" s="1" t="str">
        <f>$K$5</f>
        <v>GAS</v>
      </c>
      <c r="E13" s="49">
        <v>0</v>
      </c>
      <c r="F13" s="49">
        <v>5.4</v>
      </c>
      <c r="G13" s="43">
        <v>0</v>
      </c>
      <c r="I13" s="96"/>
      <c r="J13" s="96"/>
      <c r="K13" s="96" t="str">
        <f>$I$11&amp;$C$2&amp;3</f>
        <v>MINGAS3</v>
      </c>
      <c r="L13" s="98" t="str">
        <f>"Domestic Supply of "&amp;$D$2&amp; " Step "&amp;RIGHT(K13,1)</f>
        <v>Domestic Supply of Natural Gas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2">
      <c r="B14" s="1" t="str">
        <f>K14</f>
        <v>IMPGAS1</v>
      </c>
      <c r="C14" s="1"/>
      <c r="D14" s="1" t="str">
        <f>$K$5</f>
        <v>GAS</v>
      </c>
      <c r="F14" s="49">
        <v>4.5</v>
      </c>
      <c r="G14" s="45">
        <f>'EB1'!E6</f>
        <v>5316.6916000000001</v>
      </c>
      <c r="I14" s="96" t="str">
        <f>'EB1'!$B$6</f>
        <v>IMP</v>
      </c>
      <c r="J14" s="96"/>
      <c r="K14" s="96" t="str">
        <f>$I$14&amp;$C$2&amp;1</f>
        <v>IMPGAS1</v>
      </c>
      <c r="L14" s="98" t="str">
        <f>"Import of "&amp;$D$2&amp; " Step "&amp;RIGHT(K14,1)</f>
        <v>Import of Natural Gas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2">
      <c r="B15" s="1" t="str">
        <f>K15</f>
        <v>EXPGAS1</v>
      </c>
      <c r="C15" s="1" t="str">
        <f>$K$5</f>
        <v>GAS</v>
      </c>
      <c r="F15" s="49">
        <v>4.5</v>
      </c>
      <c r="G15" s="45">
        <f>-'EB1'!E7</f>
        <v>1006.5324000000001</v>
      </c>
      <c r="I15" s="96" t="str">
        <f>'EB1'!B7</f>
        <v>EXP</v>
      </c>
      <c r="J15" s="96"/>
      <c r="K15" s="96" t="str">
        <f>$I$15&amp;$C$2&amp;1</f>
        <v>EXPGAS1</v>
      </c>
      <c r="L15" s="98" t="str">
        <f>"Export of "&amp;$D$2&amp; " Step "&amp;RIGHT(K15,1)</f>
        <v>Export of Natural Gas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2">
      <c r="B16" s="1"/>
      <c r="F16" s="51"/>
    </row>
    <row r="22" spans="2:18" x14ac:dyDescent="0.2">
      <c r="B22" s="48"/>
      <c r="C22" s="1" t="s">
        <v>114</v>
      </c>
    </row>
    <row r="23" spans="2:18" s="1" customFormat="1" x14ac:dyDescent="0.2">
      <c r="B23" s="46"/>
      <c r="C23" s="1" t="s">
        <v>115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2:18" x14ac:dyDescent="0.2">
      <c r="H24" s="1"/>
      <c r="R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4"/>
  <sheetViews>
    <sheetView zoomScaleNormal="100" workbookViewId="0">
      <selection activeCell="E1" sqref="E1:F6553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MINOIL1</v>
      </c>
      <c r="C11" s="1"/>
      <c r="D11" s="1" t="str">
        <f>$K$5</f>
        <v>OIL</v>
      </c>
      <c r="E11" s="38">
        <v>7200</v>
      </c>
      <c r="F11" s="49">
        <v>6.4</v>
      </c>
      <c r="G11" s="45">
        <f>'EB1'!$F$5*'EB1'!F21</f>
        <v>2149.0016000000001</v>
      </c>
      <c r="I11" s="92" t="str">
        <f>'EB1'!$B$5</f>
        <v>MIN</v>
      </c>
      <c r="J11" s="96"/>
      <c r="K11" s="96" t="str">
        <f>$I$11&amp;$C$2&amp;1</f>
        <v>MINOIL1</v>
      </c>
      <c r="L11" s="98" t="str">
        <f>"Domestic Supply of "&amp;$D$2&amp; " Step "&amp;RIGHT(K11,1)</f>
        <v>Domestic Supply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MINOIL2</v>
      </c>
      <c r="C12" s="1"/>
      <c r="D12" s="1" t="str">
        <f>$K$5</f>
        <v>OIL</v>
      </c>
      <c r="E12" s="38">
        <v>1800</v>
      </c>
      <c r="F12" s="49">
        <v>7.3599999999999994</v>
      </c>
      <c r="G12" s="45">
        <f>'EB1'!$F$5*'EB1'!F22</f>
        <v>537.25040000000001</v>
      </c>
      <c r="I12" s="96"/>
      <c r="J12" s="96"/>
      <c r="K12" s="96" t="str">
        <f>$I$11&amp;$C$2&amp;2</f>
        <v>MINOIL2</v>
      </c>
      <c r="L12" s="98" t="str">
        <f>"Domestic Supply of "&amp;$D$2&amp; " Step "&amp;RIGHT(K12,1)</f>
        <v>Domestic Supply of Crude Oil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 t="str">
        <f>K13</f>
        <v>MINOIL3</v>
      </c>
      <c r="C13" s="1"/>
      <c r="D13" s="1" t="str">
        <f>$K$5</f>
        <v>OIL</v>
      </c>
      <c r="E13" s="38">
        <v>1200000</v>
      </c>
      <c r="F13" s="49">
        <v>9.6000000000000014</v>
      </c>
      <c r="G13" s="10"/>
      <c r="I13" s="96"/>
      <c r="J13" s="96"/>
      <c r="K13" s="96" t="str">
        <f>$I$11&amp;$C$2&amp;3</f>
        <v>MINOIL3</v>
      </c>
      <c r="L13" s="98" t="str">
        <f>"Domestic Supply of "&amp;$D$2&amp; " Step "&amp;RIGHT(K13,1)</f>
        <v>Domestic Supply of Crude Oil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2">
      <c r="B14" s="1" t="str">
        <f>K14</f>
        <v>IMPOIL1</v>
      </c>
      <c r="C14" s="1"/>
      <c r="D14" s="1" t="str">
        <f>$K$5</f>
        <v>OIL</v>
      </c>
      <c r="E14" s="38"/>
      <c r="F14" s="49">
        <v>8</v>
      </c>
      <c r="G14" s="10"/>
      <c r="I14" s="96" t="str">
        <f>'EB1'!$B$6</f>
        <v>IMP</v>
      </c>
      <c r="J14" s="96"/>
      <c r="K14" s="96" t="str">
        <f>$I$14&amp;$C$2&amp;1</f>
        <v>IMPOIL1</v>
      </c>
      <c r="L14" s="98" t="str">
        <f>"Import of "&amp;$D$2&amp; " Step "&amp;RIGHT(K14,1)</f>
        <v>Import of Crude Oil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2">
      <c r="B15" s="1" t="str">
        <f>K15</f>
        <v>EXPOIL1</v>
      </c>
      <c r="C15" s="1" t="str">
        <f>$K$5</f>
        <v>OIL</v>
      </c>
      <c r="D15" s="1"/>
      <c r="E15" s="38"/>
      <c r="F15" s="49">
        <v>8</v>
      </c>
      <c r="G15" s="44">
        <f>-'EB1'!F7</f>
        <v>1648.4854999999998</v>
      </c>
      <c r="I15" s="96" t="str">
        <f>'EB1'!B7</f>
        <v>EXP</v>
      </c>
      <c r="J15" s="96"/>
      <c r="K15" s="96" t="str">
        <f>$I$15&amp;$C$2&amp;1</f>
        <v>EXPOIL1</v>
      </c>
      <c r="L15" s="98" t="str">
        <f>"Export of "&amp;$D$2&amp; " Step "&amp;RIGHT(K15,1)</f>
        <v>Export of Crude Oil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2">
      <c r="B16" s="1"/>
      <c r="C16" s="1"/>
      <c r="F16" s="51"/>
    </row>
    <row r="17" spans="2:23" x14ac:dyDescent="0.2">
      <c r="B17" s="1"/>
      <c r="F17" s="51"/>
    </row>
    <row r="18" spans="2:23" x14ac:dyDescent="0.2">
      <c r="T18" s="1"/>
      <c r="U18" s="1"/>
    </row>
    <row r="19" spans="2:23" x14ac:dyDescent="0.2">
      <c r="S19" s="1"/>
      <c r="V19" s="1"/>
      <c r="W19" s="1"/>
    </row>
    <row r="23" spans="2:23" x14ac:dyDescent="0.2">
      <c r="B23" s="48"/>
      <c r="C23" s="1" t="s">
        <v>114</v>
      </c>
    </row>
    <row r="24" spans="2:23" x14ac:dyDescent="0.2">
      <c r="B24" s="46"/>
      <c r="C24" s="1" t="s">
        <v>115</v>
      </c>
      <c r="H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C2" sqref="C2:F2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topLeftCell="A3" workbookViewId="0">
      <selection activeCell="J17" sqref="J17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/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9" zoomScaleNormal="100" workbookViewId="0">
      <selection activeCell="K32" sqref="K32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Pri_OIL!$F$14*1.3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Pri_OIL!$F$14*1.4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Pri_OIL!$F$14*1.1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Pri_OIL!$F$14*1.4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Pri_OIL!$F$14*1.05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Pri_OIL!$F$14*1.05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Pri_OIL!$F$14*1.05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>
        <f>-'EB1'!G$7</f>
        <v>1683.1424999999999</v>
      </c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>
        <f>-'EB1'!H$7</f>
        <v>295.38850000000002</v>
      </c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>
        <f>-'EB1'!I$7</f>
        <v>194.51650000000001</v>
      </c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>
        <f>-'EB1'!J$7</f>
        <v>1500.6420000000001</v>
      </c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>
        <f>-'EB1'!K$7</f>
        <v>400.84</v>
      </c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>
        <f>-'EB1'!L$7</f>
        <v>1239.28</v>
      </c>
      <c r="H29" s="96"/>
      <c r="I29" s="96"/>
      <c r="J29" s="96" t="str">
        <f t="shared" si="8"/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>
        <f>-'EB1'!M$7</f>
        <v>453.036</v>
      </c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S22"/>
  <sheetViews>
    <sheetView zoomScaleNormal="100" workbookViewId="0">
      <selection activeCell="I18" sqref="I1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9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9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9" ht="15.75" x14ac:dyDescent="0.25">
      <c r="C3" s="7"/>
      <c r="D3" s="7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9" ht="24" thickBot="1" x14ac:dyDescent="0.3">
      <c r="C4" s="7"/>
      <c r="D4" s="7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9" ht="15.75" x14ac:dyDescent="0.25">
      <c r="C5" s="7"/>
      <c r="D5" s="7"/>
      <c r="H5" s="1"/>
      <c r="J5" s="1"/>
      <c r="K5" s="1"/>
      <c r="L5" s="1"/>
      <c r="M5" s="1"/>
      <c r="N5" s="1"/>
      <c r="O5" s="1"/>
      <c r="P5" s="1"/>
    </row>
    <row r="6" spans="2:19" ht="15.75" x14ac:dyDescent="0.25">
      <c r="C6" s="7"/>
      <c r="D6" s="7"/>
      <c r="H6" s="1"/>
      <c r="J6" s="1"/>
      <c r="K6" s="1"/>
      <c r="L6" s="1"/>
      <c r="M6" s="1"/>
      <c r="N6" s="1"/>
      <c r="O6" s="1"/>
      <c r="P6" s="1"/>
    </row>
    <row r="11" spans="2:19" x14ac:dyDescent="0.2">
      <c r="D11" s="4" t="s">
        <v>13</v>
      </c>
      <c r="E11" s="4"/>
      <c r="H11" s="91" t="s">
        <v>15</v>
      </c>
      <c r="I11" s="91"/>
      <c r="J11" s="96"/>
      <c r="K11" s="96"/>
      <c r="L11" s="96"/>
      <c r="M11" s="96"/>
      <c r="N11" s="96"/>
      <c r="O11" s="96"/>
      <c r="P11" s="96"/>
    </row>
    <row r="12" spans="2:19" x14ac:dyDescent="0.2">
      <c r="B12" s="3" t="s">
        <v>1</v>
      </c>
      <c r="C12" s="15" t="s">
        <v>5</v>
      </c>
      <c r="D12" s="3" t="s">
        <v>6</v>
      </c>
      <c r="E12" s="53" t="s">
        <v>35</v>
      </c>
      <c r="F12" s="53" t="s">
        <v>72</v>
      </c>
      <c r="H12" s="93" t="s">
        <v>11</v>
      </c>
      <c r="I12" s="94" t="s">
        <v>30</v>
      </c>
      <c r="J12" s="93" t="s">
        <v>1</v>
      </c>
      <c r="K12" s="93" t="s">
        <v>2</v>
      </c>
      <c r="L12" s="93" t="s">
        <v>16</v>
      </c>
      <c r="M12" s="93" t="s">
        <v>17</v>
      </c>
      <c r="N12" s="93" t="s">
        <v>18</v>
      </c>
      <c r="O12" s="93" t="s">
        <v>19</v>
      </c>
      <c r="P12" s="93" t="s">
        <v>20</v>
      </c>
    </row>
    <row r="13" spans="2:19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H13" s="95" t="s">
        <v>38</v>
      </c>
      <c r="I13" s="95" t="s">
        <v>31</v>
      </c>
      <c r="J13" s="95" t="s">
        <v>21</v>
      </c>
      <c r="K13" s="95" t="s">
        <v>22</v>
      </c>
      <c r="L13" s="95" t="s">
        <v>23</v>
      </c>
      <c r="M13" s="95" t="s">
        <v>24</v>
      </c>
      <c r="N13" s="95" t="s">
        <v>43</v>
      </c>
      <c r="O13" s="95" t="s">
        <v>42</v>
      </c>
      <c r="P13" s="95" t="s">
        <v>25</v>
      </c>
    </row>
    <row r="14" spans="2:19" ht="13.5" thickBot="1" x14ac:dyDescent="0.25">
      <c r="B14" s="12" t="s">
        <v>77</v>
      </c>
      <c r="C14" s="11"/>
      <c r="D14" s="11"/>
      <c r="E14" s="11" t="str">
        <f>$F$2&amp;"/"&amp;$E$2</f>
        <v>M€2025/PJ</v>
      </c>
      <c r="F14" s="11" t="str">
        <f>$E$2</f>
        <v>PJ</v>
      </c>
      <c r="H14" s="95" t="s">
        <v>73</v>
      </c>
      <c r="I14" s="95"/>
      <c r="J14" s="95"/>
      <c r="K14" s="95"/>
      <c r="L14" s="95"/>
      <c r="M14" s="95"/>
      <c r="N14" s="95"/>
      <c r="O14" s="95"/>
      <c r="P14" s="95"/>
    </row>
    <row r="15" spans="2:19" x14ac:dyDescent="0.2">
      <c r="B15" s="1" t="str">
        <f>J15</f>
        <v>IMPELC1</v>
      </c>
      <c r="C15" s="1"/>
      <c r="D15" s="1" t="str">
        <f>C2</f>
        <v>ELC</v>
      </c>
      <c r="E15" s="49">
        <f>Pri_GAS!F12*1.3</f>
        <v>5.3819999999999997</v>
      </c>
      <c r="F15" s="44">
        <f>'EB1'!U6</f>
        <v>583.76</v>
      </c>
      <c r="H15" s="96" t="str">
        <f>'EB1'!$B$6</f>
        <v>IMP</v>
      </c>
      <c r="I15" s="96"/>
      <c r="J15" s="96" t="str">
        <f>$H$15&amp;C2&amp;1</f>
        <v>IMPELC1</v>
      </c>
      <c r="K15" s="98" t="str">
        <f>"Import of "&amp;D2&amp; " Step "&amp;RIGHT(J15,1)</f>
        <v>Import of Electricity Step 1</v>
      </c>
      <c r="L15" s="96" t="str">
        <f>$E$2</f>
        <v>PJ</v>
      </c>
      <c r="M15" s="96"/>
      <c r="N15" s="92" t="s">
        <v>92</v>
      </c>
      <c r="O15" s="96"/>
      <c r="P15" s="96"/>
    </row>
    <row r="16" spans="2:19" x14ac:dyDescent="0.2">
      <c r="B16" s="1" t="str">
        <f>J16</f>
        <v>EXPELC1</v>
      </c>
      <c r="C16" s="1" t="str">
        <f>C2</f>
        <v>ELC</v>
      </c>
      <c r="D16" s="1"/>
      <c r="E16" s="49">
        <v>6</v>
      </c>
      <c r="F16" s="44">
        <f>-'EB1'!U$7</f>
        <v>563.40200000000004</v>
      </c>
      <c r="H16" s="96" t="str">
        <f>'EB1'!B7</f>
        <v>EXP</v>
      </c>
      <c r="I16" s="96"/>
      <c r="J16" s="96" t="str">
        <f>$H$16&amp;C2&amp;1</f>
        <v>EXPELC1</v>
      </c>
      <c r="K16" s="98" t="str">
        <f>"Export of "&amp;D2&amp; " Step "&amp;RIGHT(J16,1)</f>
        <v>Export of Electricity Step 1</v>
      </c>
      <c r="L16" s="96" t="str">
        <f>$E$2</f>
        <v>PJ</v>
      </c>
      <c r="M16" s="96"/>
      <c r="N16" s="92" t="s">
        <v>92</v>
      </c>
      <c r="O16" s="96"/>
      <c r="P16" s="96"/>
      <c r="S16" s="1"/>
    </row>
    <row r="21" spans="2:3" x14ac:dyDescent="0.2">
      <c r="B21" s="38"/>
      <c r="C21" s="1" t="s">
        <v>114</v>
      </c>
    </row>
    <row r="22" spans="2:3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G24" sqref="G24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>
        <f>SUM('EB1'!G13:M13)</f>
        <v>15667.368999999999</v>
      </c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120" zoomScaleNormal="120" workbookViewId="0">
      <selection activeCell="H26" sqref="H26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EB1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2026-09-18T07:58:03Z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