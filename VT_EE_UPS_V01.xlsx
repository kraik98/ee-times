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drawings/drawing4.xml" ContentType="application/vnd.openxmlformats-officedocument.drawing+xml"/>
  <Override PartName="/xl/comments3.xml" ContentType="application/vnd.openxmlformats-officedocument.spreadsheetml.comments+xml"/>
  <Override PartName="/xl/drawings/drawing5.xml" ContentType="application/vnd.openxmlformats-officedocument.drawing+xml"/>
  <Override PartName="/xl/comments4.xml" ContentType="application/vnd.openxmlformats-officedocument.spreadsheetml.comments+xml"/>
  <Override PartName="/xl/drawings/drawing6.xml" ContentType="application/vnd.openxmlformats-officedocument.drawing+xml"/>
  <Override PartName="/xl/comments5.xml" ContentType="application/vnd.openxmlformats-officedocument.spreadsheetml.comments+xml"/>
  <Override PartName="/xl/drawings/drawing7.xml" ContentType="application/vnd.openxmlformats-officedocument.drawing+xml"/>
  <Override PartName="/xl/comments6.xml" ContentType="application/vnd.openxmlformats-officedocument.spreadsheetml.comments+xml"/>
  <Override PartName="/xl/drawings/drawing8.xml" ContentType="application/vnd.openxmlformats-officedocument.drawing+xml"/>
  <Override PartName="/xl/comments7.xml" ContentType="application/vnd.openxmlformats-officedocument.spreadsheetml.comments+xml"/>
  <Override PartName="/xl/drawings/drawing9.xml" ContentType="application/vnd.openxmlformats-officedocument.drawing+xml"/>
  <Override PartName="/xl/comments8.xml" ContentType="application/vnd.openxmlformats-officedocument.spreadsheetml.comments+xml"/>
  <Override PartName="/xl/drawings/drawing10.xml" ContentType="application/vnd.openxmlformats-officedocument.drawing+xml"/>
  <Override PartName="/xl/comments9.xml" ContentType="application/vnd.openxmlformats-officedocument.spreadsheetml.comments+xml"/>
  <Override PartName="/xl/drawings/drawing11.xml" ContentType="application/vnd.openxmlformats-officedocument.drawing+xml"/>
  <Override PartName="/xl/comments10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showObjects="placeholders" codeName="ThisWorkbook"/>
  <mc:AlternateContent xmlns:mc="http://schemas.openxmlformats.org/markup-compatibility/2006">
    <mc:Choice Requires="x15">
      <x15ac:absPath xmlns:x15ac="http://schemas.microsoft.com/office/spreadsheetml/2010/11/ac" url="C:\Users\Admin\PycharmProjects\ee-times\"/>
    </mc:Choice>
  </mc:AlternateContent>
  <xr:revisionPtr revIDLastSave="0" documentId="13_ncr:1_{A8534A76-9D18-465B-A1CA-25D85EEDC245}" xr6:coauthVersionLast="47" xr6:coauthVersionMax="47" xr10:uidLastSave="{00000000-0000-0000-0000-000000000000}"/>
  <bookViews>
    <workbookView xWindow="-110" yWindow="-110" windowWidth="19420" windowHeight="11500" tabRatio="901" firstSheet="1" activeTab="11" xr2:uid="{00000000-000D-0000-FFFF-FFFF00000000}"/>
  </bookViews>
  <sheets>
    <sheet name="EB1" sheetId="133" r:id="rId1"/>
    <sheet name="JRC-IDEES2023" sheetId="156" r:id="rId2"/>
    <sheet name="Pri_COA" sheetId="132" r:id="rId3"/>
    <sheet name="Pri_SHL" sheetId="155" r:id="rId4"/>
    <sheet name="Pri_GAS" sheetId="136" r:id="rId5"/>
    <sheet name="Pri_OIL" sheetId="137" r:id="rId6"/>
    <sheet name="Pri_NUC" sheetId="144" r:id="rId7"/>
    <sheet name="Pri_RNW" sheetId="142" r:id="rId8"/>
    <sheet name="Pri_WST" sheetId="154" r:id="rId9"/>
    <sheet name="Pri_PP" sheetId="148" r:id="rId10"/>
    <sheet name="Pri_ELC" sheetId="152" r:id="rId11"/>
    <sheet name="Con_REF" sheetId="147" r:id="rId12"/>
  </sheets>
  <externalReferences>
    <externalReference r:id="rId13"/>
  </externalReferences>
  <definedNames>
    <definedName name="FID_1">[1]AGR_Fuels!$A$2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155" l="1"/>
  <c r="H11" i="136" l="1"/>
  <c r="I11" i="136"/>
  <c r="J11" i="136"/>
  <c r="G11" i="136"/>
  <c r="F14" i="152"/>
  <c r="C18" i="152"/>
  <c r="C17" i="152"/>
  <c r="D16" i="152"/>
  <c r="B17" i="152"/>
  <c r="B18" i="152"/>
  <c r="B16" i="152"/>
  <c r="N16" i="152"/>
  <c r="N17" i="152"/>
  <c r="N18" i="152"/>
  <c r="F11" i="155"/>
  <c r="Z10" i="155"/>
  <c r="W7" i="155"/>
  <c r="G11" i="155"/>
  <c r="X10" i="155"/>
  <c r="C2" i="142"/>
  <c r="J29" i="148"/>
  <c r="I11" i="155" l="1"/>
  <c r="K11" i="155" s="1"/>
  <c r="G10" i="155"/>
  <c r="F10" i="155"/>
  <c r="E10" i="155"/>
  <c r="M5" i="155"/>
  <c r="L5" i="155"/>
  <c r="K5" i="155"/>
  <c r="F2" i="155"/>
  <c r="E2" i="155"/>
  <c r="J5" i="154"/>
  <c r="D14" i="154" s="1"/>
  <c r="F2" i="154"/>
  <c r="E2" i="154"/>
  <c r="K5" i="154"/>
  <c r="H14" i="154"/>
  <c r="G14" i="133"/>
  <c r="J14" i="133"/>
  <c r="K14" i="133"/>
  <c r="L14" i="133"/>
  <c r="U14" i="133"/>
  <c r="V11" i="133"/>
  <c r="S14" i="133"/>
  <c r="F14" i="133"/>
  <c r="M14" i="133"/>
  <c r="N14" i="133"/>
  <c r="E13" i="147"/>
  <c r="I14" i="133"/>
  <c r="E15" i="147"/>
  <c r="E18" i="147"/>
  <c r="F8" i="133"/>
  <c r="G8" i="133"/>
  <c r="J8" i="133"/>
  <c r="N8" i="133"/>
  <c r="M8" i="133"/>
  <c r="O8" i="133"/>
  <c r="U8" i="133"/>
  <c r="H8" i="133"/>
  <c r="I8" i="133"/>
  <c r="E5" i="142"/>
  <c r="E4" i="142"/>
  <c r="E3" i="142"/>
  <c r="E2" i="142"/>
  <c r="D5" i="142"/>
  <c r="K8" i="142"/>
  <c r="D4" i="142"/>
  <c r="K7" i="142"/>
  <c r="D3" i="142"/>
  <c r="K6" i="142" s="1"/>
  <c r="C5" i="142"/>
  <c r="J8" i="142" s="1"/>
  <c r="D17" i="142" s="1"/>
  <c r="C4" i="142"/>
  <c r="J7" i="142"/>
  <c r="D16" i="142"/>
  <c r="C3" i="142"/>
  <c r="J15" i="142" s="1"/>
  <c r="B15" i="142" s="1"/>
  <c r="J6" i="142"/>
  <c r="D15" i="142"/>
  <c r="D2" i="152"/>
  <c r="C2" i="152"/>
  <c r="D15" i="152" s="1"/>
  <c r="J17" i="152"/>
  <c r="J15" i="152"/>
  <c r="F2" i="152"/>
  <c r="E23" i="148"/>
  <c r="E30" i="148" s="1"/>
  <c r="E22" i="148"/>
  <c r="E29" i="148" s="1"/>
  <c r="E21" i="148"/>
  <c r="E28" i="148" s="1"/>
  <c r="E20" i="148"/>
  <c r="E27" i="148" s="1"/>
  <c r="E19" i="148"/>
  <c r="E26" i="148" s="1"/>
  <c r="E18" i="148"/>
  <c r="E25" i="148" s="1"/>
  <c r="E17" i="148"/>
  <c r="E24" i="148" s="1"/>
  <c r="H17" i="148"/>
  <c r="E8" i="148"/>
  <c r="E7" i="148"/>
  <c r="E6" i="148"/>
  <c r="E5" i="148"/>
  <c r="E4" i="148"/>
  <c r="E3" i="148"/>
  <c r="E2" i="148"/>
  <c r="L8" i="148"/>
  <c r="D8" i="148"/>
  <c r="K11" i="148" s="1"/>
  <c r="D7" i="148"/>
  <c r="K10" i="148"/>
  <c r="D6" i="148"/>
  <c r="K9" i="148"/>
  <c r="D5" i="148"/>
  <c r="K8" i="148"/>
  <c r="D4" i="148"/>
  <c r="D3" i="148"/>
  <c r="K6" i="148"/>
  <c r="D2" i="148"/>
  <c r="K5" i="148"/>
  <c r="C8" i="148"/>
  <c r="J11" i="148" s="1"/>
  <c r="C7" i="148"/>
  <c r="C29" i="148" s="1"/>
  <c r="C6" i="148"/>
  <c r="C5" i="148"/>
  <c r="C4" i="148"/>
  <c r="C3" i="148"/>
  <c r="C2" i="148"/>
  <c r="J5" i="148" s="1"/>
  <c r="D17" i="148"/>
  <c r="C24" i="148"/>
  <c r="H24" i="148"/>
  <c r="F2" i="148"/>
  <c r="D18" i="147"/>
  <c r="D17" i="147"/>
  <c r="D16" i="147"/>
  <c r="D15" i="147"/>
  <c r="D14" i="147"/>
  <c r="D13" i="147"/>
  <c r="D12" i="147"/>
  <c r="C12" i="147"/>
  <c r="L12" i="147"/>
  <c r="B12" i="147" s="1"/>
  <c r="M12" i="147"/>
  <c r="O12" i="147"/>
  <c r="E11" i="147"/>
  <c r="G2" i="147"/>
  <c r="E2" i="147"/>
  <c r="N12" i="147"/>
  <c r="D2" i="144"/>
  <c r="C2" i="144"/>
  <c r="J5" i="144" s="1"/>
  <c r="D11" i="144" s="1"/>
  <c r="H11" i="144"/>
  <c r="F2" i="144"/>
  <c r="E2" i="144"/>
  <c r="F2" i="142"/>
  <c r="E13" i="142" s="1"/>
  <c r="H14" i="142"/>
  <c r="D2" i="142"/>
  <c r="K5" i="142"/>
  <c r="J5" i="142"/>
  <c r="D14" i="142" s="1"/>
  <c r="E2" i="137"/>
  <c r="F2" i="137"/>
  <c r="E2" i="136"/>
  <c r="F2" i="136"/>
  <c r="E2" i="132"/>
  <c r="E10" i="132" s="1"/>
  <c r="F2" i="132"/>
  <c r="F10" i="132" s="1"/>
  <c r="D2" i="137"/>
  <c r="C2" i="137"/>
  <c r="I12" i="137"/>
  <c r="K12" i="137" s="1"/>
  <c r="I11" i="137"/>
  <c r="D2" i="136"/>
  <c r="C2" i="136"/>
  <c r="L12" i="136"/>
  <c r="L11" i="136"/>
  <c r="N11" i="136" s="1"/>
  <c r="B11" i="136" s="1"/>
  <c r="I12" i="132"/>
  <c r="I11" i="132"/>
  <c r="D2" i="132"/>
  <c r="C2" i="132"/>
  <c r="K5" i="144"/>
  <c r="J7" i="148"/>
  <c r="C30" i="148"/>
  <c r="D23" i="148"/>
  <c r="F12" i="147"/>
  <c r="I10" i="136" l="1"/>
  <c r="J10" i="136"/>
  <c r="H10" i="136"/>
  <c r="F10" i="136"/>
  <c r="P12" i="136"/>
  <c r="B15" i="152"/>
  <c r="M5" i="132"/>
  <c r="M5" i="137"/>
  <c r="K11" i="137"/>
  <c r="L5" i="137"/>
  <c r="K5" i="137"/>
  <c r="C12" i="137" s="1"/>
  <c r="F10" i="137"/>
  <c r="K5" i="132"/>
  <c r="L5" i="132"/>
  <c r="K12" i="132"/>
  <c r="B12" i="132" s="1"/>
  <c r="G10" i="132"/>
  <c r="N12" i="132"/>
  <c r="D11" i="155"/>
  <c r="M11" i="155"/>
  <c r="L11" i="155"/>
  <c r="N11" i="155"/>
  <c r="E13" i="154"/>
  <c r="F13" i="154"/>
  <c r="L5" i="154"/>
  <c r="J14" i="154"/>
  <c r="B14" i="154" s="1"/>
  <c r="L14" i="154"/>
  <c r="M14" i="154"/>
  <c r="E14" i="152"/>
  <c r="J11" i="144"/>
  <c r="J16" i="142"/>
  <c r="K11" i="132"/>
  <c r="K8" i="133"/>
  <c r="T8" i="133"/>
  <c r="E8" i="133"/>
  <c r="L8" i="133"/>
  <c r="F13" i="142"/>
  <c r="L6" i="142"/>
  <c r="L15" i="142"/>
  <c r="M14" i="142"/>
  <c r="L17" i="142"/>
  <c r="L8" i="142"/>
  <c r="L16" i="142"/>
  <c r="L25" i="148"/>
  <c r="L6" i="148"/>
  <c r="L18" i="148"/>
  <c r="F16" i="148"/>
  <c r="L28" i="148"/>
  <c r="L30" i="148"/>
  <c r="L19" i="148"/>
  <c r="L7" i="148"/>
  <c r="L11" i="148"/>
  <c r="D21" i="148"/>
  <c r="C28" i="148"/>
  <c r="J9" i="148"/>
  <c r="J8" i="148"/>
  <c r="C27" i="148"/>
  <c r="D18" i="148"/>
  <c r="C25" i="148"/>
  <c r="J6" i="148"/>
  <c r="N11" i="137"/>
  <c r="M12" i="137"/>
  <c r="E10" i="137"/>
  <c r="G10" i="137"/>
  <c r="N12" i="137"/>
  <c r="P11" i="136"/>
  <c r="Q11" i="136"/>
  <c r="E10" i="136"/>
  <c r="N11" i="132"/>
  <c r="M11" i="132"/>
  <c r="M12" i="132"/>
  <c r="O5" i="136"/>
  <c r="O11" i="136"/>
  <c r="N12" i="136"/>
  <c r="O12" i="136" s="1"/>
  <c r="N5" i="136"/>
  <c r="L12" i="137"/>
  <c r="B12" i="137"/>
  <c r="B11" i="137"/>
  <c r="L11" i="137"/>
  <c r="L5" i="144"/>
  <c r="L11" i="144"/>
  <c r="V6" i="133"/>
  <c r="K7" i="148"/>
  <c r="J21" i="148"/>
  <c r="J20" i="148"/>
  <c r="B20" i="148" s="1"/>
  <c r="J23" i="148"/>
  <c r="J18" i="148"/>
  <c r="V5" i="133"/>
  <c r="V12" i="133"/>
  <c r="H14" i="133"/>
  <c r="V10" i="133"/>
  <c r="J22" i="148"/>
  <c r="L10" i="148"/>
  <c r="M11" i="144"/>
  <c r="D8" i="133"/>
  <c r="E12" i="147"/>
  <c r="E14" i="133"/>
  <c r="J30" i="148"/>
  <c r="J24" i="148"/>
  <c r="J28" i="148"/>
  <c r="B28" i="148" s="1"/>
  <c r="J26" i="148"/>
  <c r="B26" i="148" s="1"/>
  <c r="D14" i="133"/>
  <c r="B11" i="144"/>
  <c r="K11" i="144"/>
  <c r="F10" i="144"/>
  <c r="M15" i="142"/>
  <c r="M16" i="142"/>
  <c r="L14" i="142"/>
  <c r="M17" i="142"/>
  <c r="L5" i="142"/>
  <c r="L7" i="142"/>
  <c r="V7" i="133"/>
  <c r="S8" i="133"/>
  <c r="E16" i="147"/>
  <c r="J27" i="148"/>
  <c r="E10" i="144"/>
  <c r="D11" i="132"/>
  <c r="E14" i="147"/>
  <c r="J25" i="148"/>
  <c r="L17" i="148"/>
  <c r="L22" i="148"/>
  <c r="L29" i="148"/>
  <c r="D20" i="148"/>
  <c r="G10" i="136"/>
  <c r="P5" i="136"/>
  <c r="Q12" i="136"/>
  <c r="D19" i="148"/>
  <c r="C26" i="148"/>
  <c r="E17" i="147"/>
  <c r="T14" i="133"/>
  <c r="V13" i="133"/>
  <c r="N15" i="152"/>
  <c r="C12" i="132"/>
  <c r="J10" i="148"/>
  <c r="D22" i="148"/>
  <c r="L26" i="148"/>
  <c r="L27" i="148"/>
  <c r="L5" i="148"/>
  <c r="L20" i="148"/>
  <c r="E16" i="148"/>
  <c r="L23" i="148"/>
  <c r="L9" i="148"/>
  <c r="J19" i="148"/>
  <c r="B19" i="148" s="1"/>
  <c r="K15" i="142"/>
  <c r="L21" i="148"/>
  <c r="L24" i="148"/>
  <c r="J17" i="148"/>
  <c r="O14" i="133"/>
  <c r="J17" i="142"/>
  <c r="J14" i="142"/>
  <c r="B14" i="142" s="1"/>
  <c r="M11" i="137"/>
  <c r="B12" i="136" l="1"/>
  <c r="L12" i="132"/>
  <c r="D11" i="137"/>
  <c r="K14" i="154"/>
  <c r="K16" i="142"/>
  <c r="B16" i="142"/>
  <c r="B11" i="132"/>
  <c r="L11" i="132"/>
  <c r="C12" i="136"/>
  <c r="D11" i="136"/>
  <c r="B21" i="148"/>
  <c r="K21" i="148"/>
  <c r="B27" i="148"/>
  <c r="K27" i="148"/>
  <c r="B17" i="148"/>
  <c r="K17" i="148"/>
  <c r="K23" i="148"/>
  <c r="B23" i="148"/>
  <c r="K29" i="148"/>
  <c r="B29" i="148"/>
  <c r="V14" i="133"/>
  <c r="K28" i="148"/>
  <c r="K26" i="148"/>
  <c r="B24" i="148"/>
  <c r="K24" i="148"/>
  <c r="K14" i="142"/>
  <c r="K25" i="148"/>
  <c r="B25" i="148"/>
  <c r="K18" i="148"/>
  <c r="B18" i="148"/>
  <c r="B17" i="142"/>
  <c r="K17" i="142"/>
  <c r="B30" i="148"/>
  <c r="K30" i="148"/>
  <c r="K19" i="148"/>
  <c r="B22" i="148"/>
  <c r="K22" i="148"/>
  <c r="K20" i="148"/>
  <c r="V8" i="13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Amit Kanudia</author>
    <author>Maurizio Gargiulo</author>
  </authors>
  <commentList>
    <comment ref="I3" authorId="0" shapeId="0" xr:uid="{00000000-0006-0000-0200-000001000000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N3" authorId="1" shapeId="0" xr:uid="{00000000-0006-0000-0200-000002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LO for PRODUCTION &gt;= CONSUMPTION (Default)
FX for PRODUCTION = CONSUMPTION
UP for PRODUCTION &lt;= CONSUMPTION</t>
        </r>
      </text>
    </comment>
    <comment ref="O3" authorId="2" shapeId="0" xr:uid="{00000000-0006-0000-0200-000003000000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P3" authorId="2" shapeId="0" xr:uid="{00000000-0006-0000-0200-000004000000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Q3" authorId="2" shapeId="0" xr:uid="{00000000-0006-0000-0200-000005000000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  <comment ref="G8" authorId="2" shapeId="0" xr:uid="{00000000-0006-0000-0200-000006000000}">
      <text>
        <r>
          <rPr>
            <sz val="8"/>
            <color indexed="81"/>
            <rFont val="Tahoma"/>
            <family val="2"/>
          </rPr>
          <t xml:space="preserve">This attribute is used to assign a production limit.
By defautt is defined like fixed share
</t>
        </r>
        <r>
          <rPr>
            <b/>
            <sz val="8"/>
            <color indexed="81"/>
            <rFont val="Tahoma"/>
            <family val="2"/>
          </rPr>
          <t>UP</t>
        </r>
        <r>
          <rPr>
            <sz val="8"/>
            <color indexed="81"/>
            <rFont val="Tahoma"/>
            <family val="2"/>
          </rPr>
          <t xml:space="preserve">
If you want fix or lower add
</t>
        </r>
        <r>
          <rPr>
            <b/>
            <sz val="8"/>
            <color indexed="81"/>
            <rFont val="Tahoma"/>
            <family val="2"/>
          </rPr>
          <t>~FX
~LO</t>
        </r>
      </text>
    </comment>
    <comment ref="O8" authorId="2" shapeId="0" xr:uid="{00000000-0006-0000-0200-000007000000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P8" authorId="1" shapeId="0" xr:uid="{00000000-0006-0000-0200-000008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Needed only when one wants to override the VEDA default assignment
</t>
        </r>
      </text>
    </comment>
    <comment ref="Q8" authorId="2" shapeId="0" xr:uid="{00000000-0006-0000-0200-000009000000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I9" authorId="2" shapeId="0" xr:uid="{00000000-0006-0000-0200-00000A000000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sz val="8"/>
            <color indexed="81"/>
            <rFont val="Tahoma"/>
            <family val="2"/>
          </rPr>
          <t>inherited. 
Allowed Process Sets</t>
        </r>
        <r>
          <rPr>
            <b/>
            <sz val="8"/>
            <color indexed="81"/>
            <rFont val="Tahoma"/>
            <family val="2"/>
          </rPr>
          <t xml:space="preserve">
ELE </t>
        </r>
        <r>
          <rPr>
            <sz val="8"/>
            <color indexed="81"/>
            <rFont val="Tahoma"/>
            <family val="2"/>
          </rPr>
          <t>(Thermal Electric Power Plant)</t>
        </r>
        <r>
          <rPr>
            <b/>
            <sz val="8"/>
            <color indexed="81"/>
            <rFont val="Tahoma"/>
            <family val="2"/>
          </rPr>
          <t xml:space="preserve">
CHP </t>
        </r>
        <r>
          <rPr>
            <sz val="8"/>
            <color indexed="81"/>
            <rFont val="Tahoma"/>
            <family val="2"/>
          </rPr>
          <t>(Combined Heat and Power)</t>
        </r>
        <r>
          <rPr>
            <b/>
            <sz val="8"/>
            <color indexed="81"/>
            <rFont val="Tahoma"/>
            <family val="2"/>
          </rPr>
          <t xml:space="preserve">
STGTSS </t>
        </r>
        <r>
          <rPr>
            <sz val="8"/>
            <color indexed="81"/>
            <rFont val="Tahoma"/>
            <family val="2"/>
          </rPr>
          <t>(Pump Storage)</t>
        </r>
        <r>
          <rPr>
            <b/>
            <sz val="8"/>
            <color indexed="81"/>
            <rFont val="Tahoma"/>
            <family val="2"/>
          </rPr>
          <t xml:space="preserve">
STGIPS</t>
        </r>
        <r>
          <rPr>
            <sz val="8"/>
            <color indexed="81"/>
            <rFont val="Tahoma"/>
            <family val="2"/>
          </rPr>
          <t xml:space="preserve"> (Pump Storage IP)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 </t>
        </r>
        <r>
          <rPr>
            <sz val="8"/>
            <color indexed="81"/>
            <rFont val="Tahoma"/>
            <family val="2"/>
          </rPr>
          <t xml:space="preserve">(Import)
</t>
        </r>
        <r>
          <rPr>
            <b/>
            <sz val="8"/>
            <color indexed="81"/>
            <rFont val="Tahoma"/>
            <family val="2"/>
          </rPr>
          <t>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 </t>
        </r>
        <r>
          <rPr>
            <sz val="8"/>
            <color indexed="81"/>
            <rFont val="Tahoma"/>
            <family val="2"/>
          </rPr>
          <t>(Mining Process)</t>
        </r>
        <r>
          <rPr>
            <b/>
            <sz val="8"/>
            <color indexed="81"/>
            <rFont val="Tahoma"/>
            <family val="2"/>
          </rPr>
          <t xml:space="preserve">
RNW </t>
        </r>
        <r>
          <rPr>
            <sz val="8"/>
            <color indexed="81"/>
            <rFont val="Tahoma"/>
            <family val="2"/>
          </rPr>
          <t>(Renewable Technology)</t>
        </r>
        <r>
          <rPr>
            <b/>
            <sz val="8"/>
            <color indexed="81"/>
            <rFont val="Tahoma"/>
            <family val="2"/>
          </rPr>
          <t xml:space="preserve">
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Amit Kanudia</author>
    <author>Maurizio Gargiulo</author>
    <author>tc={74C5EBC3-3855-49CC-8D22-3D22C507954E}</author>
    <author>tc={E7A732B9-0C2E-4BF2-B78D-5BF686EADA9E}</author>
  </authors>
  <commentList>
    <comment ref="I3" authorId="0" shapeId="0" xr:uid="{6E5AAF16-2CE6-41AB-BA3C-4DE6B7722EEA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N3" authorId="1" shapeId="0" xr:uid="{3A89BF14-1AA1-45F3-BDED-6249010FDD5E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LO for PRODUCTION &gt;= CONSUMPTION (Default)
FX for PRODUCTION = CONSUMPTION
UP for PRODUCTION &lt;= CONSUMPTION</t>
        </r>
      </text>
    </comment>
    <comment ref="O3" authorId="2" shapeId="0" xr:uid="{FB886340-144D-4C62-AB3A-A15CA5C2864A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P3" authorId="2" shapeId="0" xr:uid="{D39CE53F-7A91-4F31-9D34-05ABE23C82BF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Q3" authorId="2" shapeId="0" xr:uid="{B6DE0534-753E-485E-8BC1-FB6BC7641C5A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  <comment ref="G8" authorId="2" shapeId="0" xr:uid="{53F91157-6257-4036-B35B-0530B4653DD8}">
      <text>
        <r>
          <rPr>
            <sz val="8"/>
            <color indexed="81"/>
            <rFont val="Tahoma"/>
            <family val="2"/>
          </rPr>
          <t xml:space="preserve">This attribute is used to assign a production limit.
By defautt is defined like fixed share
</t>
        </r>
        <r>
          <rPr>
            <b/>
            <sz val="8"/>
            <color indexed="81"/>
            <rFont val="Tahoma"/>
            <family val="2"/>
          </rPr>
          <t>UP</t>
        </r>
        <r>
          <rPr>
            <sz val="8"/>
            <color indexed="81"/>
            <rFont val="Tahoma"/>
            <family val="2"/>
          </rPr>
          <t xml:space="preserve">
If you want fix or lower add
</t>
        </r>
        <r>
          <rPr>
            <b/>
            <sz val="8"/>
            <color indexed="81"/>
            <rFont val="Tahoma"/>
            <family val="2"/>
          </rPr>
          <t>~FX
~LO</t>
        </r>
      </text>
    </comment>
    <comment ref="O8" authorId="2" shapeId="0" xr:uid="{E7A3C6B2-E544-4993-AB49-8754FD5D8271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P8" authorId="1" shapeId="0" xr:uid="{28F6B2CE-1748-43B2-98AD-66D26544C248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Needed only when one wants to override the VEDA default assignment
</t>
        </r>
      </text>
    </comment>
    <comment ref="Q8" authorId="2" shapeId="0" xr:uid="{1AA2C278-4E33-4FBC-BC14-66D91A522033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I9" authorId="2" shapeId="0" xr:uid="{6A10A7F1-00D2-44A3-AEB9-DA14FEC79166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sz val="8"/>
            <color indexed="81"/>
            <rFont val="Tahoma"/>
            <family val="2"/>
          </rPr>
          <t>inherited. 
Allowed Process Sets</t>
        </r>
        <r>
          <rPr>
            <b/>
            <sz val="8"/>
            <color indexed="81"/>
            <rFont val="Tahoma"/>
            <family val="2"/>
          </rPr>
          <t xml:space="preserve">
ELE </t>
        </r>
        <r>
          <rPr>
            <sz val="8"/>
            <color indexed="81"/>
            <rFont val="Tahoma"/>
            <family val="2"/>
          </rPr>
          <t>(Thermal Electric Power Plant)</t>
        </r>
        <r>
          <rPr>
            <b/>
            <sz val="8"/>
            <color indexed="81"/>
            <rFont val="Tahoma"/>
            <family val="2"/>
          </rPr>
          <t xml:space="preserve">
CHP </t>
        </r>
        <r>
          <rPr>
            <sz val="8"/>
            <color indexed="81"/>
            <rFont val="Tahoma"/>
            <family val="2"/>
          </rPr>
          <t>(Combined Heat and Power)</t>
        </r>
        <r>
          <rPr>
            <b/>
            <sz val="8"/>
            <color indexed="81"/>
            <rFont val="Tahoma"/>
            <family val="2"/>
          </rPr>
          <t xml:space="preserve">
STGTSS </t>
        </r>
        <r>
          <rPr>
            <sz val="8"/>
            <color indexed="81"/>
            <rFont val="Tahoma"/>
            <family val="2"/>
          </rPr>
          <t>(Pump Storage)</t>
        </r>
        <r>
          <rPr>
            <b/>
            <sz val="8"/>
            <color indexed="81"/>
            <rFont val="Tahoma"/>
            <family val="2"/>
          </rPr>
          <t xml:space="preserve">
STGIPS</t>
        </r>
        <r>
          <rPr>
            <sz val="8"/>
            <color indexed="81"/>
            <rFont val="Tahoma"/>
            <family val="2"/>
          </rPr>
          <t xml:space="preserve"> (Pump Storage IP)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 </t>
        </r>
        <r>
          <rPr>
            <sz val="8"/>
            <color indexed="81"/>
            <rFont val="Tahoma"/>
            <family val="2"/>
          </rPr>
          <t xml:space="preserve">(Import)
</t>
        </r>
        <r>
          <rPr>
            <b/>
            <sz val="8"/>
            <color indexed="81"/>
            <rFont val="Tahoma"/>
            <family val="2"/>
          </rPr>
          <t>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 </t>
        </r>
        <r>
          <rPr>
            <sz val="8"/>
            <color indexed="81"/>
            <rFont val="Tahoma"/>
            <family val="2"/>
          </rPr>
          <t>(Mining Process)</t>
        </r>
        <r>
          <rPr>
            <b/>
            <sz val="8"/>
            <color indexed="81"/>
            <rFont val="Tahoma"/>
            <family val="2"/>
          </rPr>
          <t xml:space="preserve">
RNW </t>
        </r>
        <r>
          <rPr>
            <sz val="8"/>
            <color indexed="81"/>
            <rFont val="Tahoma"/>
            <family val="2"/>
          </rPr>
          <t>(Renewable Technology)</t>
        </r>
        <r>
          <rPr>
            <b/>
            <sz val="8"/>
            <color indexed="81"/>
            <rFont val="Tahoma"/>
            <family val="2"/>
          </rPr>
          <t xml:space="preserve">
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  <comment ref="W10" authorId="3" shapeId="0" xr:uid="{74C5EBC3-3855-49CC-8D22-3D22C507954E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https://news.err.ee/1609986120/vkg-overtakes-enefit-as-estonia-s-largest-oil-shale-miner</t>
      </text>
    </comment>
    <comment ref="Y10" authorId="4" shapeId="0" xr:uid="{E7A732B9-0C2E-4BF2-B78D-5BF686EADA9E}">
      <text>
        <t>[Threaded comment]
Your version of Excel allows you to read this threaded comment; however, any edits to it will get removed if the file is opened in a newer version of Excel. Learn more: https://go.microsoft.com/fwlink/?linkid=870924
Comment:
    Approx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Amit Kanudia</author>
    <author>Maurizio Gargiulo</author>
  </authors>
  <commentList>
    <comment ref="L3" authorId="0" shapeId="0" xr:uid="{00000000-0006-0000-0300-000001000000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Q3" authorId="1" shapeId="0" xr:uid="{00000000-0006-0000-0300-000002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LO for PRODUCTION &gt;= CONSUMPTION (Default)
FX for PRODUCTION = CONSUMPTION
UP for PRODUCTION &lt;= CONSUMPTION</t>
        </r>
      </text>
    </comment>
    <comment ref="R3" authorId="2" shapeId="0" xr:uid="{00000000-0006-0000-0300-000003000000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S3" authorId="2" shapeId="0" xr:uid="{00000000-0006-0000-0300-000004000000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T3" authorId="2" shapeId="0" xr:uid="{00000000-0006-0000-0300-000005000000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  <comment ref="G8" authorId="2" shapeId="0" xr:uid="{00000000-0006-0000-0300-000006000000}">
      <text>
        <r>
          <rPr>
            <sz val="8"/>
            <color indexed="81"/>
            <rFont val="Tahoma"/>
            <family val="2"/>
          </rPr>
          <t xml:space="preserve">This attribute is used to assign a production limit.
By defautt is defined like fixed share
</t>
        </r>
        <r>
          <rPr>
            <b/>
            <sz val="8"/>
            <color indexed="81"/>
            <rFont val="Tahoma"/>
            <family val="2"/>
          </rPr>
          <t>UP</t>
        </r>
        <r>
          <rPr>
            <sz val="8"/>
            <color indexed="81"/>
            <rFont val="Tahoma"/>
            <family val="2"/>
          </rPr>
          <t xml:space="preserve">
If you want fix or lower add
</t>
        </r>
        <r>
          <rPr>
            <b/>
            <sz val="8"/>
            <color indexed="81"/>
            <rFont val="Tahoma"/>
            <family val="2"/>
          </rPr>
          <t>~FX
~LO</t>
        </r>
      </text>
    </comment>
    <comment ref="R8" authorId="2" shapeId="0" xr:uid="{00000000-0006-0000-0300-000007000000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S8" authorId="1" shapeId="0" xr:uid="{00000000-0006-0000-0300-000008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Needed only when one wants to override the VEDA default assignment
</t>
        </r>
      </text>
    </comment>
    <comment ref="T8" authorId="2" shapeId="0" xr:uid="{00000000-0006-0000-0300-000009000000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L9" authorId="2" shapeId="0" xr:uid="{00000000-0006-0000-0300-00000A000000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sz val="8"/>
            <color indexed="81"/>
            <rFont val="Tahoma"/>
            <family val="2"/>
          </rPr>
          <t>inherited. 
Allowed Process Sets</t>
        </r>
        <r>
          <rPr>
            <b/>
            <sz val="8"/>
            <color indexed="81"/>
            <rFont val="Tahoma"/>
            <family val="2"/>
          </rPr>
          <t xml:space="preserve">
ELE </t>
        </r>
        <r>
          <rPr>
            <sz val="8"/>
            <color indexed="81"/>
            <rFont val="Tahoma"/>
            <family val="2"/>
          </rPr>
          <t>(Thermal Electric Power Plant)</t>
        </r>
        <r>
          <rPr>
            <b/>
            <sz val="8"/>
            <color indexed="81"/>
            <rFont val="Tahoma"/>
            <family val="2"/>
          </rPr>
          <t xml:space="preserve">
CHP </t>
        </r>
        <r>
          <rPr>
            <sz val="8"/>
            <color indexed="81"/>
            <rFont val="Tahoma"/>
            <family val="2"/>
          </rPr>
          <t>(Combined Heat and Power)</t>
        </r>
        <r>
          <rPr>
            <b/>
            <sz val="8"/>
            <color indexed="81"/>
            <rFont val="Tahoma"/>
            <family val="2"/>
          </rPr>
          <t xml:space="preserve">
STGTSS </t>
        </r>
        <r>
          <rPr>
            <sz val="8"/>
            <color indexed="81"/>
            <rFont val="Tahoma"/>
            <family val="2"/>
          </rPr>
          <t>(Pump Storage)</t>
        </r>
        <r>
          <rPr>
            <b/>
            <sz val="8"/>
            <color indexed="81"/>
            <rFont val="Tahoma"/>
            <family val="2"/>
          </rPr>
          <t xml:space="preserve">
STGIPS</t>
        </r>
        <r>
          <rPr>
            <sz val="8"/>
            <color indexed="81"/>
            <rFont val="Tahoma"/>
            <family val="2"/>
          </rPr>
          <t xml:space="preserve"> (Pump Storage IP)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 </t>
        </r>
        <r>
          <rPr>
            <sz val="8"/>
            <color indexed="81"/>
            <rFont val="Tahoma"/>
            <family val="2"/>
          </rPr>
          <t xml:space="preserve">(Import)
</t>
        </r>
        <r>
          <rPr>
            <b/>
            <sz val="8"/>
            <color indexed="81"/>
            <rFont val="Tahoma"/>
            <family val="2"/>
          </rPr>
          <t>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 </t>
        </r>
        <r>
          <rPr>
            <sz val="8"/>
            <color indexed="81"/>
            <rFont val="Tahoma"/>
            <family val="2"/>
          </rPr>
          <t>(Mining Process)</t>
        </r>
        <r>
          <rPr>
            <b/>
            <sz val="8"/>
            <color indexed="81"/>
            <rFont val="Tahoma"/>
            <family val="2"/>
          </rPr>
          <t xml:space="preserve">
RNW </t>
        </r>
        <r>
          <rPr>
            <sz val="8"/>
            <color indexed="81"/>
            <rFont val="Tahoma"/>
            <family val="2"/>
          </rPr>
          <t>(Renewable Technology)</t>
        </r>
        <r>
          <rPr>
            <b/>
            <sz val="8"/>
            <color indexed="81"/>
            <rFont val="Tahoma"/>
            <family val="2"/>
          </rPr>
          <t xml:space="preserve">
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Amit Kanudia</author>
    <author>Maurizio Gargiulo</author>
  </authors>
  <commentList>
    <comment ref="I3" authorId="0" shapeId="0" xr:uid="{00000000-0006-0000-0400-000001000000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N3" authorId="1" shapeId="0" xr:uid="{00000000-0006-0000-0400-000002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LO for PRODUCTION &gt;= CONSUMPTION (Default)
FX for PRODUCTION = CONSUMPTION
UP for PRODUCTION &lt;= CONSUMPTION</t>
        </r>
      </text>
    </comment>
    <comment ref="O3" authorId="2" shapeId="0" xr:uid="{00000000-0006-0000-0400-000003000000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P3" authorId="2" shapeId="0" xr:uid="{00000000-0006-0000-0400-000004000000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Q3" authorId="2" shapeId="0" xr:uid="{00000000-0006-0000-0400-000005000000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  <comment ref="G8" authorId="2" shapeId="0" xr:uid="{00000000-0006-0000-0400-000006000000}">
      <text>
        <r>
          <rPr>
            <sz val="8"/>
            <color indexed="81"/>
            <rFont val="Tahoma"/>
            <family val="2"/>
          </rPr>
          <t xml:space="preserve">This attribute is used to assign a production limit.
By defautt is defined like fixed share
</t>
        </r>
        <r>
          <rPr>
            <b/>
            <sz val="8"/>
            <color indexed="81"/>
            <rFont val="Tahoma"/>
            <family val="2"/>
          </rPr>
          <t>UP</t>
        </r>
        <r>
          <rPr>
            <sz val="8"/>
            <color indexed="81"/>
            <rFont val="Tahoma"/>
            <family val="2"/>
          </rPr>
          <t xml:space="preserve">
If you want fix or lower add
</t>
        </r>
        <r>
          <rPr>
            <b/>
            <sz val="8"/>
            <color indexed="81"/>
            <rFont val="Tahoma"/>
            <family val="2"/>
          </rPr>
          <t>~FX
~LO</t>
        </r>
      </text>
    </comment>
    <comment ref="O8" authorId="2" shapeId="0" xr:uid="{00000000-0006-0000-0400-000007000000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P8" authorId="1" shapeId="0" xr:uid="{00000000-0006-0000-0400-000008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Needed only when one wants to override the VEDA default assignment
</t>
        </r>
      </text>
    </comment>
    <comment ref="Q8" authorId="2" shapeId="0" xr:uid="{00000000-0006-0000-0400-000009000000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I9" authorId="2" shapeId="0" xr:uid="{00000000-0006-0000-0400-00000A000000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sz val="8"/>
            <color indexed="81"/>
            <rFont val="Tahoma"/>
            <family val="2"/>
          </rPr>
          <t>inherited. 
Allowed Process Sets</t>
        </r>
        <r>
          <rPr>
            <b/>
            <sz val="8"/>
            <color indexed="81"/>
            <rFont val="Tahoma"/>
            <family val="2"/>
          </rPr>
          <t xml:space="preserve">
ELE </t>
        </r>
        <r>
          <rPr>
            <sz val="8"/>
            <color indexed="81"/>
            <rFont val="Tahoma"/>
            <family val="2"/>
          </rPr>
          <t>(Thermal Electric Power Plant)</t>
        </r>
        <r>
          <rPr>
            <b/>
            <sz val="8"/>
            <color indexed="81"/>
            <rFont val="Tahoma"/>
            <family val="2"/>
          </rPr>
          <t xml:space="preserve">
CHP </t>
        </r>
        <r>
          <rPr>
            <sz val="8"/>
            <color indexed="81"/>
            <rFont val="Tahoma"/>
            <family val="2"/>
          </rPr>
          <t>(Combined Heat and Power)</t>
        </r>
        <r>
          <rPr>
            <b/>
            <sz val="8"/>
            <color indexed="81"/>
            <rFont val="Tahoma"/>
            <family val="2"/>
          </rPr>
          <t xml:space="preserve">
STGTSS </t>
        </r>
        <r>
          <rPr>
            <sz val="8"/>
            <color indexed="81"/>
            <rFont val="Tahoma"/>
            <family val="2"/>
          </rPr>
          <t>(Pump Storage)</t>
        </r>
        <r>
          <rPr>
            <b/>
            <sz val="8"/>
            <color indexed="81"/>
            <rFont val="Tahoma"/>
            <family val="2"/>
          </rPr>
          <t xml:space="preserve">
STGIPS</t>
        </r>
        <r>
          <rPr>
            <sz val="8"/>
            <color indexed="81"/>
            <rFont val="Tahoma"/>
            <family val="2"/>
          </rPr>
          <t xml:space="preserve"> (Pump Storage IP)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 </t>
        </r>
        <r>
          <rPr>
            <sz val="8"/>
            <color indexed="81"/>
            <rFont val="Tahoma"/>
            <family val="2"/>
          </rPr>
          <t xml:space="preserve">(Import)
</t>
        </r>
        <r>
          <rPr>
            <b/>
            <sz val="8"/>
            <color indexed="81"/>
            <rFont val="Tahoma"/>
            <family val="2"/>
          </rPr>
          <t>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 </t>
        </r>
        <r>
          <rPr>
            <sz val="8"/>
            <color indexed="81"/>
            <rFont val="Tahoma"/>
            <family val="2"/>
          </rPr>
          <t>(Mining Process)</t>
        </r>
        <r>
          <rPr>
            <b/>
            <sz val="8"/>
            <color indexed="81"/>
            <rFont val="Tahoma"/>
            <family val="2"/>
          </rPr>
          <t xml:space="preserve">
RNW </t>
        </r>
        <r>
          <rPr>
            <sz val="8"/>
            <color indexed="81"/>
            <rFont val="Tahoma"/>
            <family val="2"/>
          </rPr>
          <t>(Renewable Technology)</t>
        </r>
        <r>
          <rPr>
            <b/>
            <sz val="8"/>
            <color indexed="81"/>
            <rFont val="Tahoma"/>
            <family val="2"/>
          </rPr>
          <t xml:space="preserve">
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Amit Kanudia</author>
    <author>Maurizio Gargiulo</author>
  </authors>
  <commentList>
    <comment ref="H3" authorId="0" shapeId="0" xr:uid="{00000000-0006-0000-0500-000001000000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M3" authorId="1" shapeId="0" xr:uid="{00000000-0006-0000-0500-000002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LO for PRODUCTION &gt;= CONSUMPTION (Default)
FX for PRODUCTION = CONSUMPTION
UP for PRODUCTION &lt;= CONSUMPTION</t>
        </r>
      </text>
    </comment>
    <comment ref="N3" authorId="2" shapeId="0" xr:uid="{00000000-0006-0000-0500-000003000000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O3" authorId="2" shapeId="0" xr:uid="{00000000-0006-0000-0500-000004000000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P3" authorId="2" shapeId="0" xr:uid="{00000000-0006-0000-0500-000005000000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  <comment ref="F8" authorId="2" shapeId="0" xr:uid="{00000000-0006-0000-0500-000006000000}">
      <text>
        <r>
          <rPr>
            <sz val="8"/>
            <color indexed="81"/>
            <rFont val="Tahoma"/>
            <family val="2"/>
          </rPr>
          <t xml:space="preserve">This attribute is used to assign a production limit.
By defautt is defined like fixed share
</t>
        </r>
        <r>
          <rPr>
            <b/>
            <sz val="8"/>
            <color indexed="81"/>
            <rFont val="Tahoma"/>
            <family val="2"/>
          </rPr>
          <t>UP</t>
        </r>
        <r>
          <rPr>
            <sz val="8"/>
            <color indexed="81"/>
            <rFont val="Tahoma"/>
            <family val="2"/>
          </rPr>
          <t xml:space="preserve">
If you want fix or lower add
</t>
        </r>
        <r>
          <rPr>
            <b/>
            <sz val="8"/>
            <color indexed="81"/>
            <rFont val="Tahoma"/>
            <family val="2"/>
          </rPr>
          <t>~FX
~LO</t>
        </r>
      </text>
    </comment>
    <comment ref="N8" authorId="2" shapeId="0" xr:uid="{00000000-0006-0000-0500-000007000000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O8" authorId="1" shapeId="0" xr:uid="{00000000-0006-0000-0500-000008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Needed only when one wants to override the VEDA default assignment
</t>
        </r>
      </text>
    </comment>
    <comment ref="P8" authorId="2" shapeId="0" xr:uid="{00000000-0006-0000-0500-000009000000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H9" authorId="2" shapeId="0" xr:uid="{00000000-0006-0000-0500-00000A000000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sz val="8"/>
            <color indexed="81"/>
            <rFont val="Tahoma"/>
            <family val="2"/>
          </rPr>
          <t>inherited. 
Allowed Process Sets</t>
        </r>
        <r>
          <rPr>
            <b/>
            <sz val="8"/>
            <color indexed="81"/>
            <rFont val="Tahoma"/>
            <family val="2"/>
          </rPr>
          <t xml:space="preserve">
ELE </t>
        </r>
        <r>
          <rPr>
            <sz val="8"/>
            <color indexed="81"/>
            <rFont val="Tahoma"/>
            <family val="2"/>
          </rPr>
          <t>(Thermal Electric Power Plant)</t>
        </r>
        <r>
          <rPr>
            <b/>
            <sz val="8"/>
            <color indexed="81"/>
            <rFont val="Tahoma"/>
            <family val="2"/>
          </rPr>
          <t xml:space="preserve">
CHP </t>
        </r>
        <r>
          <rPr>
            <sz val="8"/>
            <color indexed="81"/>
            <rFont val="Tahoma"/>
            <family val="2"/>
          </rPr>
          <t>(Combined Heat and Power)</t>
        </r>
        <r>
          <rPr>
            <b/>
            <sz val="8"/>
            <color indexed="81"/>
            <rFont val="Tahoma"/>
            <family val="2"/>
          </rPr>
          <t xml:space="preserve">
STGTSS </t>
        </r>
        <r>
          <rPr>
            <sz val="8"/>
            <color indexed="81"/>
            <rFont val="Tahoma"/>
            <family val="2"/>
          </rPr>
          <t>(Pump Storage)</t>
        </r>
        <r>
          <rPr>
            <b/>
            <sz val="8"/>
            <color indexed="81"/>
            <rFont val="Tahoma"/>
            <family val="2"/>
          </rPr>
          <t xml:space="preserve">
STGIPS</t>
        </r>
        <r>
          <rPr>
            <sz val="8"/>
            <color indexed="81"/>
            <rFont val="Tahoma"/>
            <family val="2"/>
          </rPr>
          <t xml:space="preserve"> (Pump Storage IP)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 </t>
        </r>
        <r>
          <rPr>
            <sz val="8"/>
            <color indexed="81"/>
            <rFont val="Tahoma"/>
            <family val="2"/>
          </rPr>
          <t xml:space="preserve">(Import)
</t>
        </r>
        <r>
          <rPr>
            <b/>
            <sz val="8"/>
            <color indexed="81"/>
            <rFont val="Tahoma"/>
            <family val="2"/>
          </rPr>
          <t>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 </t>
        </r>
        <r>
          <rPr>
            <sz val="8"/>
            <color indexed="81"/>
            <rFont val="Tahoma"/>
            <family val="2"/>
          </rPr>
          <t>(Mining Process)</t>
        </r>
        <r>
          <rPr>
            <b/>
            <sz val="8"/>
            <color indexed="81"/>
            <rFont val="Tahoma"/>
            <family val="2"/>
          </rPr>
          <t xml:space="preserve">
RNW </t>
        </r>
        <r>
          <rPr>
            <sz val="8"/>
            <color indexed="81"/>
            <rFont val="Tahoma"/>
            <family val="2"/>
          </rPr>
          <t>(Renewable Technology)</t>
        </r>
        <r>
          <rPr>
            <b/>
            <sz val="8"/>
            <color indexed="81"/>
            <rFont val="Tahoma"/>
            <family val="2"/>
          </rPr>
          <t xml:space="preserve">
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Amit Kanudia</author>
    <author>Maurizio Gargiulo</author>
  </authors>
  <commentList>
    <comment ref="H3" authorId="0" shapeId="0" xr:uid="{00000000-0006-0000-0600-000001000000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M3" authorId="1" shapeId="0" xr:uid="{00000000-0006-0000-0600-000002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LO for PRODUCTION &gt;= CONSUMPTION (Default)
FX for PRODUCTION = CONSUMPTION
UP for PRODUCTION &lt;= CONSUMPTION</t>
        </r>
      </text>
    </comment>
    <comment ref="N3" authorId="2" shapeId="0" xr:uid="{00000000-0006-0000-0600-000003000000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O3" authorId="2" shapeId="0" xr:uid="{00000000-0006-0000-0600-000004000000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P3" authorId="2" shapeId="0" xr:uid="{00000000-0006-0000-0600-000005000000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  <comment ref="F11" authorId="2" shapeId="0" xr:uid="{00000000-0006-0000-0600-000006000000}">
      <text>
        <r>
          <rPr>
            <sz val="8"/>
            <color indexed="81"/>
            <rFont val="Tahoma"/>
            <family val="2"/>
          </rPr>
          <t xml:space="preserve">This attribute is used to assign a production limit.
By defautt is defined like fixed share
</t>
        </r>
        <r>
          <rPr>
            <b/>
            <sz val="8"/>
            <color indexed="81"/>
            <rFont val="Tahoma"/>
            <family val="2"/>
          </rPr>
          <t>UP</t>
        </r>
        <r>
          <rPr>
            <sz val="8"/>
            <color indexed="81"/>
            <rFont val="Tahoma"/>
            <family val="2"/>
          </rPr>
          <t xml:space="preserve">
If you want fix or lower add
</t>
        </r>
        <r>
          <rPr>
            <b/>
            <sz val="8"/>
            <color indexed="81"/>
            <rFont val="Tahoma"/>
            <family val="2"/>
          </rPr>
          <t>~FX
~LO</t>
        </r>
      </text>
    </comment>
    <comment ref="N11" authorId="2" shapeId="0" xr:uid="{00000000-0006-0000-0600-000007000000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O11" authorId="1" shapeId="0" xr:uid="{00000000-0006-0000-0600-000008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Needed only when one wants to override the VEDA default assignment
</t>
        </r>
      </text>
    </comment>
    <comment ref="P11" authorId="2" shapeId="0" xr:uid="{00000000-0006-0000-0600-000009000000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H12" authorId="2" shapeId="0" xr:uid="{00000000-0006-0000-0600-00000A000000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sz val="8"/>
            <color indexed="81"/>
            <rFont val="Tahoma"/>
            <family val="2"/>
          </rPr>
          <t>inherited. 
Allowed Process Sets</t>
        </r>
        <r>
          <rPr>
            <b/>
            <sz val="8"/>
            <color indexed="81"/>
            <rFont val="Tahoma"/>
            <family val="2"/>
          </rPr>
          <t xml:space="preserve">
ELE </t>
        </r>
        <r>
          <rPr>
            <sz val="8"/>
            <color indexed="81"/>
            <rFont val="Tahoma"/>
            <family val="2"/>
          </rPr>
          <t>(Thermal Electric Power Plant)</t>
        </r>
        <r>
          <rPr>
            <b/>
            <sz val="8"/>
            <color indexed="81"/>
            <rFont val="Tahoma"/>
            <family val="2"/>
          </rPr>
          <t xml:space="preserve">
CHP </t>
        </r>
        <r>
          <rPr>
            <sz val="8"/>
            <color indexed="81"/>
            <rFont val="Tahoma"/>
            <family val="2"/>
          </rPr>
          <t>(Combined Heat and Power)</t>
        </r>
        <r>
          <rPr>
            <b/>
            <sz val="8"/>
            <color indexed="81"/>
            <rFont val="Tahoma"/>
            <family val="2"/>
          </rPr>
          <t xml:space="preserve">
STGTSS </t>
        </r>
        <r>
          <rPr>
            <sz val="8"/>
            <color indexed="81"/>
            <rFont val="Tahoma"/>
            <family val="2"/>
          </rPr>
          <t>(Pump Storage)</t>
        </r>
        <r>
          <rPr>
            <b/>
            <sz val="8"/>
            <color indexed="81"/>
            <rFont val="Tahoma"/>
            <family val="2"/>
          </rPr>
          <t xml:space="preserve">
STGIPS</t>
        </r>
        <r>
          <rPr>
            <sz val="8"/>
            <color indexed="81"/>
            <rFont val="Tahoma"/>
            <family val="2"/>
          </rPr>
          <t xml:space="preserve"> (Pump Storage IP)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 </t>
        </r>
        <r>
          <rPr>
            <sz val="8"/>
            <color indexed="81"/>
            <rFont val="Tahoma"/>
            <family val="2"/>
          </rPr>
          <t xml:space="preserve">(Import)
</t>
        </r>
        <r>
          <rPr>
            <b/>
            <sz val="8"/>
            <color indexed="81"/>
            <rFont val="Tahoma"/>
            <family val="2"/>
          </rPr>
          <t>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 </t>
        </r>
        <r>
          <rPr>
            <sz val="8"/>
            <color indexed="81"/>
            <rFont val="Tahoma"/>
            <family val="2"/>
          </rPr>
          <t>(Mining Process)</t>
        </r>
        <r>
          <rPr>
            <b/>
            <sz val="8"/>
            <color indexed="81"/>
            <rFont val="Tahoma"/>
            <family val="2"/>
          </rPr>
          <t xml:space="preserve">
RNW </t>
        </r>
        <r>
          <rPr>
            <sz val="8"/>
            <color indexed="81"/>
            <rFont val="Tahoma"/>
            <family val="2"/>
          </rPr>
          <t>(Renewable Technology)</t>
        </r>
        <r>
          <rPr>
            <b/>
            <sz val="8"/>
            <color indexed="81"/>
            <rFont val="Tahoma"/>
            <family val="2"/>
          </rPr>
          <t xml:space="preserve">
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Amit Kanudia</author>
    <author>Maurizio Gargiulo</author>
  </authors>
  <commentList>
    <comment ref="H3" authorId="0" shapeId="0" xr:uid="{AADBEAA3-E6F3-4CE1-A28A-C747BEAA41D8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M3" authorId="1" shapeId="0" xr:uid="{543E3D84-6848-4D3C-AC9F-778F016F4ABD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LO for PRODUCTION &gt;= CONSUMPTION (Default)
FX for PRODUCTION = CONSUMPTION
UP for PRODUCTION &lt;= CONSUMPTION</t>
        </r>
      </text>
    </comment>
    <comment ref="N3" authorId="2" shapeId="0" xr:uid="{1BFEB9BB-9630-456D-8725-2A5291EAA82A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O3" authorId="2" shapeId="0" xr:uid="{31074542-4650-4DCB-968B-77619C6710C0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P3" authorId="2" shapeId="0" xr:uid="{9F8BD71F-F03C-485E-99B3-41729F117660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  <comment ref="F11" authorId="2" shapeId="0" xr:uid="{9156DFA1-D013-4015-B25A-E36BCBA3942C}">
      <text>
        <r>
          <rPr>
            <sz val="8"/>
            <color indexed="81"/>
            <rFont val="Tahoma"/>
            <family val="2"/>
          </rPr>
          <t xml:space="preserve">This attribute is used to assign a production limit.
By defautt is defined like fixed share
</t>
        </r>
        <r>
          <rPr>
            <b/>
            <sz val="8"/>
            <color indexed="81"/>
            <rFont val="Tahoma"/>
            <family val="2"/>
          </rPr>
          <t>UP</t>
        </r>
        <r>
          <rPr>
            <sz val="8"/>
            <color indexed="81"/>
            <rFont val="Tahoma"/>
            <family val="2"/>
          </rPr>
          <t xml:space="preserve">
If you want fix or lower add
</t>
        </r>
        <r>
          <rPr>
            <b/>
            <sz val="8"/>
            <color indexed="81"/>
            <rFont val="Tahoma"/>
            <family val="2"/>
          </rPr>
          <t>~FX
~LO</t>
        </r>
      </text>
    </comment>
    <comment ref="N11" authorId="2" shapeId="0" xr:uid="{AE1DA64A-C2C2-4C73-87C0-5BD15FFAB317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O11" authorId="1" shapeId="0" xr:uid="{CC86524A-BD05-4FBD-8506-A9A4EADDF177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Needed only when one wants to override the VEDA default assignment
</t>
        </r>
      </text>
    </comment>
    <comment ref="P11" authorId="2" shapeId="0" xr:uid="{3A8578E9-A952-49CC-87CD-8F9BE0958627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H12" authorId="2" shapeId="0" xr:uid="{27936213-2969-42DE-A942-8E3DACA28AF6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sz val="8"/>
            <color indexed="81"/>
            <rFont val="Tahoma"/>
            <family val="2"/>
          </rPr>
          <t>inherited. 
Allowed Process Sets</t>
        </r>
        <r>
          <rPr>
            <b/>
            <sz val="8"/>
            <color indexed="81"/>
            <rFont val="Tahoma"/>
            <family val="2"/>
          </rPr>
          <t xml:space="preserve">
ELE </t>
        </r>
        <r>
          <rPr>
            <sz val="8"/>
            <color indexed="81"/>
            <rFont val="Tahoma"/>
            <family val="2"/>
          </rPr>
          <t>(Thermal Electric Power Plant)</t>
        </r>
        <r>
          <rPr>
            <b/>
            <sz val="8"/>
            <color indexed="81"/>
            <rFont val="Tahoma"/>
            <family val="2"/>
          </rPr>
          <t xml:space="preserve">
CHP </t>
        </r>
        <r>
          <rPr>
            <sz val="8"/>
            <color indexed="81"/>
            <rFont val="Tahoma"/>
            <family val="2"/>
          </rPr>
          <t>(Combined Heat and Power)</t>
        </r>
        <r>
          <rPr>
            <b/>
            <sz val="8"/>
            <color indexed="81"/>
            <rFont val="Tahoma"/>
            <family val="2"/>
          </rPr>
          <t xml:space="preserve">
STGTSS </t>
        </r>
        <r>
          <rPr>
            <sz val="8"/>
            <color indexed="81"/>
            <rFont val="Tahoma"/>
            <family val="2"/>
          </rPr>
          <t>(Pump Storage)</t>
        </r>
        <r>
          <rPr>
            <b/>
            <sz val="8"/>
            <color indexed="81"/>
            <rFont val="Tahoma"/>
            <family val="2"/>
          </rPr>
          <t xml:space="preserve">
STGIPS</t>
        </r>
        <r>
          <rPr>
            <sz val="8"/>
            <color indexed="81"/>
            <rFont val="Tahoma"/>
            <family val="2"/>
          </rPr>
          <t xml:space="preserve"> (Pump Storage IP)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 </t>
        </r>
        <r>
          <rPr>
            <sz val="8"/>
            <color indexed="81"/>
            <rFont val="Tahoma"/>
            <family val="2"/>
          </rPr>
          <t xml:space="preserve">(Import)
</t>
        </r>
        <r>
          <rPr>
            <b/>
            <sz val="8"/>
            <color indexed="81"/>
            <rFont val="Tahoma"/>
            <family val="2"/>
          </rPr>
          <t>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 </t>
        </r>
        <r>
          <rPr>
            <sz val="8"/>
            <color indexed="81"/>
            <rFont val="Tahoma"/>
            <family val="2"/>
          </rPr>
          <t>(Mining Process)</t>
        </r>
        <r>
          <rPr>
            <b/>
            <sz val="8"/>
            <color indexed="81"/>
            <rFont val="Tahoma"/>
            <family val="2"/>
          </rPr>
          <t xml:space="preserve">
RNW </t>
        </r>
        <r>
          <rPr>
            <sz val="8"/>
            <color indexed="81"/>
            <rFont val="Tahoma"/>
            <family val="2"/>
          </rPr>
          <t>(Renewable Technology)</t>
        </r>
        <r>
          <rPr>
            <b/>
            <sz val="8"/>
            <color indexed="81"/>
            <rFont val="Tahoma"/>
            <family val="2"/>
          </rPr>
          <t xml:space="preserve">
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Amit Kanudia</author>
    <author>Maurizio Gargiulo</author>
  </authors>
  <commentList>
    <comment ref="H3" authorId="0" shapeId="0" xr:uid="{00000000-0006-0000-0700-000001000000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M3" authorId="1" shapeId="0" xr:uid="{00000000-0006-0000-0700-000002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LO for PRODUCTION &gt;= CONSUMPTION (Default)
FX for PRODUCTION = CONSUMPTION
UP for PRODUCTION &lt;= CONSUMPTION</t>
        </r>
      </text>
    </comment>
    <comment ref="N3" authorId="2" shapeId="0" xr:uid="{00000000-0006-0000-0700-000003000000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O3" authorId="2" shapeId="0" xr:uid="{00000000-0006-0000-0700-000004000000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P3" authorId="2" shapeId="0" xr:uid="{00000000-0006-0000-0700-000005000000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  <comment ref="F14" authorId="2" shapeId="0" xr:uid="{00000000-0006-0000-0700-000006000000}">
      <text>
        <r>
          <rPr>
            <sz val="8"/>
            <color indexed="81"/>
            <rFont val="Tahoma"/>
            <family val="2"/>
          </rPr>
          <t xml:space="preserve">This attribute is used to assign a production limit.
By defautt is defined like fixed share
</t>
        </r>
        <r>
          <rPr>
            <b/>
            <sz val="8"/>
            <color indexed="81"/>
            <rFont val="Tahoma"/>
            <family val="2"/>
          </rPr>
          <t>UP</t>
        </r>
        <r>
          <rPr>
            <sz val="8"/>
            <color indexed="81"/>
            <rFont val="Tahoma"/>
            <family val="2"/>
          </rPr>
          <t xml:space="preserve">
If you want fix or lower add
</t>
        </r>
        <r>
          <rPr>
            <b/>
            <sz val="8"/>
            <color indexed="81"/>
            <rFont val="Tahoma"/>
            <family val="2"/>
          </rPr>
          <t>~FX
~LO</t>
        </r>
      </text>
    </comment>
    <comment ref="N14" authorId="2" shapeId="0" xr:uid="{00000000-0006-0000-0700-000007000000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O14" authorId="1" shapeId="0" xr:uid="{00000000-0006-0000-0700-000008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Needed only when one wants to override the VEDA default assignment
</t>
        </r>
      </text>
    </comment>
    <comment ref="P14" authorId="2" shapeId="0" xr:uid="{00000000-0006-0000-0700-000009000000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H15" authorId="2" shapeId="0" xr:uid="{00000000-0006-0000-0700-00000A000000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sz val="8"/>
            <color indexed="81"/>
            <rFont val="Tahoma"/>
            <family val="2"/>
          </rPr>
          <t>inherited. 
Allowed Process Sets</t>
        </r>
        <r>
          <rPr>
            <b/>
            <sz val="8"/>
            <color indexed="81"/>
            <rFont val="Tahoma"/>
            <family val="2"/>
          </rPr>
          <t xml:space="preserve">
ELE </t>
        </r>
        <r>
          <rPr>
            <sz val="8"/>
            <color indexed="81"/>
            <rFont val="Tahoma"/>
            <family val="2"/>
          </rPr>
          <t>(Thermal Electric Power Plant)</t>
        </r>
        <r>
          <rPr>
            <b/>
            <sz val="8"/>
            <color indexed="81"/>
            <rFont val="Tahoma"/>
            <family val="2"/>
          </rPr>
          <t xml:space="preserve">
CHP </t>
        </r>
        <r>
          <rPr>
            <sz val="8"/>
            <color indexed="81"/>
            <rFont val="Tahoma"/>
            <family val="2"/>
          </rPr>
          <t>(Combined Heat and Power)</t>
        </r>
        <r>
          <rPr>
            <b/>
            <sz val="8"/>
            <color indexed="81"/>
            <rFont val="Tahoma"/>
            <family val="2"/>
          </rPr>
          <t xml:space="preserve">
STGTSS </t>
        </r>
        <r>
          <rPr>
            <sz val="8"/>
            <color indexed="81"/>
            <rFont val="Tahoma"/>
            <family val="2"/>
          </rPr>
          <t>(Pump Storage)</t>
        </r>
        <r>
          <rPr>
            <b/>
            <sz val="8"/>
            <color indexed="81"/>
            <rFont val="Tahoma"/>
            <family val="2"/>
          </rPr>
          <t xml:space="preserve">
STGIPS</t>
        </r>
        <r>
          <rPr>
            <sz val="8"/>
            <color indexed="81"/>
            <rFont val="Tahoma"/>
            <family val="2"/>
          </rPr>
          <t xml:space="preserve"> (Pump Storage IP)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 </t>
        </r>
        <r>
          <rPr>
            <sz val="8"/>
            <color indexed="81"/>
            <rFont val="Tahoma"/>
            <family val="2"/>
          </rPr>
          <t xml:space="preserve">(Import)
</t>
        </r>
        <r>
          <rPr>
            <b/>
            <sz val="8"/>
            <color indexed="81"/>
            <rFont val="Tahoma"/>
            <family val="2"/>
          </rPr>
          <t>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 </t>
        </r>
        <r>
          <rPr>
            <sz val="8"/>
            <color indexed="81"/>
            <rFont val="Tahoma"/>
            <family val="2"/>
          </rPr>
          <t>(Mining Process)</t>
        </r>
        <r>
          <rPr>
            <b/>
            <sz val="8"/>
            <color indexed="81"/>
            <rFont val="Tahoma"/>
            <family val="2"/>
          </rPr>
          <t xml:space="preserve">
RNW </t>
        </r>
        <r>
          <rPr>
            <sz val="8"/>
            <color indexed="81"/>
            <rFont val="Tahoma"/>
            <family val="2"/>
          </rPr>
          <t>(Renewable Technology)</t>
        </r>
        <r>
          <rPr>
            <b/>
            <sz val="8"/>
            <color indexed="81"/>
            <rFont val="Tahoma"/>
            <family val="2"/>
          </rPr>
          <t xml:space="preserve">
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Amit Kanudia</author>
    <author>Maurizio Gargiulo</author>
  </authors>
  <commentList>
    <comment ref="J3" authorId="0" shapeId="0" xr:uid="{00000000-0006-0000-0800-000001000000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O3" authorId="1" shapeId="0" xr:uid="{00000000-0006-0000-0800-000002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LO for PRODUCTION &gt;= CONSUMPTION (Default)
FX for PRODUCTION = CONSUMPTION
UP for PRODUCTION &lt;= CONSUMPTION</t>
        </r>
      </text>
    </comment>
    <comment ref="P3" authorId="2" shapeId="0" xr:uid="{00000000-0006-0000-0800-000003000000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Q3" authorId="2" shapeId="0" xr:uid="{00000000-0006-0000-0800-000004000000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R3" authorId="2" shapeId="0" xr:uid="{00000000-0006-0000-0800-000005000000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  <comment ref="F12" authorId="2" shapeId="0" xr:uid="{00000000-0006-0000-0800-000006000000}">
      <text>
        <r>
          <rPr>
            <sz val="8"/>
            <color indexed="81"/>
            <rFont val="Tahoma"/>
            <family val="2"/>
          </rPr>
          <t xml:space="preserve">This attribute is used to assign a production limit.
By defautt is defined like fixed share
</t>
        </r>
        <r>
          <rPr>
            <b/>
            <sz val="8"/>
            <color indexed="81"/>
            <rFont val="Tahoma"/>
            <family val="2"/>
          </rPr>
          <t>UP</t>
        </r>
        <r>
          <rPr>
            <sz val="8"/>
            <color indexed="81"/>
            <rFont val="Tahoma"/>
            <family val="2"/>
          </rPr>
          <t xml:space="preserve">
If you want fix or lower add
</t>
        </r>
        <r>
          <rPr>
            <b/>
            <sz val="8"/>
            <color indexed="81"/>
            <rFont val="Tahoma"/>
            <family val="2"/>
          </rPr>
          <t>~FX
~LO</t>
        </r>
      </text>
    </comment>
    <comment ref="P12" authorId="2" shapeId="0" xr:uid="{00000000-0006-0000-0800-000007000000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Q12" authorId="1" shapeId="0" xr:uid="{00000000-0006-0000-0800-000008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Needed only when one wants to override the VEDA default assignment
</t>
        </r>
      </text>
    </comment>
    <comment ref="R12" authorId="2" shapeId="0" xr:uid="{00000000-0006-0000-0800-000009000000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J13" authorId="2" shapeId="0" xr:uid="{00000000-0006-0000-0800-00000A000000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sz val="8"/>
            <color indexed="81"/>
            <rFont val="Tahoma"/>
            <family val="2"/>
          </rPr>
          <t>inherited. 
Allowed Process Sets</t>
        </r>
        <r>
          <rPr>
            <b/>
            <sz val="8"/>
            <color indexed="81"/>
            <rFont val="Tahoma"/>
            <family val="2"/>
          </rPr>
          <t xml:space="preserve">
ELE </t>
        </r>
        <r>
          <rPr>
            <sz val="8"/>
            <color indexed="81"/>
            <rFont val="Tahoma"/>
            <family val="2"/>
          </rPr>
          <t>(Thermal Electric Power Plant)</t>
        </r>
        <r>
          <rPr>
            <b/>
            <sz val="8"/>
            <color indexed="81"/>
            <rFont val="Tahoma"/>
            <family val="2"/>
          </rPr>
          <t xml:space="preserve">
CHP </t>
        </r>
        <r>
          <rPr>
            <sz val="8"/>
            <color indexed="81"/>
            <rFont val="Tahoma"/>
            <family val="2"/>
          </rPr>
          <t>(Combined Heat and Power)</t>
        </r>
        <r>
          <rPr>
            <b/>
            <sz val="8"/>
            <color indexed="81"/>
            <rFont val="Tahoma"/>
            <family val="2"/>
          </rPr>
          <t xml:space="preserve">
STGTSS </t>
        </r>
        <r>
          <rPr>
            <sz val="8"/>
            <color indexed="81"/>
            <rFont val="Tahoma"/>
            <family val="2"/>
          </rPr>
          <t>(Pump Storage)</t>
        </r>
        <r>
          <rPr>
            <b/>
            <sz val="8"/>
            <color indexed="81"/>
            <rFont val="Tahoma"/>
            <family val="2"/>
          </rPr>
          <t xml:space="preserve">
STGIPS</t>
        </r>
        <r>
          <rPr>
            <sz val="8"/>
            <color indexed="81"/>
            <rFont val="Tahoma"/>
            <family val="2"/>
          </rPr>
          <t xml:space="preserve"> (Pump Storage IP)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 </t>
        </r>
        <r>
          <rPr>
            <sz val="8"/>
            <color indexed="81"/>
            <rFont val="Tahoma"/>
            <family val="2"/>
          </rPr>
          <t xml:space="preserve">(Import)
</t>
        </r>
        <r>
          <rPr>
            <b/>
            <sz val="8"/>
            <color indexed="81"/>
            <rFont val="Tahoma"/>
            <family val="2"/>
          </rPr>
          <t>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 </t>
        </r>
        <r>
          <rPr>
            <sz val="8"/>
            <color indexed="81"/>
            <rFont val="Tahoma"/>
            <family val="2"/>
          </rPr>
          <t>(Mining Process)</t>
        </r>
        <r>
          <rPr>
            <b/>
            <sz val="8"/>
            <color indexed="81"/>
            <rFont val="Tahoma"/>
            <family val="2"/>
          </rPr>
          <t xml:space="preserve">
RNW </t>
        </r>
        <r>
          <rPr>
            <sz val="8"/>
            <color indexed="81"/>
            <rFont val="Tahoma"/>
            <family val="2"/>
          </rPr>
          <t>(Renewable Technology)</t>
        </r>
        <r>
          <rPr>
            <b/>
            <sz val="8"/>
            <color indexed="81"/>
            <rFont val="Tahoma"/>
            <family val="2"/>
          </rPr>
          <t xml:space="preserve">
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Amit Kanudia</author>
    <author>Maurizio Gargiulo</author>
  </authors>
  <commentList>
    <comment ref="J3" authorId="0" shapeId="0" xr:uid="{00000000-0006-0000-0900-000001000000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O3" authorId="1" shapeId="0" xr:uid="{00000000-0006-0000-0900-000002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LO for PRODUCTION &gt;= CONSUMPTION (Default)
FX for PRODUCTION = CONSUMPTION
UP for PRODUCTION &lt;= CONSUMPTION</t>
        </r>
      </text>
    </comment>
    <comment ref="P3" authorId="2" shapeId="0" xr:uid="{00000000-0006-0000-0900-000003000000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Q3" authorId="2" shapeId="0" xr:uid="{00000000-0006-0000-0900-000004000000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R3" authorId="2" shapeId="0" xr:uid="{00000000-0006-0000-0900-000005000000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  <comment ref="P9" authorId="2" shapeId="0" xr:uid="{00000000-0006-0000-0900-000006000000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Q9" authorId="1" shapeId="0" xr:uid="{00000000-0006-0000-0900-000007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Needed only when one wants to override the VEDA default assignment
</t>
        </r>
      </text>
    </comment>
    <comment ref="R9" authorId="2" shapeId="0" xr:uid="{00000000-0006-0000-0900-000008000000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J10" authorId="2" shapeId="0" xr:uid="{00000000-0006-0000-0900-000009000000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sz val="8"/>
            <color indexed="81"/>
            <rFont val="Tahoma"/>
            <family val="2"/>
          </rPr>
          <t>inherited. 
Allowed Process Sets</t>
        </r>
        <r>
          <rPr>
            <b/>
            <sz val="8"/>
            <color indexed="81"/>
            <rFont val="Tahoma"/>
            <family val="2"/>
          </rPr>
          <t xml:space="preserve">
ELE </t>
        </r>
        <r>
          <rPr>
            <sz val="8"/>
            <color indexed="81"/>
            <rFont val="Tahoma"/>
            <family val="2"/>
          </rPr>
          <t>(Thermal Electric Power Plant)</t>
        </r>
        <r>
          <rPr>
            <b/>
            <sz val="8"/>
            <color indexed="81"/>
            <rFont val="Tahoma"/>
            <family val="2"/>
          </rPr>
          <t xml:space="preserve">
CHP </t>
        </r>
        <r>
          <rPr>
            <sz val="8"/>
            <color indexed="81"/>
            <rFont val="Tahoma"/>
            <family val="2"/>
          </rPr>
          <t>(Combined Heat and Power)</t>
        </r>
        <r>
          <rPr>
            <b/>
            <sz val="8"/>
            <color indexed="81"/>
            <rFont val="Tahoma"/>
            <family val="2"/>
          </rPr>
          <t xml:space="preserve">
STGTSS </t>
        </r>
        <r>
          <rPr>
            <sz val="8"/>
            <color indexed="81"/>
            <rFont val="Tahoma"/>
            <family val="2"/>
          </rPr>
          <t>(Pump Storage)</t>
        </r>
        <r>
          <rPr>
            <b/>
            <sz val="8"/>
            <color indexed="81"/>
            <rFont val="Tahoma"/>
            <family val="2"/>
          </rPr>
          <t xml:space="preserve">
STGIPS</t>
        </r>
        <r>
          <rPr>
            <sz val="8"/>
            <color indexed="81"/>
            <rFont val="Tahoma"/>
            <family val="2"/>
          </rPr>
          <t xml:space="preserve"> (Pump Storage IP)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 </t>
        </r>
        <r>
          <rPr>
            <sz val="8"/>
            <color indexed="81"/>
            <rFont val="Tahoma"/>
            <family val="2"/>
          </rPr>
          <t xml:space="preserve">(Import)
</t>
        </r>
        <r>
          <rPr>
            <b/>
            <sz val="8"/>
            <color indexed="81"/>
            <rFont val="Tahoma"/>
            <family val="2"/>
          </rPr>
          <t>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 </t>
        </r>
        <r>
          <rPr>
            <sz val="8"/>
            <color indexed="81"/>
            <rFont val="Tahoma"/>
            <family val="2"/>
          </rPr>
          <t>(Mining Process)</t>
        </r>
        <r>
          <rPr>
            <b/>
            <sz val="8"/>
            <color indexed="81"/>
            <rFont val="Tahoma"/>
            <family val="2"/>
          </rPr>
          <t xml:space="preserve">
RNW </t>
        </r>
        <r>
          <rPr>
            <sz val="8"/>
            <color indexed="81"/>
            <rFont val="Tahoma"/>
            <family val="2"/>
          </rPr>
          <t>(Renewable Technology)</t>
        </r>
        <r>
          <rPr>
            <b/>
            <sz val="8"/>
            <color indexed="81"/>
            <rFont val="Tahoma"/>
            <family val="2"/>
          </rPr>
          <t xml:space="preserve">
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</commentList>
</comments>
</file>

<file path=xl/sharedStrings.xml><?xml version="1.0" encoding="utf-8"?>
<sst xmlns="http://schemas.openxmlformats.org/spreadsheetml/2006/main" count="724" uniqueCount="172">
  <si>
    <t>CommName</t>
  </si>
  <si>
    <t>TechName</t>
  </si>
  <si>
    <t>TechDesc</t>
  </si>
  <si>
    <t>CommDesc</t>
  </si>
  <si>
    <t>Unit</t>
  </si>
  <si>
    <t>Comm-IN</t>
  </si>
  <si>
    <t>Comm-OUT</t>
  </si>
  <si>
    <t>Csets</t>
  </si>
  <si>
    <t>LimType</t>
  </si>
  <si>
    <t>CTSLvl</t>
  </si>
  <si>
    <t>PeakTS</t>
  </si>
  <si>
    <t>Sets</t>
  </si>
  <si>
    <t>Ctype</t>
  </si>
  <si>
    <t>~FI_T</t>
  </si>
  <si>
    <t>~FI_Comm</t>
  </si>
  <si>
    <t>~FI_Process</t>
  </si>
  <si>
    <t>Tact</t>
  </si>
  <si>
    <t>Tcap</t>
  </si>
  <si>
    <t>Tslvl</t>
  </si>
  <si>
    <t>PrimaryCG</t>
  </si>
  <si>
    <t>Vintage</t>
  </si>
  <si>
    <t>Technology Name</t>
  </si>
  <si>
    <t>Technology Description</t>
  </si>
  <si>
    <t>Activity Unit</t>
  </si>
  <si>
    <t>Capacity Unit</t>
  </si>
  <si>
    <t>Vintage Tracking</t>
  </si>
  <si>
    <t>Commodity Name</t>
  </si>
  <si>
    <t>Commodity Description</t>
  </si>
  <si>
    <t>Peak Monitoring</t>
  </si>
  <si>
    <t>Electricity Indicator</t>
  </si>
  <si>
    <t>Region</t>
  </si>
  <si>
    <t>Region Name</t>
  </si>
  <si>
    <t>Input Commodity</t>
  </si>
  <si>
    <t>Output Commodity</t>
  </si>
  <si>
    <t>CUM</t>
  </si>
  <si>
    <t>COST</t>
  </si>
  <si>
    <t>Reserves Cumulative Value</t>
  </si>
  <si>
    <t>*Commodity Set Membership</t>
  </si>
  <si>
    <t>*Process Set Membership</t>
  </si>
  <si>
    <t>*Technology Name</t>
  </si>
  <si>
    <t>Sense of the Balance EQN.</t>
  </si>
  <si>
    <t>Timeslice Level</t>
  </si>
  <si>
    <t>Primary Commodity Group</t>
  </si>
  <si>
    <t>TimeSlice level of Process Activity</t>
  </si>
  <si>
    <t>COA</t>
  </si>
  <si>
    <t>GAS</t>
  </si>
  <si>
    <t>OIL</t>
  </si>
  <si>
    <t>NUC</t>
  </si>
  <si>
    <t>SLU</t>
  </si>
  <si>
    <t>HET</t>
  </si>
  <si>
    <t>ELC</t>
  </si>
  <si>
    <t>Solid Fuels</t>
  </si>
  <si>
    <t>Natural Gas</t>
  </si>
  <si>
    <t>Nuclear Energy</t>
  </si>
  <si>
    <t>Industrial Wastes</t>
  </si>
  <si>
    <t>Derived Heat</t>
  </si>
  <si>
    <t>Total</t>
  </si>
  <si>
    <t>PRIMARY</t>
  </si>
  <si>
    <t>MIN</t>
  </si>
  <si>
    <t>Domestic Supply</t>
  </si>
  <si>
    <t>IMP</t>
  </si>
  <si>
    <t>Imports</t>
  </si>
  <si>
    <t>EXP</t>
  </si>
  <si>
    <t>Exports</t>
  </si>
  <si>
    <t>REF</t>
  </si>
  <si>
    <t>NRG</t>
  </si>
  <si>
    <t>Sector Name</t>
  </si>
  <si>
    <t>Commodity</t>
  </si>
  <si>
    <t>Description</t>
  </si>
  <si>
    <t>PJ</t>
  </si>
  <si>
    <t>Default Unit</t>
  </si>
  <si>
    <t>Currency Unit</t>
  </si>
  <si>
    <t>ACT_BND</t>
  </si>
  <si>
    <t>*</t>
  </si>
  <si>
    <t>EFF</t>
  </si>
  <si>
    <t>Electricity</t>
  </si>
  <si>
    <t>Efficiency</t>
  </si>
  <si>
    <t>*Units</t>
  </si>
  <si>
    <t>Annual Production Bound</t>
  </si>
  <si>
    <t>Cost</t>
  </si>
  <si>
    <t>Default Units</t>
  </si>
  <si>
    <t>Currency</t>
  </si>
  <si>
    <t>Activity</t>
  </si>
  <si>
    <t>Existing</t>
  </si>
  <si>
    <t>E</t>
  </si>
  <si>
    <t>Emissions</t>
  </si>
  <si>
    <t>kt</t>
  </si>
  <si>
    <t>PRE</t>
  </si>
  <si>
    <t>Type</t>
  </si>
  <si>
    <t>Domestic Supply Curve Share - Step 1</t>
  </si>
  <si>
    <t>Domestic Supply Curve Share - Step 2</t>
  </si>
  <si>
    <t>Capacity unit</t>
  </si>
  <si>
    <t>DAYNITE</t>
  </si>
  <si>
    <t>DSL</t>
  </si>
  <si>
    <t>KER</t>
  </si>
  <si>
    <t>LPG</t>
  </si>
  <si>
    <t>GSL</t>
  </si>
  <si>
    <t>NAP</t>
  </si>
  <si>
    <t>HFO</t>
  </si>
  <si>
    <t>OPP</t>
  </si>
  <si>
    <t>Heavy Fuel Oil</t>
  </si>
  <si>
    <t>Other Petroleum Products</t>
  </si>
  <si>
    <t>Kerosenes</t>
  </si>
  <si>
    <t>Motor spirit</t>
  </si>
  <si>
    <t>Naphtha</t>
  </si>
  <si>
    <t>Refinery</t>
  </si>
  <si>
    <t>Pja</t>
  </si>
  <si>
    <t>Activity Bound</t>
  </si>
  <si>
    <t>Output Share</t>
  </si>
  <si>
    <t>Share-O~UP</t>
  </si>
  <si>
    <t>NRGI</t>
  </si>
  <si>
    <t>Diesel oil</t>
  </si>
  <si>
    <t>PRI</t>
  </si>
  <si>
    <t>Data used in the template to buld the model</t>
  </si>
  <si>
    <t>User inputs</t>
  </si>
  <si>
    <t>Linked to the Energy Balance</t>
  </si>
  <si>
    <t>TPS</t>
  </si>
  <si>
    <t>Total Primary Supply</t>
  </si>
  <si>
    <t>BIO</t>
  </si>
  <si>
    <t>HYD</t>
  </si>
  <si>
    <t>WIN</t>
  </si>
  <si>
    <t>SOL</t>
  </si>
  <si>
    <t>Biomass</t>
  </si>
  <si>
    <t>Hydro power</t>
  </si>
  <si>
    <t>Wind energy</t>
  </si>
  <si>
    <t>Solar energy</t>
  </si>
  <si>
    <t>REG1</t>
  </si>
  <si>
    <t>CONVERSION</t>
  </si>
  <si>
    <t>ESC</t>
  </si>
  <si>
    <t>Energy Sector Consumption</t>
  </si>
  <si>
    <t>Electricity Plants</t>
  </si>
  <si>
    <t>HPL</t>
  </si>
  <si>
    <t>Heat Plants</t>
  </si>
  <si>
    <t>Petroleum Refineries</t>
  </si>
  <si>
    <t>Total Conversion</t>
  </si>
  <si>
    <t>Crude Oil</t>
  </si>
  <si>
    <t>M€2025</t>
  </si>
  <si>
    <t>MSW</t>
  </si>
  <si>
    <t>Municipal waste</t>
  </si>
  <si>
    <t>SHL</t>
  </si>
  <si>
    <t>Oil shale</t>
  </si>
  <si>
    <t>ktoe2PJ</t>
  </si>
  <si>
    <t>total mined (t)</t>
  </si>
  <si>
    <t>Energy density of oil shale (MJ/kg)</t>
  </si>
  <si>
    <t>Production (PJ)</t>
  </si>
  <si>
    <t>Cost (€/t)</t>
  </si>
  <si>
    <t>Energy density of oil shale (tons/PJ)</t>
  </si>
  <si>
    <t>Cost (M€/PJ)</t>
  </si>
  <si>
    <t>TWh</t>
  </si>
  <si>
    <t>Cap2ACT</t>
  </si>
  <si>
    <t>Import of Electricity from Finland</t>
  </si>
  <si>
    <t>IMPELCFIN</t>
  </si>
  <si>
    <t>IMPELCLV</t>
  </si>
  <si>
    <t>Import of Electricity from Latvia</t>
  </si>
  <si>
    <t>EXPELCFIN</t>
  </si>
  <si>
    <t>Export of Electricity to Finland</t>
  </si>
  <si>
    <t>EXPELCLV</t>
  </si>
  <si>
    <t>Export of Electricity to Latvia</t>
  </si>
  <si>
    <t>GW</t>
  </si>
  <si>
    <t>NCAP_PASTI</t>
  </si>
  <si>
    <t>FLO_COST</t>
  </si>
  <si>
    <t>NCAP_AF</t>
  </si>
  <si>
    <t>ACT_BND~2020</t>
  </si>
  <si>
    <t>ACT_BND~2021</t>
  </si>
  <si>
    <t>ACT_BND~2022</t>
  </si>
  <si>
    <t>ACT_BND~2023</t>
  </si>
  <si>
    <t>ktoe</t>
  </si>
  <si>
    <t>supply</t>
  </si>
  <si>
    <t>import</t>
  </si>
  <si>
    <t>export</t>
  </si>
  <si>
    <t>Natural gas</t>
  </si>
  <si>
    <t>mwh2PJ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</si>
</sst>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General_)"/>
    <numFmt numFmtId="165" formatCode="\Te\x\t"/>
    <numFmt numFmtId="166" formatCode="0.000"/>
  </numFmts>
  <fonts count="27" x14ac:knownFonts="1">
    <font>
      <sz val="10"/>
      <name val="Arial"/>
    </font>
    <font>
      <sz val="10"/>
      <name val="Arial"/>
      <family val="2"/>
      <charset val="186"/>
    </font>
    <font>
      <sz val="10"/>
      <name val="Courier"/>
      <family val="3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12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b/>
      <sz val="9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0"/>
      <color rgb="FFFF0000"/>
      <name val="Arial"/>
      <family val="2"/>
    </font>
    <font>
      <sz val="8"/>
      <color theme="1"/>
      <name val="Arial"/>
      <family val="2"/>
    </font>
    <font>
      <b/>
      <sz val="10"/>
      <color rgb="FFFF0000"/>
      <name val="Arial"/>
      <family val="2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theme="9" tint="-0.249977111117893"/>
      <name val="Arial"/>
      <family val="2"/>
    </font>
    <font>
      <sz val="18"/>
      <color theme="0"/>
      <name val="Calibri"/>
      <family val="2"/>
      <scheme val="minor"/>
    </font>
    <font>
      <b/>
      <sz val="8"/>
      <color rgb="FF050505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5"/>
      </patternFill>
    </fill>
    <fill>
      <patternFill patternType="solid">
        <fgColor rgb="FFF2F2F2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DCF0F5"/>
        <bgColor indexed="64"/>
      </patternFill>
    </fill>
  </fills>
  <borders count="2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7F7F7F"/>
      </right>
      <top style="thin">
        <color indexed="64"/>
      </top>
      <bottom style="thin">
        <color indexed="64"/>
      </bottom>
      <diagonal/>
    </border>
    <border>
      <left/>
      <right style="thin">
        <color rgb="FF7F7F7F"/>
      </right>
      <top style="thin">
        <color indexed="64"/>
      </top>
      <bottom style="thin">
        <color indexed="64"/>
      </bottom>
      <diagonal/>
    </border>
  </borders>
  <cellStyleXfs count="22">
    <xf numFmtId="0" fontId="0" fillId="0" borderId="0"/>
    <xf numFmtId="0" fontId="12" fillId="3" borderId="0" applyNumberFormat="0" applyBorder="0" applyAlignment="0" applyProtection="0"/>
    <xf numFmtId="0" fontId="13" fillId="4" borderId="0" applyNumberFormat="0" applyBorder="0" applyAlignment="0" applyProtection="0"/>
    <xf numFmtId="0" fontId="13" fillId="5" borderId="0" applyNumberFormat="0" applyBorder="0" applyAlignment="0" applyProtection="0"/>
    <xf numFmtId="0" fontId="14" fillId="6" borderId="16" applyNumberFormat="0" applyAlignment="0" applyProtection="0"/>
    <xf numFmtId="43" fontId="12" fillId="0" borderId="0" applyFont="0" applyFill="0" applyBorder="0" applyAlignment="0" applyProtection="0"/>
    <xf numFmtId="0" fontId="15" fillId="7" borderId="0" applyNumberFormat="0" applyBorder="0" applyAlignment="0" applyProtection="0"/>
    <xf numFmtId="0" fontId="16" fillId="8" borderId="16" applyNumberFormat="0" applyAlignment="0" applyProtection="0"/>
    <xf numFmtId="43" fontId="11" fillId="0" borderId="0" applyFont="0" applyFill="0" applyBorder="0" applyAlignment="0" applyProtection="0"/>
    <xf numFmtId="0" fontId="17" fillId="9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12" fillId="0" borderId="0"/>
    <xf numFmtId="0" fontId="4" fillId="0" borderId="0"/>
    <xf numFmtId="0" fontId="2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4" fillId="0" borderId="0"/>
  </cellStyleXfs>
  <cellXfs count="100">
    <xf numFmtId="0" fontId="0" fillId="0" borderId="0" xfId="0"/>
    <xf numFmtId="0" fontId="4" fillId="0" borderId="0" xfId="0" applyFont="1"/>
    <xf numFmtId="0" fontId="5" fillId="0" borderId="0" xfId="0" applyFont="1"/>
    <xf numFmtId="0" fontId="3" fillId="2" borderId="1" xfId="0" applyFont="1" applyFill="1" applyBorder="1" applyAlignment="1">
      <alignment horizontal="left"/>
    </xf>
    <xf numFmtId="0" fontId="5" fillId="0" borderId="0" xfId="12" applyFont="1" applyAlignment="1">
      <alignment horizontal="left"/>
    </xf>
    <xf numFmtId="1" fontId="0" fillId="0" borderId="0" xfId="0" applyNumberFormat="1"/>
    <xf numFmtId="0" fontId="13" fillId="5" borderId="0" xfId="3"/>
    <xf numFmtId="0" fontId="18" fillId="0" borderId="0" xfId="6" applyFont="1" applyFill="1"/>
    <xf numFmtId="0" fontId="19" fillId="0" borderId="0" xfId="0" applyFont="1"/>
    <xf numFmtId="0" fontId="18" fillId="10" borderId="0" xfId="6" applyFont="1" applyFill="1"/>
    <xf numFmtId="1" fontId="4" fillId="0" borderId="0" xfId="0" applyNumberFormat="1" applyFont="1"/>
    <xf numFmtId="0" fontId="20" fillId="3" borderId="2" xfId="1" applyFont="1" applyBorder="1" applyAlignment="1">
      <alignment horizontal="center" wrapText="1"/>
    </xf>
    <xf numFmtId="0" fontId="20" fillId="3" borderId="2" xfId="1" applyFont="1" applyBorder="1" applyAlignment="1">
      <alignment horizontal="left" wrapText="1"/>
    </xf>
    <xf numFmtId="0" fontId="20" fillId="3" borderId="1" xfId="1" applyFont="1" applyBorder="1" applyAlignment="1">
      <alignment horizontal="left" wrapText="1"/>
    </xf>
    <xf numFmtId="0" fontId="3" fillId="2" borderId="1" xfId="12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left"/>
    </xf>
    <xf numFmtId="0" fontId="18" fillId="10" borderId="0" xfId="6" applyFont="1" applyFill="1" applyAlignment="1">
      <alignment wrapText="1"/>
    </xf>
    <xf numFmtId="0" fontId="0" fillId="0" borderId="0" xfId="0" applyAlignment="1">
      <alignment wrapText="1"/>
    </xf>
    <xf numFmtId="0" fontId="21" fillId="0" borderId="0" xfId="0" applyFont="1"/>
    <xf numFmtId="0" fontId="4" fillId="0" borderId="4" xfId="0" applyFont="1" applyBorder="1"/>
    <xf numFmtId="0" fontId="4" fillId="0" borderId="5" xfId="0" applyFont="1" applyBorder="1"/>
    <xf numFmtId="9" fontId="19" fillId="0" borderId="5" xfId="17" applyFont="1" applyBorder="1" applyAlignment="1"/>
    <xf numFmtId="0" fontId="4" fillId="0" borderId="6" xfId="0" applyFont="1" applyBorder="1"/>
    <xf numFmtId="9" fontId="19" fillId="0" borderId="6" xfId="17" applyFont="1" applyBorder="1" applyAlignment="1"/>
    <xf numFmtId="0" fontId="13" fillId="5" borderId="0" xfId="3" applyAlignment="1">
      <alignment wrapText="1"/>
    </xf>
    <xf numFmtId="2" fontId="4" fillId="0" borderId="0" xfId="0" applyNumberFormat="1" applyFont="1"/>
    <xf numFmtId="0" fontId="3" fillId="0" borderId="0" xfId="0" applyFont="1"/>
    <xf numFmtId="0" fontId="4" fillId="0" borderId="0" xfId="10"/>
    <xf numFmtId="0" fontId="3" fillId="0" borderId="0" xfId="12" applyFont="1" applyAlignment="1">
      <alignment horizontal="right" vertical="center" wrapText="1"/>
    </xf>
    <xf numFmtId="2" fontId="4" fillId="0" borderId="0" xfId="10" applyNumberFormat="1"/>
    <xf numFmtId="0" fontId="22" fillId="0" borderId="0" xfId="6" applyFont="1" applyFill="1"/>
    <xf numFmtId="0" fontId="23" fillId="0" borderId="0" xfId="3" applyFont="1" applyFill="1" applyAlignment="1">
      <alignment wrapText="1"/>
    </xf>
    <xf numFmtId="0" fontId="13" fillId="0" borderId="0" xfId="3" applyFill="1"/>
    <xf numFmtId="1" fontId="4" fillId="0" borderId="0" xfId="10" applyNumberFormat="1"/>
    <xf numFmtId="9" fontId="4" fillId="0" borderId="0" xfId="10" applyNumberFormat="1"/>
    <xf numFmtId="0" fontId="18" fillId="10" borderId="0" xfId="6" applyFont="1" applyFill="1" applyAlignment="1">
      <alignment horizontal="left"/>
    </xf>
    <xf numFmtId="1" fontId="0" fillId="11" borderId="0" xfId="0" applyNumberFormat="1" applyFill="1"/>
    <xf numFmtId="0" fontId="24" fillId="12" borderId="0" xfId="0" applyFont="1" applyFill="1"/>
    <xf numFmtId="0" fontId="0" fillId="13" borderId="0" xfId="0" applyFill="1"/>
    <xf numFmtId="1" fontId="16" fillId="8" borderId="0" xfId="7" applyNumberFormat="1" applyBorder="1" applyAlignment="1"/>
    <xf numFmtId="164" fontId="14" fillId="6" borderId="4" xfId="4" applyNumberFormat="1" applyBorder="1" applyAlignment="1">
      <alignment horizontal="right" vertical="center"/>
    </xf>
    <xf numFmtId="1" fontId="14" fillId="6" borderId="17" xfId="4" applyNumberFormat="1" applyBorder="1" applyAlignment="1">
      <alignment horizontal="right"/>
    </xf>
    <xf numFmtId="1" fontId="14" fillId="6" borderId="18" xfId="4" applyNumberFormat="1" applyBorder="1" applyAlignment="1">
      <alignment horizontal="right"/>
    </xf>
    <xf numFmtId="1" fontId="0" fillId="13" borderId="0" xfId="0" applyNumberFormat="1" applyFill="1"/>
    <xf numFmtId="1" fontId="4" fillId="14" borderId="0" xfId="0" applyNumberFormat="1" applyFont="1" applyFill="1"/>
    <xf numFmtId="1" fontId="0" fillId="14" borderId="0" xfId="0" applyNumberFormat="1" applyFill="1"/>
    <xf numFmtId="0" fontId="0" fillId="14" borderId="0" xfId="0" applyFill="1"/>
    <xf numFmtId="2" fontId="0" fillId="14" borderId="0" xfId="0" applyNumberFormat="1" applyFill="1"/>
    <xf numFmtId="0" fontId="4" fillId="13" borderId="0" xfId="9" applyFont="1" applyFill="1"/>
    <xf numFmtId="2" fontId="0" fillId="13" borderId="0" xfId="0" applyNumberFormat="1" applyFill="1"/>
    <xf numFmtId="2" fontId="4" fillId="13" borderId="0" xfId="0" applyNumberFormat="1" applyFont="1" applyFill="1"/>
    <xf numFmtId="2" fontId="0" fillId="0" borderId="0" xfId="0" applyNumberFormat="1"/>
    <xf numFmtId="0" fontId="3" fillId="2" borderId="1" xfId="12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wrapText="1"/>
    </xf>
    <xf numFmtId="2" fontId="4" fillId="0" borderId="0" xfId="0" applyNumberFormat="1" applyFont="1" applyAlignment="1">
      <alignment horizontal="center" wrapText="1"/>
    </xf>
    <xf numFmtId="0" fontId="0" fillId="0" borderId="0" xfId="0" applyAlignment="1">
      <alignment horizontal="center" wrapText="1"/>
    </xf>
    <xf numFmtId="0" fontId="13" fillId="4" borderId="0" xfId="2"/>
    <xf numFmtId="0" fontId="0" fillId="0" borderId="7" xfId="0" applyBorder="1"/>
    <xf numFmtId="1" fontId="3" fillId="11" borderId="8" xfId="0" applyNumberFormat="1" applyFont="1" applyFill="1" applyBorder="1"/>
    <xf numFmtId="0" fontId="24" fillId="12" borderId="0" xfId="0" applyFont="1" applyFill="1" applyAlignment="1">
      <alignment wrapText="1"/>
    </xf>
    <xf numFmtId="0" fontId="3" fillId="12" borderId="9" xfId="0" applyFont="1" applyFill="1" applyBorder="1" applyAlignment="1">
      <alignment wrapText="1"/>
    </xf>
    <xf numFmtId="164" fontId="8" fillId="0" borderId="10" xfId="0" applyNumberFormat="1" applyFont="1" applyBorder="1" applyAlignment="1">
      <alignment horizontal="left" vertical="center"/>
    </xf>
    <xf numFmtId="0" fontId="0" fillId="0" borderId="3" xfId="0" applyBorder="1"/>
    <xf numFmtId="164" fontId="9" fillId="11" borderId="11" xfId="0" applyNumberFormat="1" applyFont="1" applyFill="1" applyBorder="1" applyAlignment="1">
      <alignment horizontal="left" vertical="center"/>
    </xf>
    <xf numFmtId="1" fontId="0" fillId="11" borderId="12" xfId="0" applyNumberFormat="1" applyFill="1" applyBorder="1"/>
    <xf numFmtId="1" fontId="0" fillId="11" borderId="11" xfId="0" applyNumberFormat="1" applyFill="1" applyBorder="1"/>
    <xf numFmtId="1" fontId="0" fillId="11" borderId="13" xfId="0" applyNumberFormat="1" applyFill="1" applyBorder="1"/>
    <xf numFmtId="1" fontId="14" fillId="6" borderId="19" xfId="4" applyNumberFormat="1" applyBorder="1" applyAlignment="1">
      <alignment horizontal="right"/>
    </xf>
    <xf numFmtId="0" fontId="3" fillId="12" borderId="10" xfId="0" applyFont="1" applyFill="1" applyBorder="1" applyAlignment="1">
      <alignment wrapText="1"/>
    </xf>
    <xf numFmtId="0" fontId="3" fillId="12" borderId="3" xfId="0" applyFont="1" applyFill="1" applyBorder="1" applyAlignment="1">
      <alignment wrapText="1"/>
    </xf>
    <xf numFmtId="0" fontId="3" fillId="12" borderId="7" xfId="0" applyFont="1" applyFill="1" applyBorder="1" applyAlignment="1">
      <alignment wrapText="1"/>
    </xf>
    <xf numFmtId="0" fontId="25" fillId="5" borderId="9" xfId="3" applyFont="1" applyBorder="1" applyAlignment="1">
      <alignment horizontal="left" vertical="center"/>
    </xf>
    <xf numFmtId="0" fontId="24" fillId="0" borderId="0" xfId="0" applyFont="1"/>
    <xf numFmtId="164" fontId="8" fillId="0" borderId="13" xfId="0" applyNumberFormat="1" applyFont="1" applyBorder="1" applyAlignment="1">
      <alignment horizontal="left" vertical="center"/>
    </xf>
    <xf numFmtId="0" fontId="0" fillId="0" borderId="9" xfId="0" applyBorder="1"/>
    <xf numFmtId="0" fontId="3" fillId="0" borderId="14" xfId="0" applyFont="1" applyBorder="1"/>
    <xf numFmtId="164" fontId="9" fillId="13" borderId="5" xfId="0" applyNumberFormat="1" applyFont="1" applyFill="1" applyBorder="1" applyAlignment="1">
      <alignment horizontal="left" vertical="center"/>
    </xf>
    <xf numFmtId="1" fontId="3" fillId="13" borderId="8" xfId="0" applyNumberFormat="1" applyFont="1" applyFill="1" applyBorder="1"/>
    <xf numFmtId="164" fontId="9" fillId="13" borderId="15" xfId="0" applyNumberFormat="1" applyFont="1" applyFill="1" applyBorder="1" applyAlignment="1">
      <alignment horizontal="left" vertical="center"/>
    </xf>
    <xf numFmtId="1" fontId="14" fillId="6" borderId="20" xfId="4" applyNumberFormat="1" applyBorder="1" applyAlignment="1">
      <alignment horizontal="right"/>
    </xf>
    <xf numFmtId="9" fontId="4" fillId="14" borderId="0" xfId="18" applyFont="1" applyFill="1"/>
    <xf numFmtId="0" fontId="15" fillId="0" borderId="0" xfId="6" applyFill="1" applyBorder="1" applyAlignment="1">
      <alignment horizontal="right"/>
    </xf>
    <xf numFmtId="0" fontId="13" fillId="0" borderId="0" xfId="3" applyFill="1" applyAlignment="1">
      <alignment wrapText="1"/>
    </xf>
    <xf numFmtId="0" fontId="3" fillId="0" borderId="0" xfId="12" applyFont="1" applyAlignment="1">
      <alignment horizontal="center" vertical="center" wrapText="1"/>
    </xf>
    <xf numFmtId="0" fontId="20" fillId="0" borderId="0" xfId="1" applyFont="1" applyFill="1" applyBorder="1" applyAlignment="1">
      <alignment horizontal="left" wrapText="1"/>
    </xf>
    <xf numFmtId="0" fontId="20" fillId="0" borderId="0" xfId="1" applyFont="1" applyFill="1" applyBorder="1" applyAlignment="1">
      <alignment horizontal="center" wrapText="1"/>
    </xf>
    <xf numFmtId="165" fontId="5" fillId="0" borderId="0" xfId="0" applyNumberFormat="1" applyFont="1"/>
    <xf numFmtId="165" fontId="4" fillId="0" borderId="0" xfId="0" applyNumberFormat="1" applyFont="1"/>
    <xf numFmtId="165" fontId="3" fillId="2" borderId="1" xfId="0" applyNumberFormat="1" applyFont="1" applyFill="1" applyBorder="1" applyAlignment="1">
      <alignment horizontal="left"/>
    </xf>
    <xf numFmtId="165" fontId="3" fillId="2" borderId="3" xfId="0" applyNumberFormat="1" applyFont="1" applyFill="1" applyBorder="1" applyAlignment="1">
      <alignment horizontal="left"/>
    </xf>
    <xf numFmtId="165" fontId="20" fillId="3" borderId="2" xfId="1" applyNumberFormat="1" applyFont="1" applyBorder="1" applyAlignment="1">
      <alignment horizontal="left" wrapText="1"/>
    </xf>
    <xf numFmtId="165" fontId="0" fillId="0" borderId="0" xfId="0" applyNumberFormat="1"/>
    <xf numFmtId="165" fontId="20" fillId="3" borderId="2" xfId="1" applyNumberFormat="1" applyFont="1" applyBorder="1" applyAlignment="1">
      <alignment horizontal="center" wrapText="1"/>
    </xf>
    <xf numFmtId="165" fontId="0" fillId="0" borderId="0" xfId="0" applyNumberFormat="1" applyAlignment="1">
      <alignment wrapText="1"/>
    </xf>
    <xf numFmtId="0" fontId="3" fillId="2" borderId="0" xfId="0" applyFont="1" applyFill="1" applyAlignment="1">
      <alignment horizontal="center" wrapText="1"/>
    </xf>
    <xf numFmtId="2" fontId="4" fillId="14" borderId="0" xfId="0" applyNumberFormat="1" applyFont="1" applyFill="1"/>
    <xf numFmtId="166" fontId="4" fillId="14" borderId="0" xfId="0" applyNumberFormat="1" applyFont="1" applyFill="1"/>
    <xf numFmtId="166" fontId="0" fillId="0" borderId="0" xfId="0" applyNumberFormat="1"/>
    <xf numFmtId="0" fontId="26" fillId="15" borderId="3" xfId="0" applyFont="1" applyFill="1" applyBorder="1"/>
    <xf numFmtId="0" fontId="0" fillId="0" borderId="0" xfId="0" applyAlignment="1">
      <alignment horizontal="center" vertical="center"/>
    </xf>
  </cellXfs>
  <cellStyles count="22">
    <cellStyle name="20% - Accent5" xfId="1" builtinId="46"/>
    <cellStyle name="60% - Accent2" xfId="2" builtinId="36"/>
    <cellStyle name="Accent2" xfId="3" builtinId="33"/>
    <cellStyle name="Calculation" xfId="4" builtinId="22"/>
    <cellStyle name="Comma 2" xfId="5" xr:uid="{00000000-0005-0000-0000-000004000000}"/>
    <cellStyle name="Good" xfId="6" builtinId="26"/>
    <cellStyle name="Input" xfId="7" builtinId="20"/>
    <cellStyle name="Migliaia_tab emissioni" xfId="8" xr:uid="{00000000-0005-0000-0000-000007000000}"/>
    <cellStyle name="Neutral" xfId="9" builtinId="28"/>
    <cellStyle name="Normal" xfId="0" builtinId="0"/>
    <cellStyle name="Normal 10" xfId="10" xr:uid="{00000000-0005-0000-0000-00000A000000}"/>
    <cellStyle name="Normal 2" xfId="11" xr:uid="{00000000-0005-0000-0000-00000B000000}"/>
    <cellStyle name="Normal 4" xfId="12" xr:uid="{00000000-0005-0000-0000-00000C000000}"/>
    <cellStyle name="Normal 4 2" xfId="13" xr:uid="{00000000-0005-0000-0000-00000D000000}"/>
    <cellStyle name="Normal 8" xfId="14" xr:uid="{00000000-0005-0000-0000-00000E000000}"/>
    <cellStyle name="Normal 9 2" xfId="15" xr:uid="{00000000-0005-0000-0000-00000F000000}"/>
    <cellStyle name="Normale_B2020" xfId="16" xr:uid="{00000000-0005-0000-0000-000010000000}"/>
    <cellStyle name="Percent" xfId="17" builtinId="5"/>
    <cellStyle name="Percent 2" xfId="18" xr:uid="{00000000-0005-0000-0000-000012000000}"/>
    <cellStyle name="Percent 3" xfId="19" xr:uid="{00000000-0005-0000-0000-000013000000}"/>
    <cellStyle name="Percent 4" xfId="20" xr:uid="{00000000-0005-0000-0000-000014000000}"/>
    <cellStyle name="Standard_Sce_D_Extraction" xfId="21" xr:uid="{00000000-0005-0000-0000-00001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-1</xdr:colOff>
      <xdr:row>18</xdr:row>
      <xdr:rowOff>11906</xdr:rowOff>
    </xdr:from>
    <xdr:to>
      <xdr:col>13</xdr:col>
      <xdr:colOff>7498</xdr:colOff>
      <xdr:row>22</xdr:row>
      <xdr:rowOff>18256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E0E23E70-C4B1-4F85-909C-21D6004ACE44}"/>
            </a:ext>
          </a:extLst>
        </xdr:cNvPr>
        <xdr:cNvSpPr txBox="1"/>
      </xdr:nvSpPr>
      <xdr:spPr>
        <a:xfrm>
          <a:off x="7072312" y="6226969"/>
          <a:ext cx="4365186" cy="6731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 b="0"/>
            <a:t>This share</a:t>
          </a:r>
          <a:r>
            <a:rPr lang="en-GB" sz="1100" b="0" baseline="0"/>
            <a:t> is used to split the total domestic production in more than one step. In this way it is possible to set up in the model a supply curve defined by the maximum production and cost</a:t>
          </a:r>
          <a:endParaRPr lang="en-GB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16</xdr:row>
      <xdr:rowOff>0</xdr:rowOff>
    </xdr:from>
    <xdr:to>
      <xdr:col>11</xdr:col>
      <xdr:colOff>2299252</xdr:colOff>
      <xdr:row>22</xdr:row>
      <xdr:rowOff>76200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BE97A0A-C327-4CF5-9427-50226FDD7126}"/>
            </a:ext>
          </a:extLst>
        </xdr:cNvPr>
        <xdr:cNvSpPr txBox="1"/>
      </xdr:nvSpPr>
      <xdr:spPr>
        <a:xfrm>
          <a:off x="6505575" y="3733800"/>
          <a:ext cx="4457700" cy="104775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Declare coal an energy commodity (FI_COMM table) and define each supply option (FI_Process table).</a:t>
          </a: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Construct a 3-step domestic coal supply curve, along with and import and export option.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19</xdr:row>
      <xdr:rowOff>0</xdr:rowOff>
    </xdr:from>
    <xdr:to>
      <xdr:col>11</xdr:col>
      <xdr:colOff>2299252</xdr:colOff>
      <xdr:row>25</xdr:row>
      <xdr:rowOff>76200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60F0532-0875-44AF-A081-0F9888D50A76}"/>
            </a:ext>
          </a:extLst>
        </xdr:cNvPr>
        <xdr:cNvSpPr txBox="1"/>
      </xdr:nvSpPr>
      <xdr:spPr>
        <a:xfrm>
          <a:off x="5156200" y="3663950"/>
          <a:ext cx="4455077" cy="10668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Declare </a:t>
          </a:r>
          <a:r>
            <a:rPr lang="et-EE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oil shale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an energy commodity (FI_COMM table) and define each supply option (FI_Process table).</a:t>
          </a: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Construct a 3-step domestic coal supply curve, along with and import and export option.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9525</xdr:colOff>
      <xdr:row>16</xdr:row>
      <xdr:rowOff>0</xdr:rowOff>
    </xdr:from>
    <xdr:to>
      <xdr:col>14</xdr:col>
      <xdr:colOff>2325972</xdr:colOff>
      <xdr:row>21</xdr:row>
      <xdr:rowOff>150514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AC832EF-CA52-4030-B0B9-6D0DA2834D49}"/>
            </a:ext>
          </a:extLst>
        </xdr:cNvPr>
        <xdr:cNvSpPr txBox="1"/>
      </xdr:nvSpPr>
      <xdr:spPr>
        <a:xfrm>
          <a:off x="6515100" y="3733800"/>
          <a:ext cx="4467225" cy="96202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Declare gas an energy commodity (FI_COMM table) and define each supply option (FI_Process table).</a:t>
          </a: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Construct a 3-step domestic gas supply curve, along with and import and export option.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16</xdr:row>
      <xdr:rowOff>0</xdr:rowOff>
    </xdr:from>
    <xdr:to>
      <xdr:col>12</xdr:col>
      <xdr:colOff>0</xdr:colOff>
      <xdr:row>22</xdr:row>
      <xdr:rowOff>76200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C4BA106-5368-4F3D-92FB-45528678127D}"/>
            </a:ext>
          </a:extLst>
        </xdr:cNvPr>
        <xdr:cNvSpPr txBox="1"/>
      </xdr:nvSpPr>
      <xdr:spPr>
        <a:xfrm>
          <a:off x="6457950" y="3733800"/>
          <a:ext cx="4486275" cy="104775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Declare oil an energy commodity (FI_COMM table) and define each supply option (FI_Process table).</a:t>
          </a: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Construct a 3-step domestic oil supply curve, along with and import and export option.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16</xdr:row>
      <xdr:rowOff>0</xdr:rowOff>
    </xdr:from>
    <xdr:to>
      <xdr:col>10</xdr:col>
      <xdr:colOff>2482215</xdr:colOff>
      <xdr:row>21</xdr:row>
      <xdr:rowOff>150512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C3D6A6F-1B94-4D1B-B09B-A85B23D33483}"/>
            </a:ext>
          </a:extLst>
        </xdr:cNvPr>
        <xdr:cNvSpPr txBox="1"/>
      </xdr:nvSpPr>
      <xdr:spPr>
        <a:xfrm>
          <a:off x="6353175" y="3124200"/>
          <a:ext cx="4791075" cy="104775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Declare nuclear an energy commodity (FI_COMM table) and define each supply option (FI_Process table).</a:t>
          </a: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Construct a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technology to make available the nuclear commodity.</a:t>
          </a:r>
          <a:endParaRPr lang="en-GB">
            <a:effectLst/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28575</xdr:colOff>
      <xdr:row>18</xdr:row>
      <xdr:rowOff>9525</xdr:rowOff>
    </xdr:from>
    <xdr:to>
      <xdr:col>11</xdr:col>
      <xdr:colOff>9465</xdr:colOff>
      <xdr:row>24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1F80E6F-9CDA-4829-BF8B-A2F4E52363DF}"/>
            </a:ext>
          </a:extLst>
        </xdr:cNvPr>
        <xdr:cNvSpPr txBox="1"/>
      </xdr:nvSpPr>
      <xdr:spPr>
        <a:xfrm>
          <a:off x="6648450" y="3790950"/>
          <a:ext cx="4781490" cy="104775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Declare  reneable an energy commodity (FI_COMM table) and define each supply option (FI_Process table).</a:t>
          </a: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Construct a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technology to make available the renewable commodity.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63500</xdr:colOff>
      <xdr:row>21</xdr:row>
      <xdr:rowOff>107950</xdr:rowOff>
    </xdr:from>
    <xdr:to>
      <xdr:col>11</xdr:col>
      <xdr:colOff>44390</xdr:colOff>
      <xdr:row>27</xdr:row>
      <xdr:rowOff>95250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9475E6C-232A-4B50-99D7-7A2CB8BAA361}"/>
            </a:ext>
          </a:extLst>
        </xdr:cNvPr>
        <xdr:cNvSpPr txBox="1"/>
      </xdr:nvSpPr>
      <xdr:spPr>
        <a:xfrm>
          <a:off x="4438650" y="4260850"/>
          <a:ext cx="4787840" cy="106045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Declare  </a:t>
          </a:r>
          <a:r>
            <a:rPr lang="et-EE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wastes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an energy commodity (FI_COMM table) and define each supply option (FI_Process table).</a:t>
          </a: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Construct a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technology to make available the renewable commodity.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33</xdr:row>
      <xdr:rowOff>0</xdr:rowOff>
    </xdr:from>
    <xdr:to>
      <xdr:col>10</xdr:col>
      <xdr:colOff>2486057</xdr:colOff>
      <xdr:row>39</xdr:row>
      <xdr:rowOff>76200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3C38DAA-3274-48BE-8A1C-90CC55F8E04B}"/>
            </a:ext>
          </a:extLst>
        </xdr:cNvPr>
        <xdr:cNvSpPr txBox="1"/>
      </xdr:nvSpPr>
      <xdr:spPr>
        <a:xfrm>
          <a:off x="7000875" y="6343650"/>
          <a:ext cx="4762500" cy="104775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Declare petroleoum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products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an energy commodity (FI_COMM table) and define each supply option (FI_Process table).</a:t>
          </a: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Construct an import and export option for each petroleoum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product.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809625</xdr:colOff>
      <xdr:row>41</xdr:row>
      <xdr:rowOff>66675</xdr:rowOff>
    </xdr:from>
    <xdr:to>
      <xdr:col>12</xdr:col>
      <xdr:colOff>2247932</xdr:colOff>
      <xdr:row>47</xdr:row>
      <xdr:rowOff>142875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0D90CF5-1B44-4E82-9FF1-BC881A703FC0}"/>
            </a:ext>
          </a:extLst>
        </xdr:cNvPr>
        <xdr:cNvSpPr txBox="1"/>
      </xdr:nvSpPr>
      <xdr:spPr>
        <a:xfrm>
          <a:off x="6838950" y="7362825"/>
          <a:ext cx="4514882" cy="104775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Declare electricity commodity (FI_COMM table) and define each supply option (FI_Process table).</a:t>
          </a: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Construct an import and export option for electricity.</a:t>
          </a:r>
        </a:p>
      </xdr:txBody>
    </xdr:sp>
    <xdr:clientData/>
  </xdr:twoCellAnchor>
  <xdr:twoCellAnchor>
    <xdr:from>
      <xdr:col>11</xdr:col>
      <xdr:colOff>0</xdr:colOff>
      <xdr:row>5</xdr:row>
      <xdr:rowOff>0</xdr:rowOff>
    </xdr:from>
    <xdr:to>
      <xdr:col>16</xdr:col>
      <xdr:colOff>428625</xdr:colOff>
      <xdr:row>8</xdr:row>
      <xdr:rowOff>57150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737448E-BE4A-4C46-9211-C19FA1948BCC}"/>
            </a:ext>
          </a:extLst>
        </xdr:cNvPr>
        <xdr:cNvSpPr txBox="1"/>
      </xdr:nvSpPr>
      <xdr:spPr>
        <a:xfrm>
          <a:off x="8467725" y="1285875"/>
          <a:ext cx="5686425" cy="58102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ELC commodity is already declared in the ELC workbook. 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Commodities might be declared only one time and if declared in a base year template (VT files) will be available fro all templates 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19</xdr:row>
      <xdr:rowOff>0</xdr:rowOff>
    </xdr:from>
    <xdr:to>
      <xdr:col>14</xdr:col>
      <xdr:colOff>701005</xdr:colOff>
      <xdr:row>24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54F1E21-5CDA-4869-B964-1ADCDB0B9A86}"/>
            </a:ext>
          </a:extLst>
        </xdr:cNvPr>
        <xdr:cNvSpPr txBox="1"/>
      </xdr:nvSpPr>
      <xdr:spPr>
        <a:xfrm>
          <a:off x="9648825" y="3495675"/>
          <a:ext cx="4705350" cy="82867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Declare  REFCO2 an environmental commodity (FI_COMM table) and define the refinery option (FI_Process table).</a:t>
          </a: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Construct a refinery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technology to convert oil in petroleoum products.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lfgang\c\temphold\TMPL_R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>
        <row r="2">
          <cell r="A2" t="str">
            <v>^FI_ST: TCH, PRC</v>
          </cell>
        </row>
      </sheetData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Kristopher Raik" id="{618EE9E7-879B-4C97-88A2-981A8E483D41}" userId="S::krraik@taltech.ee::b956339b-354b-46f9-8dd3-3584d8dbf762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W10" dT="2026-09-21T06:53:58.90" personId="{618EE9E7-879B-4C97-88A2-981A8E483D41}" id="{74C5EBC3-3855-49CC-8D22-3D22C507954E}">
    <text>https://news.err.ee/1609986120/vkg-overtakes-enefit-as-estonia-s-largest-oil-shale-miner</text>
    <extLst>
      <x:ext xmlns:xltc2="http://schemas.microsoft.com/office/spreadsheetml/2020/threadedcomments2" uri="{F7C98A9C-CBB3-438F-8F68-D28B6AF4A901}">
        <xltc2:checksum>4246205987</xltc2:checksum>
        <xltc2:hyperlink startIndex="0" length="88" url="https://news.err.ee/1609986120/vkg-overtakes-enefit-as-estonia-s-largest-oil-shale-miner"/>
      </x:ext>
    </extLst>
  </threadedComment>
  <threadedComment ref="Y10" dT="2026-09-21T06:56:12.74" personId="{618EE9E7-879B-4C97-88A2-981A8E483D41}" id="{E7A732B9-0C2E-4BF2-B78D-5BF686EADA9E}">
    <text>Approx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3.xml"/><Relationship Id="rId4" Type="http://schemas.microsoft.com/office/2017/10/relationships/threadedComment" Target="../threadedComments/threadedComment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4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5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6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8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9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/>
  </sheetPr>
  <dimension ref="B1:AA22"/>
  <sheetViews>
    <sheetView zoomScale="80" zoomScaleNormal="80" workbookViewId="0">
      <selection activeCell="Y2" sqref="Y2"/>
    </sheetView>
  </sheetViews>
  <sheetFormatPr defaultRowHeight="12.75" x14ac:dyDescent="0.2"/>
  <cols>
    <col min="1" max="1" width="3" bestFit="1" customWidth="1"/>
    <col min="2" max="2" width="18.42578125" bestFit="1" customWidth="1"/>
    <col min="3" max="3" width="41.140625" bestFit="1" customWidth="1"/>
    <col min="4" max="4" width="12" bestFit="1" customWidth="1"/>
    <col min="5" max="5" width="12.28515625" bestFit="1" customWidth="1"/>
    <col min="6" max="7" width="10.85546875" customWidth="1"/>
    <col min="8" max="8" width="12.140625" bestFit="1" customWidth="1"/>
    <col min="9" max="12" width="10.85546875" customWidth="1"/>
    <col min="13" max="13" width="17.85546875" bestFit="1" customWidth="1"/>
    <col min="14" max="21" width="10.85546875" customWidth="1"/>
    <col min="22" max="22" width="7.28515625" bestFit="1" customWidth="1"/>
    <col min="23" max="23" width="2" bestFit="1" customWidth="1"/>
    <col min="24" max="24" width="12.5703125" bestFit="1" customWidth="1"/>
    <col min="26" max="26" width="6.7109375" bestFit="1" customWidth="1"/>
    <col min="27" max="27" width="9.28515625" bestFit="1" customWidth="1"/>
    <col min="28" max="28" width="2" bestFit="1" customWidth="1"/>
    <col min="29" max="29" width="21.42578125" bestFit="1" customWidth="1"/>
    <col min="30" max="30" width="23.42578125" bestFit="1" customWidth="1"/>
    <col min="31" max="45" width="10.85546875" customWidth="1"/>
  </cols>
  <sheetData>
    <row r="1" spans="2:27" x14ac:dyDescent="0.2">
      <c r="X1" s="18" t="s">
        <v>80</v>
      </c>
      <c r="Y1" s="1" t="s">
        <v>81</v>
      </c>
      <c r="Z1" s="1" t="s">
        <v>82</v>
      </c>
      <c r="AA1" s="1" t="s">
        <v>85</v>
      </c>
    </row>
    <row r="2" spans="2:27" ht="15.75" x14ac:dyDescent="0.25">
      <c r="D2" s="59" t="s">
        <v>44</v>
      </c>
      <c r="E2" s="59" t="s">
        <v>45</v>
      </c>
      <c r="F2" s="59" t="s">
        <v>46</v>
      </c>
      <c r="G2" s="59" t="s">
        <v>93</v>
      </c>
      <c r="H2" s="59" t="s">
        <v>94</v>
      </c>
      <c r="I2" s="59" t="s">
        <v>95</v>
      </c>
      <c r="J2" s="59" t="s">
        <v>96</v>
      </c>
      <c r="K2" s="59" t="s">
        <v>97</v>
      </c>
      <c r="L2" s="59" t="s">
        <v>98</v>
      </c>
      <c r="M2" s="59" t="s">
        <v>99</v>
      </c>
      <c r="N2" s="59" t="s">
        <v>47</v>
      </c>
      <c r="O2" s="59" t="s">
        <v>118</v>
      </c>
      <c r="P2" s="59" t="s">
        <v>119</v>
      </c>
      <c r="Q2" s="59" t="s">
        <v>120</v>
      </c>
      <c r="R2" s="59" t="s">
        <v>121</v>
      </c>
      <c r="S2" s="59" t="s">
        <v>48</v>
      </c>
      <c r="T2" s="59" t="s">
        <v>49</v>
      </c>
      <c r="U2" s="59" t="s">
        <v>50</v>
      </c>
      <c r="V2" s="26"/>
      <c r="Y2" s="35" t="s">
        <v>136</v>
      </c>
      <c r="Z2" s="9" t="s">
        <v>69</v>
      </c>
      <c r="AA2" s="9" t="s">
        <v>86</v>
      </c>
    </row>
    <row r="3" spans="2:27" ht="25.5" x14ac:dyDescent="0.2">
      <c r="C3" s="71" t="s">
        <v>126</v>
      </c>
      <c r="D3" s="68" t="s">
        <v>51</v>
      </c>
      <c r="E3" s="69" t="s">
        <v>52</v>
      </c>
      <c r="F3" s="69" t="s">
        <v>135</v>
      </c>
      <c r="G3" s="69" t="s">
        <v>111</v>
      </c>
      <c r="H3" s="69" t="s">
        <v>102</v>
      </c>
      <c r="I3" s="69" t="s">
        <v>95</v>
      </c>
      <c r="J3" s="69" t="s">
        <v>103</v>
      </c>
      <c r="K3" s="69" t="s">
        <v>104</v>
      </c>
      <c r="L3" s="69" t="s">
        <v>100</v>
      </c>
      <c r="M3" s="69" t="s">
        <v>101</v>
      </c>
      <c r="N3" s="69" t="s">
        <v>53</v>
      </c>
      <c r="O3" s="69" t="s">
        <v>122</v>
      </c>
      <c r="P3" s="69" t="s">
        <v>123</v>
      </c>
      <c r="Q3" s="69" t="s">
        <v>124</v>
      </c>
      <c r="R3" s="69" t="s">
        <v>125</v>
      </c>
      <c r="S3" s="69" t="s">
        <v>54</v>
      </c>
      <c r="T3" s="69" t="s">
        <v>55</v>
      </c>
      <c r="U3" s="70" t="s">
        <v>75</v>
      </c>
      <c r="V3" s="60" t="s">
        <v>56</v>
      </c>
    </row>
    <row r="4" spans="2:27" x14ac:dyDescent="0.2">
      <c r="C4" s="61" t="s">
        <v>57</v>
      </c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  <c r="S4" s="62"/>
      <c r="T4" s="62"/>
      <c r="U4" s="62"/>
      <c r="V4" s="57"/>
    </row>
    <row r="5" spans="2:27" x14ac:dyDescent="0.2">
      <c r="B5" s="37" t="s">
        <v>58</v>
      </c>
      <c r="C5" s="63" t="s">
        <v>59</v>
      </c>
      <c r="D5" s="64">
        <v>5263.9327000000003</v>
      </c>
      <c r="E5" s="36">
        <v>3159.7988000000005</v>
      </c>
      <c r="F5" s="36">
        <v>2686.252</v>
      </c>
      <c r="G5" s="36">
        <v>6.4000000000000001E-2</v>
      </c>
      <c r="H5" s="36">
        <v>0</v>
      </c>
      <c r="I5" s="36">
        <v>0</v>
      </c>
      <c r="J5" s="36">
        <v>0</v>
      </c>
      <c r="K5" s="36">
        <v>0</v>
      </c>
      <c r="L5" s="36">
        <v>0</v>
      </c>
      <c r="M5" s="36">
        <v>0</v>
      </c>
      <c r="N5" s="36">
        <v>4455</v>
      </c>
      <c r="O5" s="36">
        <v>2261.9700000000003</v>
      </c>
      <c r="P5" s="36">
        <v>502.66000000000008</v>
      </c>
      <c r="Q5" s="36">
        <v>263.8965</v>
      </c>
      <c r="R5" s="36">
        <v>125.66500000000008</v>
      </c>
      <c r="S5" s="36">
        <v>0</v>
      </c>
      <c r="T5" s="36">
        <v>0</v>
      </c>
      <c r="U5" s="36">
        <v>0</v>
      </c>
      <c r="V5" s="58">
        <f>SUM(D5:U5)</f>
        <v>18719.239000000001</v>
      </c>
      <c r="X5" s="5"/>
    </row>
    <row r="6" spans="2:27" x14ac:dyDescent="0.2">
      <c r="B6" s="37" t="s">
        <v>60</v>
      </c>
      <c r="C6" s="63" t="s">
        <v>61</v>
      </c>
      <c r="D6" s="65">
        <v>4200.7361500000006</v>
      </c>
      <c r="E6" s="36">
        <v>5316.6916000000001</v>
      </c>
      <c r="F6" s="36">
        <v>13824.328000000001</v>
      </c>
      <c r="G6" s="36">
        <v>2204.8490000000002</v>
      </c>
      <c r="H6" s="36">
        <v>604.98850000000004</v>
      </c>
      <c r="I6" s="36">
        <v>326.12950000000001</v>
      </c>
      <c r="J6" s="36">
        <v>660</v>
      </c>
      <c r="K6" s="36">
        <v>683.1</v>
      </c>
      <c r="L6" s="36">
        <v>1079.56</v>
      </c>
      <c r="M6" s="36">
        <v>597.03499999999997</v>
      </c>
      <c r="N6" s="36">
        <v>0</v>
      </c>
      <c r="O6" s="36">
        <v>84.764250000000004</v>
      </c>
      <c r="P6" s="36">
        <v>0</v>
      </c>
      <c r="Q6" s="36">
        <v>0</v>
      </c>
      <c r="R6" s="36">
        <v>0</v>
      </c>
      <c r="S6" s="36">
        <v>3.5000000000000001E-3</v>
      </c>
      <c r="T6" s="36">
        <v>7.6499999999999999E-2</v>
      </c>
      <c r="U6" s="36">
        <v>583.76</v>
      </c>
      <c r="V6" s="58">
        <f>SUM(D6:U6)</f>
        <v>30166.022000000001</v>
      </c>
    </row>
    <row r="7" spans="2:27" x14ac:dyDescent="0.2">
      <c r="B7" s="37" t="s">
        <v>62</v>
      </c>
      <c r="C7" s="63" t="s">
        <v>63</v>
      </c>
      <c r="D7" s="66">
        <v>-745.59484999999995</v>
      </c>
      <c r="E7" s="36">
        <v>-1006.5324000000001</v>
      </c>
      <c r="F7" s="36">
        <v>-1648.4854999999998</v>
      </c>
      <c r="G7" s="36">
        <v>-1683.1424999999999</v>
      </c>
      <c r="H7" s="36">
        <v>-295.38850000000002</v>
      </c>
      <c r="I7" s="36">
        <v>-194.51650000000001</v>
      </c>
      <c r="J7" s="36">
        <v>-1500.6420000000001</v>
      </c>
      <c r="K7" s="36">
        <v>-400.84</v>
      </c>
      <c r="L7" s="36">
        <v>-1239.28</v>
      </c>
      <c r="M7" s="36">
        <v>-453.036</v>
      </c>
      <c r="N7" s="36">
        <v>0</v>
      </c>
      <c r="O7" s="36">
        <v>-54.302999999999997</v>
      </c>
      <c r="P7" s="36">
        <v>0</v>
      </c>
      <c r="Q7" s="36">
        <v>0</v>
      </c>
      <c r="R7" s="36">
        <v>0</v>
      </c>
      <c r="S7" s="36">
        <v>0</v>
      </c>
      <c r="T7" s="36">
        <v>-6.4500000000000002E-2</v>
      </c>
      <c r="U7" s="36">
        <v>-563.40200000000004</v>
      </c>
      <c r="V7" s="58">
        <f>SUM(D7:U7)</f>
        <v>-9785.22775</v>
      </c>
      <c r="X7" s="5"/>
    </row>
    <row r="8" spans="2:27" ht="15" x14ac:dyDescent="0.25">
      <c r="B8" s="56" t="s">
        <v>116</v>
      </c>
      <c r="C8" s="40" t="s">
        <v>117</v>
      </c>
      <c r="D8" s="67">
        <f>SUM(D5:D7)</f>
        <v>8719.0740000000023</v>
      </c>
      <c r="E8" s="41">
        <f t="shared" ref="E8:U8" si="0">SUM(E5:E7)</f>
        <v>7469.9580000000005</v>
      </c>
      <c r="F8" s="41">
        <f t="shared" si="0"/>
        <v>14862.094500000003</v>
      </c>
      <c r="G8" s="41">
        <f t="shared" si="0"/>
        <v>521.77050000000008</v>
      </c>
      <c r="H8" s="41">
        <f t="shared" si="0"/>
        <v>309.60000000000002</v>
      </c>
      <c r="I8" s="41">
        <f t="shared" si="0"/>
        <v>131.613</v>
      </c>
      <c r="J8" s="41">
        <f t="shared" si="0"/>
        <v>-840.64200000000005</v>
      </c>
      <c r="K8" s="41">
        <f t="shared" si="0"/>
        <v>282.26000000000005</v>
      </c>
      <c r="L8" s="41">
        <f t="shared" si="0"/>
        <v>-159.72000000000003</v>
      </c>
      <c r="M8" s="41">
        <f t="shared" si="0"/>
        <v>143.99899999999997</v>
      </c>
      <c r="N8" s="41">
        <f t="shared" si="0"/>
        <v>4455</v>
      </c>
      <c r="O8" s="41">
        <f t="shared" si="0"/>
        <v>2292.4312500000005</v>
      </c>
      <c r="P8" s="41"/>
      <c r="Q8" s="41"/>
      <c r="R8" s="41"/>
      <c r="S8" s="41">
        <f t="shared" si="0"/>
        <v>3.5000000000000001E-3</v>
      </c>
      <c r="T8" s="41">
        <f t="shared" si="0"/>
        <v>1.1999999999999997E-2</v>
      </c>
      <c r="U8" s="41">
        <f t="shared" si="0"/>
        <v>20.357999999999947</v>
      </c>
      <c r="V8" s="42">
        <f>SUM(V5:V7)</f>
        <v>39100.03325</v>
      </c>
    </row>
    <row r="9" spans="2:27" x14ac:dyDescent="0.2">
      <c r="B9" s="72"/>
      <c r="C9" s="73" t="s">
        <v>127</v>
      </c>
      <c r="D9" s="74"/>
      <c r="E9" s="74"/>
      <c r="F9" s="74"/>
      <c r="G9" s="74"/>
      <c r="H9" s="74"/>
      <c r="I9" s="74"/>
      <c r="J9" s="74"/>
      <c r="K9" s="74"/>
      <c r="L9" s="74"/>
      <c r="M9" s="74"/>
      <c r="N9" s="74"/>
      <c r="O9" s="74"/>
      <c r="P9" s="74"/>
      <c r="Q9" s="74"/>
      <c r="R9" s="74"/>
      <c r="S9" s="74"/>
      <c r="T9" s="74"/>
      <c r="U9" s="74"/>
      <c r="V9" s="75"/>
    </row>
    <row r="10" spans="2:27" x14ac:dyDescent="0.2">
      <c r="B10" s="37" t="s">
        <v>128</v>
      </c>
      <c r="C10" s="76" t="s">
        <v>129</v>
      </c>
      <c r="D10" s="43">
        <v>-37.464700000000001</v>
      </c>
      <c r="E10" s="43">
        <v>-317.19200000000001</v>
      </c>
      <c r="F10" s="43">
        <v>0</v>
      </c>
      <c r="G10" s="43">
        <v>-16.283999999999999</v>
      </c>
      <c r="H10" s="43">
        <v>-2.1499999999999998E-2</v>
      </c>
      <c r="I10" s="43">
        <v>-528.76099999999997</v>
      </c>
      <c r="J10" s="43">
        <v>-164.50800000000001</v>
      </c>
      <c r="K10" s="43">
        <v>-0.61599999999999999</v>
      </c>
      <c r="L10" s="43">
        <v>-205.88</v>
      </c>
      <c r="M10" s="43">
        <v>0</v>
      </c>
      <c r="N10" s="43">
        <v>0</v>
      </c>
      <c r="O10" s="43">
        <v>-3.21225</v>
      </c>
      <c r="P10" s="43">
        <v>0</v>
      </c>
      <c r="Q10" s="43">
        <v>0</v>
      </c>
      <c r="R10" s="43">
        <v>0</v>
      </c>
      <c r="S10" s="43">
        <v>-0.76</v>
      </c>
      <c r="T10" s="43">
        <v>0</v>
      </c>
      <c r="U10" s="43">
        <v>0</v>
      </c>
      <c r="V10" s="77">
        <f>SUM(D10:U10)</f>
        <v>-1274.6994499999998</v>
      </c>
    </row>
    <row r="11" spans="2:27" x14ac:dyDescent="0.2">
      <c r="B11" s="37" t="s">
        <v>50</v>
      </c>
      <c r="C11" s="78" t="s">
        <v>130</v>
      </c>
      <c r="D11" s="43">
        <v>-6238.7780000000012</v>
      </c>
      <c r="E11" s="43">
        <v>-2254.2175999999999</v>
      </c>
      <c r="F11" s="43">
        <v>0</v>
      </c>
      <c r="G11" s="43">
        <v>-30.160499999999999</v>
      </c>
      <c r="H11" s="43">
        <v>0</v>
      </c>
      <c r="I11" s="43">
        <v>-23.835000000000001</v>
      </c>
      <c r="J11" s="43">
        <v>0</v>
      </c>
      <c r="K11" s="43">
        <v>0</v>
      </c>
      <c r="L11" s="43">
        <v>-524.78</v>
      </c>
      <c r="M11" s="43">
        <v>-33.529000000000003</v>
      </c>
      <c r="N11" s="43">
        <v>-4455</v>
      </c>
      <c r="O11" s="43">
        <v>-527.25918750000005</v>
      </c>
      <c r="P11" s="43">
        <v>-502.66000000000008</v>
      </c>
      <c r="Q11" s="43">
        <v>-263.8965</v>
      </c>
      <c r="R11" s="43">
        <v>-68</v>
      </c>
      <c r="S11" s="43">
        <v>-16.474499999999999</v>
      </c>
      <c r="T11" s="43">
        <v>868.77949999999998</v>
      </c>
      <c r="U11" s="43">
        <v>5790.5</v>
      </c>
      <c r="V11" s="77">
        <f>SUM(D11:U11)</f>
        <v>-8279.3107875000023</v>
      </c>
    </row>
    <row r="12" spans="2:27" x14ac:dyDescent="0.2">
      <c r="B12" s="37" t="s">
        <v>131</v>
      </c>
      <c r="C12" s="78" t="s">
        <v>132</v>
      </c>
      <c r="D12" s="43">
        <v>-104.9074</v>
      </c>
      <c r="E12" s="43">
        <v>-120.5204</v>
      </c>
      <c r="F12" s="43">
        <v>0</v>
      </c>
      <c r="G12" s="43">
        <v>-7.6189999999999998</v>
      </c>
      <c r="H12" s="43">
        <v>0</v>
      </c>
      <c r="I12" s="43">
        <v>-0.23350000000000001</v>
      </c>
      <c r="J12" s="43">
        <v>0</v>
      </c>
      <c r="K12" s="43">
        <v>0</v>
      </c>
      <c r="L12" s="43">
        <v>-15.2</v>
      </c>
      <c r="M12" s="43">
        <v>-1.772</v>
      </c>
      <c r="N12" s="43">
        <v>0</v>
      </c>
      <c r="O12" s="43">
        <v>-105.15525</v>
      </c>
      <c r="P12" s="43">
        <v>0</v>
      </c>
      <c r="Q12" s="43">
        <v>0</v>
      </c>
      <c r="R12" s="43">
        <v>0</v>
      </c>
      <c r="S12" s="43">
        <v>-0.78449999999999998</v>
      </c>
      <c r="T12" s="43">
        <v>329.37150000000003</v>
      </c>
      <c r="U12" s="43">
        <v>0</v>
      </c>
      <c r="V12" s="77">
        <f>SUM(D12:U12)</f>
        <v>-26.820549999999912</v>
      </c>
    </row>
    <row r="13" spans="2:27" ht="15" x14ac:dyDescent="0.25">
      <c r="B13" s="37" t="s">
        <v>64</v>
      </c>
      <c r="C13" s="78" t="s">
        <v>133</v>
      </c>
      <c r="D13" s="43">
        <v>0</v>
      </c>
      <c r="E13" s="43">
        <v>0</v>
      </c>
      <c r="F13" s="39">
        <v>-15868.2305</v>
      </c>
      <c r="G13" s="39">
        <v>5701.34</v>
      </c>
      <c r="H13" s="39">
        <v>969.47799999999995</v>
      </c>
      <c r="I13" s="39">
        <v>1086.3040000000001</v>
      </c>
      <c r="J13" s="39">
        <v>3354.9119999999998</v>
      </c>
      <c r="K13" s="39">
        <v>970.28800000000001</v>
      </c>
      <c r="L13" s="39">
        <v>2285.1019999999999</v>
      </c>
      <c r="M13" s="39">
        <v>1299.9449999999999</v>
      </c>
      <c r="N13" s="43">
        <v>0</v>
      </c>
      <c r="O13" s="43">
        <v>0</v>
      </c>
      <c r="P13" s="43">
        <v>0</v>
      </c>
      <c r="Q13" s="43">
        <v>0</v>
      </c>
      <c r="R13" s="43">
        <v>0</v>
      </c>
      <c r="S13" s="43">
        <v>0</v>
      </c>
      <c r="T13" s="43">
        <v>0</v>
      </c>
      <c r="U13" s="43">
        <v>0</v>
      </c>
      <c r="V13" s="77">
        <f>SUM(D13:U13)</f>
        <v>-200.86150000000021</v>
      </c>
    </row>
    <row r="14" spans="2:27" ht="15" x14ac:dyDescent="0.25">
      <c r="B14" s="72"/>
      <c r="C14" s="40" t="s">
        <v>134</v>
      </c>
      <c r="D14" s="79">
        <f>SUM(D10:D13)</f>
        <v>-6381.1501000000017</v>
      </c>
      <c r="E14" s="41">
        <f t="shared" ref="E14:U14" si="1">SUM(E10:E13)</f>
        <v>-2691.93</v>
      </c>
      <c r="F14" s="41">
        <f t="shared" si="1"/>
        <v>-15868.2305</v>
      </c>
      <c r="G14" s="41">
        <f t="shared" si="1"/>
        <v>5647.2764999999999</v>
      </c>
      <c r="H14" s="41">
        <f t="shared" si="1"/>
        <v>969.45650000000001</v>
      </c>
      <c r="I14" s="41">
        <f t="shared" si="1"/>
        <v>533.47450000000003</v>
      </c>
      <c r="J14" s="41">
        <f t="shared" si="1"/>
        <v>3190.404</v>
      </c>
      <c r="K14" s="41">
        <f t="shared" si="1"/>
        <v>969.67200000000003</v>
      </c>
      <c r="L14" s="41">
        <f t="shared" si="1"/>
        <v>1539.2419999999997</v>
      </c>
      <c r="M14" s="41">
        <f t="shared" si="1"/>
        <v>1264.644</v>
      </c>
      <c r="N14" s="41">
        <f t="shared" si="1"/>
        <v>-4455</v>
      </c>
      <c r="O14" s="41">
        <f t="shared" si="1"/>
        <v>-635.62668750000012</v>
      </c>
      <c r="P14" s="41"/>
      <c r="Q14" s="41"/>
      <c r="R14" s="41"/>
      <c r="S14" s="41">
        <f t="shared" si="1"/>
        <v>-18.019000000000002</v>
      </c>
      <c r="T14" s="41">
        <f t="shared" si="1"/>
        <v>1198.1510000000001</v>
      </c>
      <c r="U14" s="41">
        <f t="shared" si="1"/>
        <v>5790.5</v>
      </c>
      <c r="V14" s="42">
        <f>SUM(V10:V13)</f>
        <v>-9781.6922875000037</v>
      </c>
    </row>
    <row r="15" spans="2:27" x14ac:dyDescent="0.2">
      <c r="D15" s="5"/>
      <c r="F15" s="5"/>
      <c r="G15" s="5"/>
      <c r="H15" s="5"/>
      <c r="I15" s="5"/>
      <c r="J15" s="5"/>
      <c r="K15" s="5"/>
      <c r="L15" s="5"/>
      <c r="M15" s="5"/>
    </row>
    <row r="16" spans="2:27" x14ac:dyDescent="0.2">
      <c r="D16" s="5"/>
      <c r="F16" s="5"/>
      <c r="G16" s="5"/>
      <c r="H16" s="5"/>
      <c r="I16" s="5"/>
      <c r="J16" s="5"/>
      <c r="K16" s="5"/>
      <c r="L16" s="5"/>
      <c r="M16" s="5"/>
    </row>
    <row r="17" spans="3:13" ht="15" x14ac:dyDescent="0.25">
      <c r="C17" s="39" t="s">
        <v>113</v>
      </c>
      <c r="D17" s="39"/>
      <c r="E17" s="39"/>
      <c r="F17" s="5"/>
      <c r="G17" s="5"/>
      <c r="H17" s="5"/>
      <c r="I17" s="5"/>
      <c r="J17" s="5"/>
      <c r="K17" s="5"/>
      <c r="L17" s="5"/>
      <c r="M17" s="5"/>
    </row>
    <row r="20" spans="3:13" x14ac:dyDescent="0.2">
      <c r="D20" s="19" t="s">
        <v>44</v>
      </c>
      <c r="E20" s="19" t="s">
        <v>45</v>
      </c>
      <c r="F20" s="19" t="s">
        <v>46</v>
      </c>
    </row>
    <row r="21" spans="3:13" x14ac:dyDescent="0.2">
      <c r="C21" s="20" t="s">
        <v>89</v>
      </c>
      <c r="D21" s="21">
        <v>0.75</v>
      </c>
      <c r="E21" s="21">
        <v>0.5</v>
      </c>
      <c r="F21" s="21">
        <v>0.8</v>
      </c>
    </row>
    <row r="22" spans="3:13" x14ac:dyDescent="0.2">
      <c r="C22" s="22" t="s">
        <v>90</v>
      </c>
      <c r="D22" s="23">
        <v>0.25</v>
      </c>
      <c r="E22" s="23">
        <v>0.5</v>
      </c>
      <c r="F22" s="23">
        <v>0.2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6D8D7-E1A6-4544-9E5E-4BF2900A3B3E}">
  <dimension ref="B3:G6"/>
  <sheetViews>
    <sheetView workbookViewId="0">
      <selection activeCell="I14" sqref="I14"/>
    </sheetView>
  </sheetViews>
  <sheetFormatPr defaultRowHeight="12.75" x14ac:dyDescent="0.2"/>
  <cols>
    <col min="2" max="2" width="10.42578125" bestFit="1" customWidth="1"/>
  </cols>
  <sheetData>
    <row r="3" spans="2:7" x14ac:dyDescent="0.2">
      <c r="C3" t="s">
        <v>166</v>
      </c>
      <c r="D3" s="98">
        <v>2020</v>
      </c>
      <c r="E3" s="98">
        <v>2021</v>
      </c>
      <c r="F3" s="98">
        <v>2022</v>
      </c>
      <c r="G3" s="98">
        <v>2023</v>
      </c>
    </row>
    <row r="4" spans="2:7" x14ac:dyDescent="0.2">
      <c r="B4" s="99" t="s">
        <v>170</v>
      </c>
      <c r="C4" t="s">
        <v>167</v>
      </c>
    </row>
    <row r="5" spans="2:7" x14ac:dyDescent="0.2">
      <c r="B5" s="99"/>
      <c r="C5" t="s">
        <v>168</v>
      </c>
      <c r="D5">
        <v>369.77644024075659</v>
      </c>
      <c r="E5">
        <v>418.15907136715379</v>
      </c>
      <c r="F5">
        <v>347.09088564058459</v>
      </c>
      <c r="G5">
        <v>269.10361134995702</v>
      </c>
    </row>
    <row r="6" spans="2:7" x14ac:dyDescent="0.2">
      <c r="B6" s="99"/>
      <c r="C6" t="s">
        <v>169</v>
      </c>
    </row>
  </sheetData>
  <mergeCells count="1">
    <mergeCell ref="B4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R23"/>
  <sheetViews>
    <sheetView zoomScaleNormal="100" workbookViewId="0">
      <selection activeCell="B11" sqref="B11"/>
    </sheetView>
  </sheetViews>
  <sheetFormatPr defaultRowHeight="12.75" x14ac:dyDescent="0.2"/>
  <cols>
    <col min="1" max="1" width="2" bestFit="1" customWidth="1"/>
    <col min="2" max="2" width="13.28515625" bestFit="1" customWidth="1"/>
    <col min="3" max="3" width="11.28515625" bestFit="1" customWidth="1"/>
    <col min="4" max="4" width="11.7109375" customWidth="1"/>
    <col min="5" max="5" width="14.42578125" customWidth="1"/>
    <col min="6" max="6" width="8.42578125" bestFit="1" customWidth="1"/>
    <col min="7" max="7" width="14" customWidth="1"/>
    <col min="8" max="8" width="2" bestFit="1" customWidth="1"/>
    <col min="9" max="9" width="13.7109375" customWidth="1"/>
    <col min="10" max="10" width="7.140625" customWidth="1"/>
    <col min="11" max="11" width="11.42578125" bestFit="1" customWidth="1"/>
    <col min="12" max="12" width="35" bestFit="1" customWidth="1"/>
    <col min="13" max="13" width="6.140625" bestFit="1" customWidth="1"/>
    <col min="14" max="14" width="11.5703125" customWidth="1"/>
    <col min="15" max="15" width="13" customWidth="1"/>
    <col min="16" max="16" width="15.140625" customWidth="1"/>
    <col min="17" max="17" width="7.5703125" bestFit="1" customWidth="1"/>
  </cols>
  <sheetData>
    <row r="1" spans="2:17" ht="30" x14ac:dyDescent="0.25">
      <c r="B1" s="24" t="s">
        <v>66</v>
      </c>
      <c r="C1" s="24" t="s">
        <v>67</v>
      </c>
      <c r="D1" s="24" t="s">
        <v>68</v>
      </c>
      <c r="E1" s="24" t="s">
        <v>70</v>
      </c>
      <c r="F1" s="24" t="s">
        <v>71</v>
      </c>
    </row>
    <row r="2" spans="2:17" ht="15.75" x14ac:dyDescent="0.25">
      <c r="B2" s="9"/>
      <c r="C2" s="9" t="str">
        <f>'EB1'!D2</f>
        <v>COA</v>
      </c>
      <c r="D2" s="9" t="str">
        <f>'EB1'!D3</f>
        <v>Solid Fuels</v>
      </c>
      <c r="E2" s="9" t="str">
        <f>'EB1'!Z2</f>
        <v>PJ</v>
      </c>
      <c r="F2" s="9" t="str">
        <f>'EB1'!Y2</f>
        <v>M€2025</v>
      </c>
      <c r="I2" s="86" t="s">
        <v>14</v>
      </c>
      <c r="J2" s="86"/>
      <c r="K2" s="87"/>
      <c r="L2" s="87"/>
      <c r="M2" s="87"/>
      <c r="N2" s="87"/>
      <c r="O2" s="87"/>
      <c r="P2" s="87"/>
      <c r="Q2" s="87"/>
    </row>
    <row r="3" spans="2:17" x14ac:dyDescent="0.2">
      <c r="I3" s="88" t="s">
        <v>7</v>
      </c>
      <c r="J3" s="89" t="s">
        <v>30</v>
      </c>
      <c r="K3" s="88" t="s">
        <v>0</v>
      </c>
      <c r="L3" s="88" t="s">
        <v>3</v>
      </c>
      <c r="M3" s="88" t="s">
        <v>4</v>
      </c>
      <c r="N3" s="88" t="s">
        <v>8</v>
      </c>
      <c r="O3" s="88" t="s">
        <v>9</v>
      </c>
      <c r="P3" s="88" t="s">
        <v>10</v>
      </c>
      <c r="Q3" s="88" t="s">
        <v>12</v>
      </c>
    </row>
    <row r="4" spans="2:17" ht="23.25" thickBot="1" x14ac:dyDescent="0.25">
      <c r="C4" s="1"/>
      <c r="I4" s="90" t="s">
        <v>37</v>
      </c>
      <c r="J4" s="90" t="s">
        <v>31</v>
      </c>
      <c r="K4" s="90" t="s">
        <v>26</v>
      </c>
      <c r="L4" s="90" t="s">
        <v>27</v>
      </c>
      <c r="M4" s="90" t="s">
        <v>4</v>
      </c>
      <c r="N4" s="90" t="s">
        <v>40</v>
      </c>
      <c r="O4" s="90" t="s">
        <v>41</v>
      </c>
      <c r="P4" s="90" t="s">
        <v>28</v>
      </c>
      <c r="Q4" s="90" t="s">
        <v>29</v>
      </c>
    </row>
    <row r="5" spans="2:17" x14ac:dyDescent="0.2">
      <c r="I5" s="87" t="s">
        <v>65</v>
      </c>
      <c r="J5" s="91"/>
      <c r="K5" s="87" t="str">
        <f>C2</f>
        <v>COA</v>
      </c>
      <c r="L5" s="87" t="str">
        <f>D2</f>
        <v>Solid Fuels</v>
      </c>
      <c r="M5" s="87" t="str">
        <f>$E$2</f>
        <v>PJ</v>
      </c>
      <c r="N5" s="87"/>
      <c r="O5" s="87"/>
      <c r="P5" s="87"/>
      <c r="Q5" s="87"/>
    </row>
    <row r="7" spans="2:17" x14ac:dyDescent="0.2">
      <c r="D7" s="4" t="s">
        <v>13</v>
      </c>
      <c r="F7" s="4"/>
      <c r="I7" s="86" t="s">
        <v>15</v>
      </c>
      <c r="J7" s="86"/>
      <c r="K7" s="91"/>
      <c r="L7" s="91"/>
      <c r="M7" s="91"/>
      <c r="N7" s="91"/>
      <c r="O7" s="91"/>
      <c r="P7" s="91"/>
      <c r="Q7" s="91"/>
    </row>
    <row r="8" spans="2:17" x14ac:dyDescent="0.2">
      <c r="B8" s="3" t="s">
        <v>1</v>
      </c>
      <c r="C8" s="15" t="s">
        <v>5</v>
      </c>
      <c r="D8" s="3" t="s">
        <v>6</v>
      </c>
      <c r="E8" s="53" t="s">
        <v>34</v>
      </c>
      <c r="F8" s="53" t="s">
        <v>35</v>
      </c>
      <c r="G8" s="53" t="s">
        <v>72</v>
      </c>
      <c r="I8" s="88" t="s">
        <v>11</v>
      </c>
      <c r="J8" s="89" t="s">
        <v>30</v>
      </c>
      <c r="K8" s="88" t="s">
        <v>1</v>
      </c>
      <c r="L8" s="88" t="s">
        <v>2</v>
      </c>
      <c r="M8" s="88" t="s">
        <v>16</v>
      </c>
      <c r="N8" s="88" t="s">
        <v>17</v>
      </c>
      <c r="O8" s="88" t="s">
        <v>18</v>
      </c>
      <c r="P8" s="88" t="s">
        <v>19</v>
      </c>
      <c r="Q8" s="88" t="s">
        <v>20</v>
      </c>
    </row>
    <row r="9" spans="2:17" ht="23.25" thickBot="1" x14ac:dyDescent="0.25">
      <c r="B9" s="12" t="s">
        <v>39</v>
      </c>
      <c r="C9" s="12" t="s">
        <v>32</v>
      </c>
      <c r="D9" s="12" t="s">
        <v>33</v>
      </c>
      <c r="E9" s="12" t="s">
        <v>36</v>
      </c>
      <c r="F9" s="12" t="s">
        <v>79</v>
      </c>
      <c r="G9" s="12" t="s">
        <v>78</v>
      </c>
      <c r="I9" s="90" t="s">
        <v>38</v>
      </c>
      <c r="J9" s="90" t="s">
        <v>31</v>
      </c>
      <c r="K9" s="90" t="s">
        <v>21</v>
      </c>
      <c r="L9" s="90" t="s">
        <v>22</v>
      </c>
      <c r="M9" s="90" t="s">
        <v>23</v>
      </c>
      <c r="N9" s="90" t="s">
        <v>24</v>
      </c>
      <c r="O9" s="90" t="s">
        <v>43</v>
      </c>
      <c r="P9" s="90" t="s">
        <v>42</v>
      </c>
      <c r="Q9" s="90" t="s">
        <v>25</v>
      </c>
    </row>
    <row r="10" spans="2:17" ht="13.5" thickBot="1" x14ac:dyDescent="0.25">
      <c r="B10" s="12" t="s">
        <v>77</v>
      </c>
      <c r="C10" s="11"/>
      <c r="D10" s="11"/>
      <c r="E10" s="11" t="str">
        <f>$E$2</f>
        <v>PJ</v>
      </c>
      <c r="F10" s="11" t="str">
        <f>$F$2&amp;"/"&amp;$E$2</f>
        <v>M€2025/PJ</v>
      </c>
      <c r="G10" s="11" t="str">
        <f>$E$2</f>
        <v>PJ</v>
      </c>
      <c r="I10" s="90" t="s">
        <v>73</v>
      </c>
      <c r="J10" s="92"/>
      <c r="K10" s="92"/>
      <c r="L10" s="92"/>
      <c r="M10" s="92"/>
      <c r="N10" s="92"/>
      <c r="O10" s="92"/>
      <c r="P10" s="92"/>
      <c r="Q10" s="92"/>
    </row>
    <row r="11" spans="2:17" x14ac:dyDescent="0.2">
      <c r="B11" s="1" t="str">
        <f>K11</f>
        <v>IMPCOA1</v>
      </c>
      <c r="C11" s="1"/>
      <c r="D11" s="1" t="str">
        <f>$K$5</f>
        <v>COA</v>
      </c>
      <c r="E11" s="1"/>
      <c r="F11" s="50"/>
      <c r="G11" s="5"/>
      <c r="I11" s="91" t="str">
        <f>'EB1'!$B$6</f>
        <v>IMP</v>
      </c>
      <c r="J11" s="91"/>
      <c r="K11" s="91" t="str">
        <f>$I$11&amp;$C$2&amp;1</f>
        <v>IMPCOA1</v>
      </c>
      <c r="L11" s="93" t="str">
        <f>"Import of "&amp;$D$2&amp; " Step "&amp;RIGHT(K11,1)</f>
        <v>Import of Solid Fuels Step 1</v>
      </c>
      <c r="M11" s="91" t="str">
        <f>$E$2</f>
        <v>PJ</v>
      </c>
      <c r="N11" s="91" t="str">
        <f>$E$2&amp;"a"</f>
        <v>PJa</v>
      </c>
      <c r="O11" s="91"/>
      <c r="P11" s="91"/>
      <c r="Q11" s="91"/>
    </row>
    <row r="12" spans="2:17" x14ac:dyDescent="0.2">
      <c r="B12" s="1" t="str">
        <f>K12</f>
        <v>EXPCOA1</v>
      </c>
      <c r="C12" s="1" t="str">
        <f>$K$5</f>
        <v>COA</v>
      </c>
      <c r="D12" s="1"/>
      <c r="F12" s="50"/>
      <c r="G12" s="45"/>
      <c r="I12" s="91" t="str">
        <f>'EB1'!B7</f>
        <v>EXP</v>
      </c>
      <c r="J12" s="91"/>
      <c r="K12" s="91" t="str">
        <f>$I$12&amp;$C$2&amp;1</f>
        <v>EXPCOA1</v>
      </c>
      <c r="L12" s="93" t="str">
        <f>"Export of "&amp;$D$2&amp; " Step "&amp;RIGHT(K12,1)</f>
        <v>Export of Solid Fuels Step 1</v>
      </c>
      <c r="M12" s="91" t="str">
        <f>$E$2</f>
        <v>PJ</v>
      </c>
      <c r="N12" s="91" t="str">
        <f>$E$2&amp;"a"</f>
        <v>PJa</v>
      </c>
      <c r="O12" s="91"/>
      <c r="P12" s="91"/>
      <c r="Q12" s="91"/>
    </row>
    <row r="13" spans="2:17" x14ac:dyDescent="0.2">
      <c r="B13" s="1"/>
      <c r="C13" s="1"/>
      <c r="E13" s="1"/>
      <c r="G13" s="10"/>
    </row>
    <row r="14" spans="2:17" x14ac:dyDescent="0.2">
      <c r="B14" s="1"/>
    </row>
    <row r="19" spans="2:18" s="1" customFormat="1" x14ac:dyDescent="0.2"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</row>
    <row r="20" spans="2:18" x14ac:dyDescent="0.2">
      <c r="R20" s="1"/>
    </row>
    <row r="22" spans="2:18" x14ac:dyDescent="0.2">
      <c r="B22" s="48"/>
      <c r="C22" s="1" t="s">
        <v>114</v>
      </c>
    </row>
    <row r="23" spans="2:18" x14ac:dyDescent="0.2">
      <c r="B23" s="46"/>
      <c r="C23" s="1" t="s">
        <v>115</v>
      </c>
    </row>
  </sheetData>
  <pageMargins left="0.75" right="0.75" top="1" bottom="1" header="0.5" footer="0.5"/>
  <pageSetup orientation="portrait" horizontalDpi="4294967292" r:id="rId1"/>
  <headerFooter alignWithMargins="0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3D601-8357-4014-BBD5-DE38AC19BE99}">
  <dimension ref="B1:Z26"/>
  <sheetViews>
    <sheetView workbookViewId="0">
      <selection activeCell="B11" sqref="B11"/>
    </sheetView>
  </sheetViews>
  <sheetFormatPr defaultRowHeight="12.75" x14ac:dyDescent="0.2"/>
  <cols>
    <col min="1" max="1" width="2" bestFit="1" customWidth="1"/>
    <col min="2" max="2" width="13.28515625" bestFit="1" customWidth="1"/>
    <col min="3" max="3" width="11.28515625" bestFit="1" customWidth="1"/>
    <col min="4" max="4" width="11.7109375" customWidth="1"/>
    <col min="5" max="5" width="14.42578125" customWidth="1"/>
    <col min="6" max="6" width="8.42578125" bestFit="1" customWidth="1"/>
    <col min="7" max="7" width="14" customWidth="1"/>
    <col min="8" max="8" width="2" bestFit="1" customWidth="1"/>
    <col min="9" max="9" width="13.7109375" customWidth="1"/>
    <col min="10" max="10" width="7.140625" customWidth="1"/>
    <col min="11" max="11" width="11.42578125" bestFit="1" customWidth="1"/>
    <col min="12" max="12" width="35" bestFit="1" customWidth="1"/>
    <col min="13" max="13" width="6.140625" bestFit="1" customWidth="1"/>
    <col min="14" max="14" width="11.5703125" customWidth="1"/>
    <col min="15" max="15" width="13" customWidth="1"/>
    <col min="16" max="16" width="15.140625" customWidth="1"/>
    <col min="17" max="17" width="7.5703125" bestFit="1" customWidth="1"/>
    <col min="22" max="22" width="30.28515625" bestFit="1" customWidth="1"/>
    <col min="23" max="23" width="12.42578125" bestFit="1" customWidth="1"/>
    <col min="24" max="24" width="14.28515625" bestFit="1" customWidth="1"/>
    <col min="26" max="26" width="11.85546875" bestFit="1" customWidth="1"/>
  </cols>
  <sheetData>
    <row r="1" spans="2:26" ht="30" x14ac:dyDescent="0.25">
      <c r="B1" s="24" t="s">
        <v>66</v>
      </c>
      <c r="C1" s="24" t="s">
        <v>67</v>
      </c>
      <c r="D1" s="24" t="s">
        <v>68</v>
      </c>
      <c r="E1" s="24" t="s">
        <v>70</v>
      </c>
      <c r="F1" s="24" t="s">
        <v>71</v>
      </c>
    </row>
    <row r="2" spans="2:26" ht="15.75" x14ac:dyDescent="0.25">
      <c r="B2" s="9"/>
      <c r="C2" s="9" t="s">
        <v>139</v>
      </c>
      <c r="D2" s="9" t="s">
        <v>140</v>
      </c>
      <c r="E2" s="9" t="str">
        <f>'EB1'!Z2</f>
        <v>PJ</v>
      </c>
      <c r="F2" s="9" t="str">
        <f>'EB1'!Y2</f>
        <v>M€2025</v>
      </c>
      <c r="I2" s="86" t="s">
        <v>14</v>
      </c>
      <c r="J2" s="86"/>
      <c r="K2" s="87"/>
      <c r="L2" s="87"/>
      <c r="M2" s="87"/>
      <c r="N2" s="87"/>
      <c r="O2" s="87"/>
      <c r="P2" s="87"/>
      <c r="Q2" s="87"/>
    </row>
    <row r="3" spans="2:26" x14ac:dyDescent="0.2">
      <c r="I3" s="88" t="s">
        <v>7</v>
      </c>
      <c r="J3" s="89" t="s">
        <v>30</v>
      </c>
      <c r="K3" s="88" t="s">
        <v>0</v>
      </c>
      <c r="L3" s="88" t="s">
        <v>3</v>
      </c>
      <c r="M3" s="88" t="s">
        <v>4</v>
      </c>
      <c r="N3" s="88" t="s">
        <v>8</v>
      </c>
      <c r="O3" s="88" t="s">
        <v>9</v>
      </c>
      <c r="P3" s="88" t="s">
        <v>10</v>
      </c>
      <c r="Q3" s="88" t="s">
        <v>12</v>
      </c>
    </row>
    <row r="4" spans="2:26" ht="23.25" thickBot="1" x14ac:dyDescent="0.25">
      <c r="B4" t="s">
        <v>141</v>
      </c>
      <c r="C4">
        <v>4.1868000000000002E-2</v>
      </c>
      <c r="I4" s="90" t="s">
        <v>37</v>
      </c>
      <c r="J4" s="90" t="s">
        <v>31</v>
      </c>
      <c r="K4" s="90" t="s">
        <v>26</v>
      </c>
      <c r="L4" s="90" t="s">
        <v>27</v>
      </c>
      <c r="M4" s="90" t="s">
        <v>4</v>
      </c>
      <c r="N4" s="90" t="s">
        <v>40</v>
      </c>
      <c r="O4" s="90" t="s">
        <v>41</v>
      </c>
      <c r="P4" s="90" t="s">
        <v>28</v>
      </c>
      <c r="Q4" s="90" t="s">
        <v>29</v>
      </c>
    </row>
    <row r="5" spans="2:26" x14ac:dyDescent="0.2">
      <c r="I5" s="87" t="s">
        <v>65</v>
      </c>
      <c r="J5" s="91"/>
      <c r="K5" s="87" t="str">
        <f>C2</f>
        <v>SHL</v>
      </c>
      <c r="L5" s="87" t="str">
        <f>D2</f>
        <v>Oil shale</v>
      </c>
      <c r="M5" s="87" t="str">
        <f>$E$2</f>
        <v>PJ</v>
      </c>
      <c r="N5" s="87"/>
      <c r="O5" s="87"/>
      <c r="P5" s="87"/>
      <c r="Q5" s="87"/>
    </row>
    <row r="6" spans="2:26" x14ac:dyDescent="0.2">
      <c r="V6" t="s">
        <v>143</v>
      </c>
      <c r="W6">
        <v>9.5</v>
      </c>
    </row>
    <row r="7" spans="2:26" x14ac:dyDescent="0.2">
      <c r="D7" s="4" t="s">
        <v>13</v>
      </c>
      <c r="F7" s="4"/>
      <c r="I7" s="86" t="s">
        <v>15</v>
      </c>
      <c r="J7" s="86"/>
      <c r="K7" s="91"/>
      <c r="L7" s="91"/>
      <c r="M7" s="91"/>
      <c r="N7" s="91"/>
      <c r="O7" s="91"/>
      <c r="P7" s="91"/>
      <c r="Q7" s="91"/>
      <c r="V7" t="s">
        <v>146</v>
      </c>
      <c r="W7">
        <f>1000000000/(W6*1000)</f>
        <v>105263.15789473684</v>
      </c>
    </row>
    <row r="8" spans="2:26" x14ac:dyDescent="0.2">
      <c r="B8" s="3" t="s">
        <v>1</v>
      </c>
      <c r="C8" s="15" t="s">
        <v>5</v>
      </c>
      <c r="D8" s="3" t="s">
        <v>6</v>
      </c>
      <c r="E8" s="53" t="s">
        <v>34</v>
      </c>
      <c r="F8" s="53" t="s">
        <v>35</v>
      </c>
      <c r="G8" s="53" t="s">
        <v>72</v>
      </c>
      <c r="I8" s="88" t="s">
        <v>11</v>
      </c>
      <c r="J8" s="89" t="s">
        <v>30</v>
      </c>
      <c r="K8" s="88" t="s">
        <v>1</v>
      </c>
      <c r="L8" s="88" t="s">
        <v>2</v>
      </c>
      <c r="M8" s="88" t="s">
        <v>16</v>
      </c>
      <c r="N8" s="88" t="s">
        <v>17</v>
      </c>
      <c r="O8" s="88" t="s">
        <v>18</v>
      </c>
      <c r="P8" s="88" t="s">
        <v>19</v>
      </c>
      <c r="Q8" s="88" t="s">
        <v>20</v>
      </c>
    </row>
    <row r="9" spans="2:26" ht="23.25" thickBot="1" x14ac:dyDescent="0.25">
      <c r="B9" s="12" t="s">
        <v>39</v>
      </c>
      <c r="C9" s="12" t="s">
        <v>32</v>
      </c>
      <c r="D9" s="12" t="s">
        <v>33</v>
      </c>
      <c r="E9" s="12" t="s">
        <v>36</v>
      </c>
      <c r="F9" s="12" t="s">
        <v>79</v>
      </c>
      <c r="G9" s="12" t="s">
        <v>78</v>
      </c>
      <c r="I9" s="90" t="s">
        <v>38</v>
      </c>
      <c r="J9" s="90" t="s">
        <v>31</v>
      </c>
      <c r="K9" s="90" t="s">
        <v>21</v>
      </c>
      <c r="L9" s="90" t="s">
        <v>22</v>
      </c>
      <c r="M9" s="90" t="s">
        <v>23</v>
      </c>
      <c r="N9" s="90" t="s">
        <v>24</v>
      </c>
      <c r="O9" s="90" t="s">
        <v>43</v>
      </c>
      <c r="P9" s="90" t="s">
        <v>42</v>
      </c>
      <c r="Q9" s="90" t="s">
        <v>25</v>
      </c>
      <c r="W9" t="s">
        <v>142</v>
      </c>
      <c r="X9" t="s">
        <v>144</v>
      </c>
      <c r="Y9" t="s">
        <v>145</v>
      </c>
      <c r="Z9" t="s">
        <v>147</v>
      </c>
    </row>
    <row r="10" spans="2:26" ht="13.5" thickBot="1" x14ac:dyDescent="0.25">
      <c r="B10" s="12" t="s">
        <v>77</v>
      </c>
      <c r="C10" s="11"/>
      <c r="D10" s="11"/>
      <c r="E10" s="11" t="str">
        <f>$E$2</f>
        <v>PJ</v>
      </c>
      <c r="F10" s="11" t="str">
        <f>$F$2&amp;"/"&amp;$E$2</f>
        <v>M€2025/PJ</v>
      </c>
      <c r="G10" s="11" t="str">
        <f>$E$2</f>
        <v>PJ</v>
      </c>
      <c r="I10" s="90" t="s">
        <v>73</v>
      </c>
      <c r="J10" s="92"/>
      <c r="K10" s="92"/>
      <c r="L10" s="92"/>
      <c r="M10" s="92"/>
      <c r="N10" s="92"/>
      <c r="O10" s="92"/>
      <c r="P10" s="92"/>
      <c r="Q10" s="92"/>
      <c r="V10">
        <v>2025</v>
      </c>
      <c r="W10">
        <v>8021108</v>
      </c>
      <c r="X10">
        <f>W10*1000*W6/1000000000</f>
        <v>76.200525999999996</v>
      </c>
      <c r="Y10">
        <v>30</v>
      </c>
      <c r="Z10">
        <f>W7*Y10/1000000</f>
        <v>3.1578947368421053</v>
      </c>
    </row>
    <row r="11" spans="2:26" x14ac:dyDescent="0.2">
      <c r="B11" s="87" t="str">
        <f>K11</f>
        <v>MINSHL1</v>
      </c>
      <c r="C11" s="1"/>
      <c r="D11" s="1" t="str">
        <f>$K$5</f>
        <v>SHL</v>
      </c>
      <c r="E11" s="48"/>
      <c r="F11" s="50">
        <f>Z10</f>
        <v>3.1578947368421053</v>
      </c>
      <c r="G11" s="44">
        <f>X10</f>
        <v>76.200525999999996</v>
      </c>
      <c r="I11" s="87" t="str">
        <f>'EB1'!$B$5</f>
        <v>MIN</v>
      </c>
      <c r="J11" s="91"/>
      <c r="K11" s="91" t="str">
        <f>$I$11&amp;$C$2&amp;1</f>
        <v>MINSHL1</v>
      </c>
      <c r="L11" s="93" t="str">
        <f>"Domestic Supply of "&amp;$D$2&amp; " Step "&amp;RIGHT(K11,1)</f>
        <v>Domestic Supply of Oil shale Step 1</v>
      </c>
      <c r="M11" s="91" t="str">
        <f>$E$2</f>
        <v>PJ</v>
      </c>
      <c r="N11" s="91" t="str">
        <f>$E$2&amp;"a"</f>
        <v>PJa</v>
      </c>
      <c r="O11" s="91"/>
      <c r="P11" s="91"/>
      <c r="Q11" s="91"/>
    </row>
    <row r="12" spans="2:26" x14ac:dyDescent="0.2">
      <c r="B12" s="1"/>
      <c r="C12" s="1"/>
      <c r="D12" s="1"/>
      <c r="E12" s="48"/>
      <c r="F12" s="50"/>
      <c r="G12" s="44"/>
      <c r="I12" s="91"/>
      <c r="J12" s="91"/>
      <c r="K12" s="91"/>
      <c r="L12" s="93"/>
      <c r="M12" s="91"/>
      <c r="N12" s="91"/>
      <c r="O12" s="91"/>
      <c r="P12" s="91"/>
      <c r="Q12" s="91"/>
    </row>
    <row r="13" spans="2:26" x14ac:dyDescent="0.2">
      <c r="B13" s="1"/>
      <c r="C13" s="1"/>
      <c r="D13" s="1"/>
      <c r="E13" s="48"/>
      <c r="F13" s="50"/>
      <c r="G13" s="10"/>
      <c r="I13" s="91"/>
      <c r="J13" s="91"/>
      <c r="K13" s="91"/>
      <c r="L13" s="93"/>
      <c r="M13" s="91"/>
      <c r="N13" s="91"/>
      <c r="O13" s="91"/>
      <c r="P13" s="91"/>
      <c r="Q13" s="91"/>
    </row>
    <row r="14" spans="2:26" x14ac:dyDescent="0.2">
      <c r="B14" s="1"/>
      <c r="C14" s="1"/>
      <c r="D14" s="1"/>
      <c r="E14" s="1"/>
      <c r="F14" s="50"/>
      <c r="G14" s="5"/>
      <c r="I14" s="91"/>
      <c r="J14" s="91"/>
      <c r="K14" s="91"/>
      <c r="L14" s="93"/>
      <c r="M14" s="91"/>
      <c r="N14" s="91"/>
      <c r="O14" s="91"/>
      <c r="P14" s="91"/>
      <c r="Q14" s="91"/>
    </row>
    <row r="15" spans="2:26" x14ac:dyDescent="0.2">
      <c r="B15" s="1"/>
      <c r="C15" s="1"/>
      <c r="D15" s="1"/>
      <c r="F15" s="50"/>
      <c r="G15" s="45"/>
      <c r="I15" s="91"/>
      <c r="J15" s="91"/>
      <c r="K15" s="91"/>
      <c r="L15" s="93"/>
      <c r="M15" s="91"/>
      <c r="N15" s="91"/>
      <c r="O15" s="91"/>
      <c r="P15" s="91"/>
      <c r="Q15" s="91"/>
    </row>
    <row r="16" spans="2:26" x14ac:dyDescent="0.2">
      <c r="B16" s="1"/>
      <c r="C16" s="1"/>
      <c r="E16" s="1"/>
      <c r="G16" s="10"/>
    </row>
    <row r="17" spans="2:18" x14ac:dyDescent="0.2">
      <c r="B17" s="1"/>
    </row>
    <row r="22" spans="2:18" s="1" customFormat="1" x14ac:dyDescent="0.2"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</row>
    <row r="23" spans="2:18" x14ac:dyDescent="0.2">
      <c r="R23" s="1"/>
    </row>
    <row r="25" spans="2:18" x14ac:dyDescent="0.2">
      <c r="B25" s="48"/>
      <c r="C25" s="1" t="s">
        <v>114</v>
      </c>
    </row>
    <row r="26" spans="2:18" x14ac:dyDescent="0.2">
      <c r="B26" s="46"/>
      <c r="C26" s="1" t="s">
        <v>115</v>
      </c>
    </row>
  </sheetData>
  <pageMargins left="0.7" right="0.7" top="0.75" bottom="0.75" header="0.3" footer="0.3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U21"/>
  <sheetViews>
    <sheetView zoomScaleNormal="100" workbookViewId="0">
      <selection activeCell="F11" sqref="F11:F12"/>
    </sheetView>
  </sheetViews>
  <sheetFormatPr defaultRowHeight="12.75" x14ac:dyDescent="0.2"/>
  <cols>
    <col min="1" max="1" width="2" bestFit="1" customWidth="1"/>
    <col min="2" max="2" width="13.28515625" bestFit="1" customWidth="1"/>
    <col min="3" max="3" width="11.28515625" bestFit="1" customWidth="1"/>
    <col min="4" max="4" width="11.7109375" customWidth="1"/>
    <col min="5" max="5" width="14.5703125" bestFit="1" customWidth="1"/>
    <col min="6" max="6" width="8.7109375" customWidth="1"/>
    <col min="7" max="7" width="16" customWidth="1"/>
    <col min="8" max="10" width="15.28515625" customWidth="1"/>
    <col min="11" max="11" width="2" bestFit="1" customWidth="1"/>
    <col min="12" max="12" width="13.7109375" customWidth="1"/>
    <col min="13" max="13" width="7.140625" customWidth="1"/>
    <col min="14" max="14" width="11.42578125" bestFit="1" customWidth="1"/>
    <col min="15" max="15" width="35" bestFit="1" customWidth="1"/>
    <col min="16" max="16" width="6.7109375" customWidth="1"/>
    <col min="17" max="17" width="11.5703125" customWidth="1"/>
    <col min="18" max="18" width="13" customWidth="1"/>
    <col min="19" max="19" width="15.140625" customWidth="1"/>
    <col min="20" max="20" width="7.5703125" bestFit="1" customWidth="1"/>
  </cols>
  <sheetData>
    <row r="1" spans="2:20" ht="30" x14ac:dyDescent="0.25">
      <c r="B1" s="24" t="s">
        <v>66</v>
      </c>
      <c r="C1" s="24" t="s">
        <v>67</v>
      </c>
      <c r="D1" s="24" t="s">
        <v>68</v>
      </c>
      <c r="E1" s="24" t="s">
        <v>70</v>
      </c>
      <c r="F1" s="24" t="s">
        <v>71</v>
      </c>
    </row>
    <row r="2" spans="2:20" ht="15.75" x14ac:dyDescent="0.25">
      <c r="B2" s="9"/>
      <c r="C2" s="9" t="str">
        <f>'EB1'!E2</f>
        <v>GAS</v>
      </c>
      <c r="D2" s="9" t="str">
        <f>'EB1'!E3</f>
        <v>Natural Gas</v>
      </c>
      <c r="E2" s="9" t="str">
        <f>'EB1'!Z2</f>
        <v>PJ</v>
      </c>
      <c r="F2" s="9" t="str">
        <f>'EB1'!Y2</f>
        <v>M€2025</v>
      </c>
      <c r="L2" s="86" t="s">
        <v>14</v>
      </c>
      <c r="M2" s="86"/>
      <c r="N2" s="87"/>
      <c r="O2" s="87"/>
      <c r="P2" s="87"/>
      <c r="Q2" s="87"/>
      <c r="R2" s="87"/>
      <c r="S2" s="87"/>
      <c r="T2" s="87"/>
    </row>
    <row r="3" spans="2:20" x14ac:dyDescent="0.2">
      <c r="L3" s="88" t="s">
        <v>7</v>
      </c>
      <c r="M3" s="89" t="s">
        <v>30</v>
      </c>
      <c r="N3" s="88" t="s">
        <v>0</v>
      </c>
      <c r="O3" s="88" t="s">
        <v>3</v>
      </c>
      <c r="P3" s="88" t="s">
        <v>4</v>
      </c>
      <c r="Q3" s="88" t="s">
        <v>8</v>
      </c>
      <c r="R3" s="88" t="s">
        <v>9</v>
      </c>
      <c r="S3" s="88" t="s">
        <v>10</v>
      </c>
      <c r="T3" s="88" t="s">
        <v>12</v>
      </c>
    </row>
    <row r="4" spans="2:20" ht="23.25" thickBot="1" x14ac:dyDescent="0.25">
      <c r="B4" t="s">
        <v>141</v>
      </c>
      <c r="C4">
        <v>4.1868000000000002E-2</v>
      </c>
      <c r="L4" s="90" t="s">
        <v>37</v>
      </c>
      <c r="M4" s="90" t="s">
        <v>31</v>
      </c>
      <c r="N4" s="90" t="s">
        <v>26</v>
      </c>
      <c r="O4" s="90" t="s">
        <v>27</v>
      </c>
      <c r="P4" s="90" t="s">
        <v>4</v>
      </c>
      <c r="Q4" s="90" t="s">
        <v>40</v>
      </c>
      <c r="R4" s="90" t="s">
        <v>41</v>
      </c>
      <c r="S4" s="90" t="s">
        <v>28</v>
      </c>
      <c r="T4" s="90" t="s">
        <v>29</v>
      </c>
    </row>
    <row r="5" spans="2:20" x14ac:dyDescent="0.2">
      <c r="B5" t="s">
        <v>171</v>
      </c>
      <c r="C5">
        <v>3.5999999999999998E-6</v>
      </c>
      <c r="L5" s="87" t="s">
        <v>65</v>
      </c>
      <c r="M5" s="91"/>
      <c r="N5" s="87" t="str">
        <f>C2</f>
        <v>GAS</v>
      </c>
      <c r="O5" s="87" t="str">
        <f>D2</f>
        <v>Natural Gas</v>
      </c>
      <c r="P5" s="87" t="str">
        <f>$E$2</f>
        <v>PJ</v>
      </c>
      <c r="Q5" s="87"/>
      <c r="R5" s="87"/>
      <c r="S5" s="87"/>
      <c r="T5" s="87"/>
    </row>
    <row r="7" spans="2:20" x14ac:dyDescent="0.2">
      <c r="D7" s="4" t="s">
        <v>13</v>
      </c>
      <c r="F7" s="4"/>
      <c r="L7" s="86" t="s">
        <v>15</v>
      </c>
      <c r="M7" s="86"/>
      <c r="N7" s="91"/>
      <c r="O7" s="91"/>
      <c r="P7" s="91"/>
      <c r="Q7" s="91"/>
      <c r="R7" s="91"/>
      <c r="S7" s="91"/>
      <c r="T7" s="91"/>
    </row>
    <row r="8" spans="2:20" x14ac:dyDescent="0.2">
      <c r="B8" s="3" t="s">
        <v>1</v>
      </c>
      <c r="C8" s="15" t="s">
        <v>5</v>
      </c>
      <c r="D8" s="3" t="s">
        <v>6</v>
      </c>
      <c r="E8" s="53" t="s">
        <v>34</v>
      </c>
      <c r="F8" s="53" t="s">
        <v>35</v>
      </c>
      <c r="G8" s="53" t="s">
        <v>162</v>
      </c>
      <c r="H8" s="53" t="s">
        <v>163</v>
      </c>
      <c r="I8" s="53" t="s">
        <v>164</v>
      </c>
      <c r="J8" s="53" t="s">
        <v>165</v>
      </c>
      <c r="L8" s="88" t="s">
        <v>11</v>
      </c>
      <c r="M8" s="89" t="s">
        <v>30</v>
      </c>
      <c r="N8" s="88" t="s">
        <v>1</v>
      </c>
      <c r="O8" s="88" t="s">
        <v>2</v>
      </c>
      <c r="P8" s="88" t="s">
        <v>16</v>
      </c>
      <c r="Q8" s="88" t="s">
        <v>17</v>
      </c>
      <c r="R8" s="88" t="s">
        <v>18</v>
      </c>
      <c r="S8" s="88" t="s">
        <v>19</v>
      </c>
      <c r="T8" s="88" t="s">
        <v>20</v>
      </c>
    </row>
    <row r="9" spans="2:20" ht="23.25" thickBot="1" x14ac:dyDescent="0.25">
      <c r="B9" s="12" t="s">
        <v>39</v>
      </c>
      <c r="C9" s="12" t="s">
        <v>32</v>
      </c>
      <c r="D9" s="12" t="s">
        <v>33</v>
      </c>
      <c r="E9" s="12" t="s">
        <v>36</v>
      </c>
      <c r="F9" s="12" t="s">
        <v>79</v>
      </c>
      <c r="G9" s="12" t="s">
        <v>78</v>
      </c>
      <c r="H9" s="12" t="s">
        <v>78</v>
      </c>
      <c r="I9" s="12" t="s">
        <v>78</v>
      </c>
      <c r="J9" s="12" t="s">
        <v>78</v>
      </c>
      <c r="L9" s="90" t="s">
        <v>38</v>
      </c>
      <c r="M9" s="90" t="s">
        <v>31</v>
      </c>
      <c r="N9" s="90" t="s">
        <v>21</v>
      </c>
      <c r="O9" s="90" t="s">
        <v>22</v>
      </c>
      <c r="P9" s="90" t="s">
        <v>23</v>
      </c>
      <c r="Q9" s="90" t="s">
        <v>24</v>
      </c>
      <c r="R9" s="90" t="s">
        <v>43</v>
      </c>
      <c r="S9" s="90" t="s">
        <v>42</v>
      </c>
      <c r="T9" s="90" t="s">
        <v>25</v>
      </c>
    </row>
    <row r="10" spans="2:20" ht="13.5" thickBot="1" x14ac:dyDescent="0.25">
      <c r="B10" s="12" t="s">
        <v>77</v>
      </c>
      <c r="C10" s="11"/>
      <c r="D10" s="11"/>
      <c r="E10" s="11" t="str">
        <f>$E$2</f>
        <v>PJ</v>
      </c>
      <c r="F10" s="11" t="str">
        <f>$F$2&amp;"/"&amp;$E$2</f>
        <v>M€2025/PJ</v>
      </c>
      <c r="G10" s="11" t="str">
        <f>$E$2</f>
        <v>PJ</v>
      </c>
      <c r="H10" s="11" t="str">
        <f t="shared" ref="H10:J10" si="0">$E$2</f>
        <v>PJ</v>
      </c>
      <c r="I10" s="11" t="str">
        <f t="shared" si="0"/>
        <v>PJ</v>
      </c>
      <c r="J10" s="11" t="str">
        <f t="shared" si="0"/>
        <v>PJ</v>
      </c>
      <c r="L10" s="90" t="s">
        <v>73</v>
      </c>
      <c r="M10" s="92"/>
      <c r="N10" s="92"/>
      <c r="O10" s="92"/>
      <c r="P10" s="92"/>
      <c r="Q10" s="92"/>
      <c r="R10" s="92"/>
      <c r="S10" s="92"/>
      <c r="T10" s="92"/>
    </row>
    <row r="11" spans="2:20" x14ac:dyDescent="0.2">
      <c r="B11" s="1" t="str">
        <f>N11</f>
        <v>IMPGAS1</v>
      </c>
      <c r="C11" s="1"/>
      <c r="D11" s="1" t="str">
        <f>$N$5</f>
        <v>GAS</v>
      </c>
      <c r="F11" s="49"/>
      <c r="G11" s="45">
        <f>'JRC-IDEES2023'!D5</f>
        <v>369.77644024075659</v>
      </c>
      <c r="H11" s="45">
        <f>'JRC-IDEES2023'!E5</f>
        <v>418.15907136715379</v>
      </c>
      <c r="I11" s="45">
        <f>'JRC-IDEES2023'!F5</f>
        <v>347.09088564058459</v>
      </c>
      <c r="J11" s="45">
        <f>'JRC-IDEES2023'!G5</f>
        <v>269.10361134995702</v>
      </c>
      <c r="L11" s="91" t="str">
        <f>'EB1'!$B$6</f>
        <v>IMP</v>
      </c>
      <c r="M11" s="91"/>
      <c r="N11" s="91" t="str">
        <f>$L$11&amp;$C$2&amp;1</f>
        <v>IMPGAS1</v>
      </c>
      <c r="O11" s="93" t="str">
        <f>"Import of "&amp;$D$2&amp; " Step "&amp;RIGHT(N11,1)</f>
        <v>Import of Natural Gas Step 1</v>
      </c>
      <c r="P11" s="91" t="str">
        <f>$E$2</f>
        <v>PJ</v>
      </c>
      <c r="Q11" s="91" t="str">
        <f>$E$2&amp;"a"</f>
        <v>PJa</v>
      </c>
      <c r="R11" s="91"/>
      <c r="S11" s="91"/>
      <c r="T11" s="91"/>
    </row>
    <row r="12" spans="2:20" x14ac:dyDescent="0.2">
      <c r="B12" s="1" t="str">
        <f>N12</f>
        <v>EXPGAS1</v>
      </c>
      <c r="C12" s="1" t="str">
        <f>$N$5</f>
        <v>GAS</v>
      </c>
      <c r="F12" s="49"/>
      <c r="G12" s="45"/>
      <c r="H12" s="45"/>
      <c r="I12" s="45"/>
      <c r="J12" s="45"/>
      <c r="L12" s="91" t="str">
        <f>'EB1'!B7</f>
        <v>EXP</v>
      </c>
      <c r="M12" s="91"/>
      <c r="N12" s="91" t="str">
        <f>$L$12&amp;$C$2&amp;1</f>
        <v>EXPGAS1</v>
      </c>
      <c r="O12" s="93" t="str">
        <f>"Export of "&amp;$D$2&amp; " Step "&amp;RIGHT(N12,1)</f>
        <v>Export of Natural Gas Step 1</v>
      </c>
      <c r="P12" s="91" t="str">
        <f>$E$2</f>
        <v>PJ</v>
      </c>
      <c r="Q12" s="91" t="str">
        <f>$E$2&amp;"a"</f>
        <v>PJa</v>
      </c>
      <c r="R12" s="91"/>
      <c r="S12" s="91"/>
      <c r="T12" s="91"/>
    </row>
    <row r="13" spans="2:20" x14ac:dyDescent="0.2">
      <c r="B13" s="1"/>
      <c r="F13" s="51"/>
    </row>
    <row r="19" spans="2:21" x14ac:dyDescent="0.2">
      <c r="B19" s="48"/>
      <c r="C19" s="1" t="s">
        <v>114</v>
      </c>
    </row>
    <row r="20" spans="2:21" s="1" customFormat="1" x14ac:dyDescent="0.2">
      <c r="B20" s="46"/>
      <c r="C20" s="1" t="s">
        <v>115</v>
      </c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</row>
    <row r="21" spans="2:21" x14ac:dyDescent="0.2">
      <c r="K21" s="1"/>
      <c r="U21" s="1"/>
    </row>
  </sheetData>
  <pageMargins left="0.75" right="0.75" top="1" bottom="1" header="0.5" footer="0.5"/>
  <pageSetup orientation="portrait" horizontalDpi="4294967292" r:id="rId1"/>
  <headerFooter alignWithMargins="0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W21"/>
  <sheetViews>
    <sheetView zoomScaleNormal="100" workbookViewId="0">
      <selection activeCell="B11" sqref="B11"/>
    </sheetView>
  </sheetViews>
  <sheetFormatPr defaultRowHeight="12.75" x14ac:dyDescent="0.2"/>
  <cols>
    <col min="1" max="1" width="2" bestFit="1" customWidth="1"/>
    <col min="2" max="2" width="13.28515625" bestFit="1" customWidth="1"/>
    <col min="3" max="3" width="11.28515625" bestFit="1" customWidth="1"/>
    <col min="4" max="4" width="11.7109375" customWidth="1"/>
    <col min="5" max="5" width="14.5703125" bestFit="1" customWidth="1"/>
    <col min="6" max="6" width="8.140625" customWidth="1"/>
    <col min="7" max="7" width="14.140625" customWidth="1"/>
    <col min="8" max="8" width="2" bestFit="1" customWidth="1"/>
    <col min="9" max="9" width="13.7109375" customWidth="1"/>
    <col min="10" max="10" width="7.140625" customWidth="1"/>
    <col min="11" max="11" width="11.42578125" bestFit="1" customWidth="1"/>
    <col min="12" max="12" width="35" bestFit="1" customWidth="1"/>
    <col min="13" max="13" width="6.5703125" customWidth="1"/>
    <col min="14" max="14" width="11.5703125" customWidth="1"/>
    <col min="15" max="15" width="13" customWidth="1"/>
    <col min="16" max="16" width="15.140625" customWidth="1"/>
    <col min="17" max="17" width="7.5703125" bestFit="1" customWidth="1"/>
  </cols>
  <sheetData>
    <row r="1" spans="2:23" ht="30" x14ac:dyDescent="0.25">
      <c r="B1" s="24" t="s">
        <v>66</v>
      </c>
      <c r="C1" s="24" t="s">
        <v>67</v>
      </c>
      <c r="D1" s="24" t="s">
        <v>68</v>
      </c>
      <c r="E1" s="24" t="s">
        <v>70</v>
      </c>
      <c r="F1" s="24" t="s">
        <v>71</v>
      </c>
    </row>
    <row r="2" spans="2:23" ht="15.75" x14ac:dyDescent="0.25">
      <c r="B2" s="9"/>
      <c r="C2" s="9" t="str">
        <f>'EB1'!F2</f>
        <v>OIL</v>
      </c>
      <c r="D2" s="9" t="str">
        <f>'EB1'!F3</f>
        <v>Crude Oil</v>
      </c>
      <c r="E2" s="9" t="str">
        <f>'EB1'!Z2</f>
        <v>PJ</v>
      </c>
      <c r="F2" s="9" t="str">
        <f>'EB1'!Y2</f>
        <v>M€2025</v>
      </c>
      <c r="I2" s="86" t="s">
        <v>14</v>
      </c>
      <c r="J2" s="86"/>
      <c r="K2" s="87"/>
      <c r="L2" s="87"/>
      <c r="M2" s="87"/>
      <c r="N2" s="87"/>
      <c r="O2" s="87"/>
      <c r="P2" s="87"/>
      <c r="Q2" s="87"/>
    </row>
    <row r="3" spans="2:23" x14ac:dyDescent="0.2">
      <c r="I3" s="88" t="s">
        <v>7</v>
      </c>
      <c r="J3" s="89" t="s">
        <v>30</v>
      </c>
      <c r="K3" s="88" t="s">
        <v>0</v>
      </c>
      <c r="L3" s="88" t="s">
        <v>3</v>
      </c>
      <c r="M3" s="88" t="s">
        <v>4</v>
      </c>
      <c r="N3" s="88" t="s">
        <v>8</v>
      </c>
      <c r="O3" s="88" t="s">
        <v>9</v>
      </c>
      <c r="P3" s="88" t="s">
        <v>10</v>
      </c>
      <c r="Q3" s="88" t="s">
        <v>12</v>
      </c>
    </row>
    <row r="4" spans="2:23" ht="23.25" thickBot="1" x14ac:dyDescent="0.25">
      <c r="C4" s="1"/>
      <c r="I4" s="90" t="s">
        <v>37</v>
      </c>
      <c r="J4" s="90" t="s">
        <v>31</v>
      </c>
      <c r="K4" s="90" t="s">
        <v>26</v>
      </c>
      <c r="L4" s="90" t="s">
        <v>27</v>
      </c>
      <c r="M4" s="90" t="s">
        <v>4</v>
      </c>
      <c r="N4" s="90" t="s">
        <v>40</v>
      </c>
      <c r="O4" s="90" t="s">
        <v>41</v>
      </c>
      <c r="P4" s="90" t="s">
        <v>28</v>
      </c>
      <c r="Q4" s="90" t="s">
        <v>29</v>
      </c>
    </row>
    <row r="5" spans="2:23" x14ac:dyDescent="0.2">
      <c r="I5" s="87" t="s">
        <v>65</v>
      </c>
      <c r="J5" s="91"/>
      <c r="K5" s="87" t="str">
        <f>C2</f>
        <v>OIL</v>
      </c>
      <c r="L5" s="87" t="str">
        <f>D2</f>
        <v>Crude Oil</v>
      </c>
      <c r="M5" s="87" t="str">
        <f>$E$2</f>
        <v>PJ</v>
      </c>
      <c r="N5" s="87"/>
      <c r="O5" s="87"/>
      <c r="P5" s="87"/>
      <c r="Q5" s="87"/>
    </row>
    <row r="7" spans="2:23" x14ac:dyDescent="0.2">
      <c r="D7" s="4" t="s">
        <v>13</v>
      </c>
      <c r="F7" s="4"/>
      <c r="I7" s="86" t="s">
        <v>15</v>
      </c>
      <c r="J7" s="86"/>
      <c r="K7" s="91"/>
      <c r="L7" s="91"/>
      <c r="M7" s="91"/>
      <c r="N7" s="91"/>
      <c r="O7" s="91"/>
      <c r="P7" s="91"/>
      <c r="Q7" s="91"/>
    </row>
    <row r="8" spans="2:23" x14ac:dyDescent="0.2">
      <c r="B8" s="3" t="s">
        <v>1</v>
      </c>
      <c r="C8" s="15" t="s">
        <v>5</v>
      </c>
      <c r="D8" s="3" t="s">
        <v>6</v>
      </c>
      <c r="E8" s="53" t="s">
        <v>34</v>
      </c>
      <c r="F8" s="53" t="s">
        <v>35</v>
      </c>
      <c r="G8" s="53" t="s">
        <v>72</v>
      </c>
      <c r="I8" s="88" t="s">
        <v>11</v>
      </c>
      <c r="J8" s="89" t="s">
        <v>30</v>
      </c>
      <c r="K8" s="88" t="s">
        <v>1</v>
      </c>
      <c r="L8" s="88" t="s">
        <v>2</v>
      </c>
      <c r="M8" s="88" t="s">
        <v>16</v>
      </c>
      <c r="N8" s="88" t="s">
        <v>17</v>
      </c>
      <c r="O8" s="88" t="s">
        <v>18</v>
      </c>
      <c r="P8" s="88" t="s">
        <v>19</v>
      </c>
      <c r="Q8" s="88" t="s">
        <v>20</v>
      </c>
    </row>
    <row r="9" spans="2:23" ht="23.25" thickBot="1" x14ac:dyDescent="0.25">
      <c r="B9" s="12" t="s">
        <v>39</v>
      </c>
      <c r="C9" s="12" t="s">
        <v>32</v>
      </c>
      <c r="D9" s="12" t="s">
        <v>33</v>
      </c>
      <c r="E9" s="12" t="s">
        <v>36</v>
      </c>
      <c r="F9" s="12" t="s">
        <v>79</v>
      </c>
      <c r="G9" s="12" t="s">
        <v>78</v>
      </c>
      <c r="I9" s="90" t="s">
        <v>38</v>
      </c>
      <c r="J9" s="90" t="s">
        <v>31</v>
      </c>
      <c r="K9" s="90" t="s">
        <v>21</v>
      </c>
      <c r="L9" s="90" t="s">
        <v>22</v>
      </c>
      <c r="M9" s="90" t="s">
        <v>23</v>
      </c>
      <c r="N9" s="90" t="s">
        <v>24</v>
      </c>
      <c r="O9" s="90" t="s">
        <v>43</v>
      </c>
      <c r="P9" s="90" t="s">
        <v>42</v>
      </c>
      <c r="Q9" s="90" t="s">
        <v>25</v>
      </c>
    </row>
    <row r="10" spans="2:23" ht="13.5" thickBot="1" x14ac:dyDescent="0.25">
      <c r="B10" s="12" t="s">
        <v>77</v>
      </c>
      <c r="C10" s="11"/>
      <c r="D10" s="11"/>
      <c r="E10" s="11" t="str">
        <f>$E$2</f>
        <v>PJ</v>
      </c>
      <c r="F10" s="11" t="str">
        <f>$F$2&amp;"/"&amp;$E$2</f>
        <v>M€2025/PJ</v>
      </c>
      <c r="G10" s="11" t="str">
        <f>$E$2</f>
        <v>PJ</v>
      </c>
      <c r="I10" s="90" t="s">
        <v>73</v>
      </c>
      <c r="J10" s="92"/>
      <c r="K10" s="92"/>
      <c r="L10" s="92"/>
      <c r="M10" s="92"/>
      <c r="N10" s="92"/>
      <c r="O10" s="92"/>
      <c r="P10" s="92"/>
      <c r="Q10" s="92"/>
    </row>
    <row r="11" spans="2:23" x14ac:dyDescent="0.2">
      <c r="B11" s="1" t="str">
        <f>K11</f>
        <v>IMPOIL1</v>
      </c>
      <c r="C11" s="1"/>
      <c r="D11" s="1" t="str">
        <f>$K$5</f>
        <v>OIL</v>
      </c>
      <c r="E11" s="38"/>
      <c r="F11" s="49">
        <v>8</v>
      </c>
      <c r="G11" s="10"/>
      <c r="I11" s="91" t="str">
        <f>'EB1'!$B$6</f>
        <v>IMP</v>
      </c>
      <c r="J11" s="91"/>
      <c r="K11" s="91" t="str">
        <f>$I$11&amp;$C$2&amp;1</f>
        <v>IMPOIL1</v>
      </c>
      <c r="L11" s="93" t="str">
        <f>"Import of "&amp;$D$2&amp; " Step "&amp;RIGHT(K11,1)</f>
        <v>Import of Crude Oil Step 1</v>
      </c>
      <c r="M11" s="91" t="str">
        <f>$E$2</f>
        <v>PJ</v>
      </c>
      <c r="N11" s="91" t="str">
        <f>$E$2&amp;"a"</f>
        <v>PJa</v>
      </c>
      <c r="O11" s="91"/>
      <c r="P11" s="91"/>
      <c r="Q11" s="91"/>
    </row>
    <row r="12" spans="2:23" x14ac:dyDescent="0.2">
      <c r="B12" s="1" t="str">
        <f>K12</f>
        <v>EXPOIL1</v>
      </c>
      <c r="C12" s="1" t="str">
        <f>$K$5</f>
        <v>OIL</v>
      </c>
      <c r="D12" s="1"/>
      <c r="E12" s="38"/>
      <c r="F12" s="49">
        <v>8</v>
      </c>
      <c r="G12" s="44"/>
      <c r="I12" s="91" t="str">
        <f>'EB1'!B7</f>
        <v>EXP</v>
      </c>
      <c r="J12" s="91"/>
      <c r="K12" s="91" t="str">
        <f>$I$12&amp;$C$2&amp;1</f>
        <v>EXPOIL1</v>
      </c>
      <c r="L12" s="93" t="str">
        <f>"Export of "&amp;$D$2&amp; " Step "&amp;RIGHT(K12,1)</f>
        <v>Export of Crude Oil Step 1</v>
      </c>
      <c r="M12" s="91" t="str">
        <f>$E$2</f>
        <v>PJ</v>
      </c>
      <c r="N12" s="91" t="str">
        <f>$E$2&amp;"a"</f>
        <v>PJa</v>
      </c>
      <c r="O12" s="91"/>
      <c r="P12" s="91"/>
      <c r="Q12" s="91"/>
    </row>
    <row r="13" spans="2:23" x14ac:dyDescent="0.2">
      <c r="B13" s="1"/>
      <c r="C13" s="1"/>
      <c r="F13" s="51"/>
    </row>
    <row r="14" spans="2:23" x14ac:dyDescent="0.2">
      <c r="B14" s="1"/>
      <c r="F14" s="51"/>
    </row>
    <row r="15" spans="2:23" x14ac:dyDescent="0.2">
      <c r="T15" s="1"/>
      <c r="U15" s="1"/>
    </row>
    <row r="16" spans="2:23" x14ac:dyDescent="0.2">
      <c r="S16" s="1"/>
      <c r="V16" s="1"/>
      <c r="W16" s="1"/>
    </row>
    <row r="20" spans="2:8" x14ac:dyDescent="0.2">
      <c r="B20" s="48"/>
      <c r="C20" s="1" t="s">
        <v>114</v>
      </c>
    </row>
    <row r="21" spans="2:8" x14ac:dyDescent="0.2">
      <c r="B21" s="46"/>
      <c r="C21" s="1" t="s">
        <v>115</v>
      </c>
      <c r="H21" s="1"/>
    </row>
  </sheetData>
  <pageMargins left="0.75" right="0.75" top="1" bottom="1" header="0.5" footer="0.5"/>
  <pageSetup orientation="portrait" horizontalDpi="4294967292" r:id="rId1"/>
  <headerFooter alignWithMargins="0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P24"/>
  <sheetViews>
    <sheetView zoomScaleNormal="100" workbookViewId="0">
      <selection activeCell="I15" sqref="I15"/>
    </sheetView>
  </sheetViews>
  <sheetFormatPr defaultColWidth="8.85546875" defaultRowHeight="12.75" x14ac:dyDescent="0.2"/>
  <cols>
    <col min="1" max="1" width="2" style="27" bestFit="1" customWidth="1"/>
    <col min="2" max="2" width="13.85546875" customWidth="1"/>
    <col min="3" max="3" width="11.85546875" bestFit="1" customWidth="1"/>
    <col min="4" max="4" width="11" customWidth="1"/>
    <col min="5" max="5" width="8.42578125" bestFit="1" customWidth="1"/>
    <col min="6" max="6" width="13.28515625" customWidth="1"/>
    <col min="7" max="7" width="2" style="27" bestFit="1" customWidth="1"/>
    <col min="8" max="8" width="11.85546875" bestFit="1" customWidth="1"/>
    <col min="9" max="9" width="7.42578125" bestFit="1" customWidth="1"/>
    <col min="10" max="10" width="12.140625" bestFit="1" customWidth="1"/>
    <col min="11" max="11" width="37.28515625" bestFit="1" customWidth="1"/>
    <col min="12" max="12" width="6.140625" bestFit="1" customWidth="1"/>
    <col min="13" max="13" width="10.42578125" bestFit="1" customWidth="1"/>
    <col min="14" max="14" width="12.85546875" bestFit="1" customWidth="1"/>
    <col min="15" max="15" width="14.140625" bestFit="1" customWidth="1"/>
    <col min="16" max="16" width="8" bestFit="1" customWidth="1"/>
    <col min="17" max="16384" width="8.85546875" style="27"/>
  </cols>
  <sheetData>
    <row r="1" spans="2:16" ht="30" x14ac:dyDescent="0.25">
      <c r="B1" s="24" t="s">
        <v>66</v>
      </c>
      <c r="C1" s="24" t="s">
        <v>67</v>
      </c>
      <c r="D1" s="24" t="s">
        <v>68</v>
      </c>
      <c r="E1" s="24" t="s">
        <v>70</v>
      </c>
      <c r="F1" s="24" t="s">
        <v>71</v>
      </c>
    </row>
    <row r="2" spans="2:16" ht="15.75" x14ac:dyDescent="0.25">
      <c r="B2" s="9"/>
      <c r="C2" s="9" t="str">
        <f>'EB1'!N2</f>
        <v>NUC</v>
      </c>
      <c r="D2" s="9" t="str">
        <f>'EB1'!N3</f>
        <v>Nuclear Energy</v>
      </c>
      <c r="E2" s="9" t="str">
        <f>'EB1'!Z2</f>
        <v>PJ</v>
      </c>
      <c r="F2" s="9" t="str">
        <f>'EB1'!Y2</f>
        <v>M€2025</v>
      </c>
      <c r="H2" s="86" t="s">
        <v>14</v>
      </c>
      <c r="I2" s="86"/>
      <c r="J2" s="87"/>
      <c r="K2" s="87"/>
      <c r="L2" s="87"/>
      <c r="M2" s="87"/>
      <c r="N2" s="87"/>
      <c r="O2" s="87"/>
      <c r="P2" s="87"/>
    </row>
    <row r="3" spans="2:16" x14ac:dyDescent="0.2">
      <c r="F3" s="8"/>
      <c r="H3" s="88" t="s">
        <v>7</v>
      </c>
      <c r="I3" s="89" t="s">
        <v>30</v>
      </c>
      <c r="J3" s="88" t="s">
        <v>0</v>
      </c>
      <c r="K3" s="88" t="s">
        <v>3</v>
      </c>
      <c r="L3" s="88" t="s">
        <v>4</v>
      </c>
      <c r="M3" s="88" t="s">
        <v>8</v>
      </c>
      <c r="N3" s="88" t="s">
        <v>9</v>
      </c>
      <c r="O3" s="88" t="s">
        <v>10</v>
      </c>
      <c r="P3" s="88" t="s">
        <v>12</v>
      </c>
    </row>
    <row r="4" spans="2:16" ht="23.25" thickBot="1" x14ac:dyDescent="0.25">
      <c r="B4" s="1"/>
      <c r="H4" s="90" t="s">
        <v>37</v>
      </c>
      <c r="I4" s="90" t="s">
        <v>31</v>
      </c>
      <c r="J4" s="90" t="s">
        <v>26</v>
      </c>
      <c r="K4" s="90" t="s">
        <v>27</v>
      </c>
      <c r="L4" s="90" t="s">
        <v>4</v>
      </c>
      <c r="M4" s="90" t="s">
        <v>40</v>
      </c>
      <c r="N4" s="90" t="s">
        <v>41</v>
      </c>
      <c r="O4" s="90" t="s">
        <v>28</v>
      </c>
      <c r="P4" s="90" t="s">
        <v>29</v>
      </c>
    </row>
    <row r="5" spans="2:16" x14ac:dyDescent="0.2">
      <c r="H5" s="87" t="s">
        <v>65</v>
      </c>
      <c r="I5" s="91"/>
      <c r="J5" s="87" t="str">
        <f>C2</f>
        <v>NUC</v>
      </c>
      <c r="K5" s="87" t="str">
        <f>D2</f>
        <v>Nuclear Energy</v>
      </c>
      <c r="L5" s="87" t="str">
        <f>$E$2</f>
        <v>PJ</v>
      </c>
      <c r="M5" s="87"/>
      <c r="N5" s="87"/>
      <c r="O5" s="87"/>
      <c r="P5" s="87"/>
    </row>
    <row r="7" spans="2:16" x14ac:dyDescent="0.2">
      <c r="D7" s="4" t="s">
        <v>13</v>
      </c>
      <c r="E7" s="4"/>
      <c r="H7" s="86" t="s">
        <v>15</v>
      </c>
      <c r="I7" s="86"/>
      <c r="J7" s="91"/>
      <c r="K7" s="91"/>
      <c r="L7" s="91"/>
      <c r="M7" s="91"/>
      <c r="N7" s="91"/>
      <c r="O7" s="91"/>
      <c r="P7" s="91"/>
    </row>
    <row r="8" spans="2:16" x14ac:dyDescent="0.2">
      <c r="B8" s="3" t="s">
        <v>1</v>
      </c>
      <c r="C8" s="15" t="s">
        <v>5</v>
      </c>
      <c r="D8" s="3" t="s">
        <v>6</v>
      </c>
      <c r="E8" s="53" t="s">
        <v>35</v>
      </c>
      <c r="F8" s="53" t="s">
        <v>72</v>
      </c>
      <c r="H8" s="88" t="s">
        <v>11</v>
      </c>
      <c r="I8" s="89" t="s">
        <v>30</v>
      </c>
      <c r="J8" s="88" t="s">
        <v>1</v>
      </c>
      <c r="K8" s="88" t="s">
        <v>2</v>
      </c>
      <c r="L8" s="88" t="s">
        <v>16</v>
      </c>
      <c r="M8" s="88" t="s">
        <v>17</v>
      </c>
      <c r="N8" s="88" t="s">
        <v>18</v>
      </c>
      <c r="O8" s="88" t="s">
        <v>19</v>
      </c>
      <c r="P8" s="88" t="s">
        <v>20</v>
      </c>
    </row>
    <row r="9" spans="2:16" ht="23.25" thickBot="1" x14ac:dyDescent="0.25">
      <c r="B9" s="12" t="s">
        <v>39</v>
      </c>
      <c r="C9" s="12" t="s">
        <v>32</v>
      </c>
      <c r="D9" s="12" t="s">
        <v>33</v>
      </c>
      <c r="E9" s="12" t="s">
        <v>79</v>
      </c>
      <c r="F9" s="12" t="s">
        <v>78</v>
      </c>
      <c r="H9" s="90" t="s">
        <v>38</v>
      </c>
      <c r="I9" s="90" t="s">
        <v>31</v>
      </c>
      <c r="J9" s="90" t="s">
        <v>21</v>
      </c>
      <c r="K9" s="90" t="s">
        <v>22</v>
      </c>
      <c r="L9" s="90" t="s">
        <v>23</v>
      </c>
      <c r="M9" s="90" t="s">
        <v>24</v>
      </c>
      <c r="N9" s="90" t="s">
        <v>43</v>
      </c>
      <c r="O9" s="90" t="s">
        <v>42</v>
      </c>
      <c r="P9" s="90" t="s">
        <v>25</v>
      </c>
    </row>
    <row r="10" spans="2:16" ht="13.5" thickBot="1" x14ac:dyDescent="0.25">
      <c r="B10" s="12" t="s">
        <v>77</v>
      </c>
      <c r="C10" s="11"/>
      <c r="D10" s="11"/>
      <c r="E10" s="11" t="str">
        <f>$F$2&amp;"/"&amp;$E$2</f>
        <v>M€2025/PJ</v>
      </c>
      <c r="F10" s="11" t="str">
        <f>$E$2</f>
        <v>PJ</v>
      </c>
      <c r="H10" s="90" t="s">
        <v>73</v>
      </c>
      <c r="I10" s="92"/>
      <c r="J10" s="92"/>
      <c r="K10" s="92"/>
      <c r="L10" s="92"/>
      <c r="M10" s="92"/>
      <c r="N10" s="92"/>
      <c r="O10" s="92"/>
      <c r="P10" s="92"/>
    </row>
    <row r="11" spans="2:16" x14ac:dyDescent="0.2">
      <c r="B11" s="1" t="str">
        <f>J11</f>
        <v>MINNUC1</v>
      </c>
      <c r="C11" s="1"/>
      <c r="D11" s="1" t="str">
        <f>$J$5</f>
        <v>NUC</v>
      </c>
      <c r="E11" s="54">
        <v>0.25</v>
      </c>
      <c r="F11" s="55"/>
      <c r="H11" s="87" t="str">
        <f>'EB1'!$B$5</f>
        <v>MIN</v>
      </c>
      <c r="I11" s="91"/>
      <c r="J11" s="91" t="str">
        <f>$H$11&amp;$C$2&amp;1</f>
        <v>MINNUC1</v>
      </c>
      <c r="K11" s="93" t="str">
        <f>"Domestic Supply of "&amp;$D$2&amp; " Step "&amp;RIGHT(J11,1)</f>
        <v>Domestic Supply of Nuclear Energy Step 1</v>
      </c>
      <c r="L11" s="91" t="str">
        <f>$E$2</f>
        <v>PJ</v>
      </c>
      <c r="M11" s="91" t="str">
        <f>$E$2&amp;"a"</f>
        <v>PJa</v>
      </c>
      <c r="N11" s="91"/>
      <c r="O11" s="91"/>
      <c r="P11" s="91"/>
    </row>
    <row r="12" spans="2:16" x14ac:dyDescent="0.2">
      <c r="B12" s="1"/>
      <c r="C12" s="1"/>
      <c r="D12" s="1"/>
      <c r="E12" s="54"/>
      <c r="F12" s="55"/>
      <c r="K12" s="17"/>
    </row>
    <row r="13" spans="2:16" x14ac:dyDescent="0.2">
      <c r="B13" s="1"/>
      <c r="C13" s="1"/>
      <c r="D13" s="1"/>
      <c r="E13" s="54"/>
      <c r="F13" s="55"/>
      <c r="K13" s="17"/>
    </row>
    <row r="14" spans="2:16" x14ac:dyDescent="0.2">
      <c r="B14" s="1"/>
      <c r="C14" s="1"/>
      <c r="D14" s="1"/>
      <c r="E14" s="25"/>
      <c r="K14" s="17"/>
    </row>
    <row r="15" spans="2:16" x14ac:dyDescent="0.2">
      <c r="B15" s="1"/>
      <c r="C15" s="1"/>
      <c r="D15" s="1"/>
      <c r="E15" s="25"/>
      <c r="F15" s="5"/>
      <c r="K15" s="17"/>
    </row>
    <row r="16" spans="2:16" x14ac:dyDescent="0.2">
      <c r="B16" s="1"/>
      <c r="C16" s="1"/>
      <c r="E16" s="1"/>
      <c r="F16" s="5"/>
    </row>
    <row r="20" spans="2:3" ht="19.5" customHeight="1" x14ac:dyDescent="0.2"/>
    <row r="23" spans="2:3" x14ac:dyDescent="0.2">
      <c r="B23" s="38"/>
      <c r="C23" s="1" t="s">
        <v>114</v>
      </c>
    </row>
    <row r="24" spans="2:3" x14ac:dyDescent="0.2">
      <c r="B24" s="46"/>
      <c r="C24" s="1" t="s">
        <v>115</v>
      </c>
    </row>
  </sheetData>
  <pageMargins left="0.75" right="0.75" top="1" bottom="1" header="0.5" footer="0.5"/>
  <pageSetup orientation="portrait" horizontalDpi="4294967292" r:id="rId1"/>
  <headerFooter alignWithMargins="0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P26"/>
  <sheetViews>
    <sheetView zoomScaleNormal="100" workbookViewId="0">
      <selection activeCell="E14" sqref="E14"/>
    </sheetView>
  </sheetViews>
  <sheetFormatPr defaultColWidth="8.85546875" defaultRowHeight="12.75" x14ac:dyDescent="0.2"/>
  <cols>
    <col min="1" max="1" width="2" style="27" bestFit="1" customWidth="1"/>
    <col min="2" max="2" width="13.85546875" customWidth="1"/>
    <col min="3" max="3" width="11.85546875" bestFit="1" customWidth="1"/>
    <col min="4" max="4" width="14" bestFit="1" customWidth="1"/>
    <col min="5" max="5" width="8.42578125" bestFit="1" customWidth="1"/>
    <col min="6" max="6" width="13.28515625" customWidth="1"/>
    <col min="7" max="7" width="2" style="27" bestFit="1" customWidth="1"/>
    <col min="8" max="8" width="11.85546875" bestFit="1" customWidth="1"/>
    <col min="9" max="9" width="7.42578125" bestFit="1" customWidth="1"/>
    <col min="10" max="10" width="12.140625" bestFit="1" customWidth="1"/>
    <col min="11" max="11" width="40.5703125" customWidth="1"/>
    <col min="12" max="12" width="6.140625" bestFit="1" customWidth="1"/>
    <col min="13" max="13" width="10.42578125" bestFit="1" customWidth="1"/>
    <col min="14" max="14" width="12.85546875" bestFit="1" customWidth="1"/>
    <col min="15" max="15" width="14.140625" bestFit="1" customWidth="1"/>
    <col min="16" max="16" width="8" bestFit="1" customWidth="1"/>
    <col min="17" max="16384" width="8.85546875" style="27"/>
  </cols>
  <sheetData>
    <row r="1" spans="2:16" ht="30" x14ac:dyDescent="0.25">
      <c r="B1" s="24" t="s">
        <v>66</v>
      </c>
      <c r="C1" s="24" t="s">
        <v>67</v>
      </c>
      <c r="D1" s="24" t="s">
        <v>68</v>
      </c>
      <c r="E1" s="24" t="s">
        <v>70</v>
      </c>
      <c r="F1" s="24" t="s">
        <v>71</v>
      </c>
    </row>
    <row r="2" spans="2:16" ht="15.75" x14ac:dyDescent="0.25">
      <c r="B2" s="9"/>
      <c r="C2" s="9" t="str">
        <f>'EB1'!O2</f>
        <v>BIO</v>
      </c>
      <c r="D2" s="9" t="str">
        <f>'EB1'!O3</f>
        <v>Biomass</v>
      </c>
      <c r="E2" s="9" t="str">
        <f>'EB1'!$Z$2</f>
        <v>PJ</v>
      </c>
      <c r="F2" s="9" t="str">
        <f>'EB1'!Y2</f>
        <v>M€2025</v>
      </c>
      <c r="H2" s="86" t="s">
        <v>14</v>
      </c>
      <c r="I2" s="86"/>
      <c r="J2" s="87"/>
      <c r="K2" s="87"/>
      <c r="L2" s="87"/>
      <c r="M2" s="87"/>
      <c r="N2" s="87"/>
      <c r="O2" s="87"/>
      <c r="P2" s="87"/>
    </row>
    <row r="3" spans="2:16" ht="15.75" x14ac:dyDescent="0.25">
      <c r="C3" s="9" t="str">
        <f>'EB1'!P2</f>
        <v>HYD</v>
      </c>
      <c r="D3" s="9" t="str">
        <f>'EB1'!P3</f>
        <v>Hydro power</v>
      </c>
      <c r="E3" s="9" t="str">
        <f>'EB1'!$Z$2</f>
        <v>PJ</v>
      </c>
      <c r="H3" s="88" t="s">
        <v>7</v>
      </c>
      <c r="I3" s="89" t="s">
        <v>30</v>
      </c>
      <c r="J3" s="88" t="s">
        <v>0</v>
      </c>
      <c r="K3" s="88" t="s">
        <v>3</v>
      </c>
      <c r="L3" s="88" t="s">
        <v>4</v>
      </c>
      <c r="M3" s="88" t="s">
        <v>8</v>
      </c>
      <c r="N3" s="88" t="s">
        <v>9</v>
      </c>
      <c r="O3" s="88" t="s">
        <v>10</v>
      </c>
      <c r="P3" s="88" t="s">
        <v>12</v>
      </c>
    </row>
    <row r="4" spans="2:16" ht="24" thickBot="1" x14ac:dyDescent="0.3">
      <c r="B4" s="1"/>
      <c r="C4" s="9" t="str">
        <f>'EB1'!Q2</f>
        <v>WIN</v>
      </c>
      <c r="D4" s="9" t="str">
        <f>'EB1'!Q3</f>
        <v>Wind energy</v>
      </c>
      <c r="E4" s="9" t="str">
        <f>'EB1'!$Z$2</f>
        <v>PJ</v>
      </c>
      <c r="H4" s="90" t="s">
        <v>37</v>
      </c>
      <c r="I4" s="90" t="s">
        <v>31</v>
      </c>
      <c r="J4" s="90" t="s">
        <v>26</v>
      </c>
      <c r="K4" s="90" t="s">
        <v>27</v>
      </c>
      <c r="L4" s="90" t="s">
        <v>4</v>
      </c>
      <c r="M4" s="90" t="s">
        <v>40</v>
      </c>
      <c r="N4" s="90" t="s">
        <v>41</v>
      </c>
      <c r="O4" s="90" t="s">
        <v>28</v>
      </c>
      <c r="P4" s="90" t="s">
        <v>29</v>
      </c>
    </row>
    <row r="5" spans="2:16" ht="15.75" x14ac:dyDescent="0.25">
      <c r="C5" s="9" t="str">
        <f>'EB1'!R2</f>
        <v>SOL</v>
      </c>
      <c r="D5" s="9" t="str">
        <f>'EB1'!R3</f>
        <v>Solar energy</v>
      </c>
      <c r="E5" s="9" t="str">
        <f>'EB1'!$Z$2</f>
        <v>PJ</v>
      </c>
      <c r="H5" s="87" t="s">
        <v>65</v>
      </c>
      <c r="I5" s="91"/>
      <c r="J5" s="87" t="str">
        <f t="shared" ref="J5:K8" si="0">C2</f>
        <v>BIO</v>
      </c>
      <c r="K5" s="87" t="str">
        <f t="shared" si="0"/>
        <v>Biomass</v>
      </c>
      <c r="L5" s="87" t="str">
        <f>$E$2</f>
        <v>PJ</v>
      </c>
      <c r="M5" s="87"/>
      <c r="N5" s="87"/>
      <c r="O5" s="87"/>
      <c r="P5" s="87"/>
    </row>
    <row r="6" spans="2:16" x14ac:dyDescent="0.2">
      <c r="H6" s="87"/>
      <c r="I6" s="91"/>
      <c r="J6" s="87" t="str">
        <f t="shared" si="0"/>
        <v>HYD</v>
      </c>
      <c r="K6" s="87" t="str">
        <f t="shared" si="0"/>
        <v>Hydro power</v>
      </c>
      <c r="L6" s="87" t="str">
        <f>$E$2</f>
        <v>PJ</v>
      </c>
      <c r="M6" s="87"/>
      <c r="N6" s="87"/>
      <c r="O6" s="87"/>
      <c r="P6" s="87"/>
    </row>
    <row r="7" spans="2:16" ht="15.75" x14ac:dyDescent="0.25">
      <c r="C7" s="7"/>
      <c r="D7" s="7"/>
      <c r="H7" s="87"/>
      <c r="I7" s="91"/>
      <c r="J7" s="87" t="str">
        <f t="shared" si="0"/>
        <v>WIN</v>
      </c>
      <c r="K7" s="87" t="str">
        <f t="shared" si="0"/>
        <v>Wind energy</v>
      </c>
      <c r="L7" s="87" t="str">
        <f>$E$2</f>
        <v>PJ</v>
      </c>
      <c r="M7" s="87"/>
      <c r="N7" s="87"/>
      <c r="O7" s="87"/>
      <c r="P7" s="87"/>
    </row>
    <row r="8" spans="2:16" ht="15.75" x14ac:dyDescent="0.25">
      <c r="C8" s="7"/>
      <c r="D8" s="7"/>
      <c r="H8" s="87"/>
      <c r="I8" s="91"/>
      <c r="J8" s="87" t="str">
        <f t="shared" si="0"/>
        <v>SOL</v>
      </c>
      <c r="K8" s="87" t="str">
        <f t="shared" si="0"/>
        <v>Solar energy</v>
      </c>
      <c r="L8" s="87" t="str">
        <f>$E$2</f>
        <v>PJ</v>
      </c>
      <c r="M8" s="87"/>
      <c r="N8" s="87"/>
      <c r="O8" s="87"/>
      <c r="P8" s="87"/>
    </row>
    <row r="10" spans="2:16" x14ac:dyDescent="0.2">
      <c r="D10" s="4" t="s">
        <v>13</v>
      </c>
      <c r="E10" s="4"/>
      <c r="H10" s="86" t="s">
        <v>15</v>
      </c>
      <c r="I10" s="86"/>
      <c r="J10" s="91"/>
      <c r="K10" s="91"/>
      <c r="L10" s="91"/>
      <c r="M10" s="91"/>
      <c r="N10" s="91"/>
      <c r="O10" s="91"/>
      <c r="P10" s="91"/>
    </row>
    <row r="11" spans="2:16" x14ac:dyDescent="0.2">
      <c r="B11" s="3" t="s">
        <v>1</v>
      </c>
      <c r="C11" s="15" t="s">
        <v>5</v>
      </c>
      <c r="D11" s="3" t="s">
        <v>6</v>
      </c>
      <c r="E11" s="53" t="s">
        <v>35</v>
      </c>
      <c r="F11" s="53" t="s">
        <v>72</v>
      </c>
      <c r="H11" s="88" t="s">
        <v>11</v>
      </c>
      <c r="I11" s="89" t="s">
        <v>30</v>
      </c>
      <c r="J11" s="88" t="s">
        <v>1</v>
      </c>
      <c r="K11" s="88" t="s">
        <v>2</v>
      </c>
      <c r="L11" s="88" t="s">
        <v>16</v>
      </c>
      <c r="M11" s="88" t="s">
        <v>17</v>
      </c>
      <c r="N11" s="88" t="s">
        <v>18</v>
      </c>
      <c r="O11" s="88" t="s">
        <v>19</v>
      </c>
      <c r="P11" s="88" t="s">
        <v>20</v>
      </c>
    </row>
    <row r="12" spans="2:16" ht="23.25" thickBot="1" x14ac:dyDescent="0.25">
      <c r="B12" s="12" t="s">
        <v>39</v>
      </c>
      <c r="C12" s="12" t="s">
        <v>32</v>
      </c>
      <c r="D12" s="12" t="s">
        <v>33</v>
      </c>
      <c r="E12" s="12" t="s">
        <v>79</v>
      </c>
      <c r="F12" s="12" t="s">
        <v>78</v>
      </c>
      <c r="H12" s="90" t="s">
        <v>38</v>
      </c>
      <c r="I12" s="90" t="s">
        <v>31</v>
      </c>
      <c r="J12" s="90" t="s">
        <v>21</v>
      </c>
      <c r="K12" s="90" t="s">
        <v>22</v>
      </c>
      <c r="L12" s="90" t="s">
        <v>23</v>
      </c>
      <c r="M12" s="90" t="s">
        <v>24</v>
      </c>
      <c r="N12" s="90" t="s">
        <v>43</v>
      </c>
      <c r="O12" s="90" t="s">
        <v>42</v>
      </c>
      <c r="P12" s="90" t="s">
        <v>25</v>
      </c>
    </row>
    <row r="13" spans="2:16" ht="13.5" thickBot="1" x14ac:dyDescent="0.25">
      <c r="B13" s="12" t="s">
        <v>77</v>
      </c>
      <c r="C13" s="11"/>
      <c r="D13" s="11"/>
      <c r="E13" s="11" t="str">
        <f>$F$2&amp;"/"&amp;$E$2</f>
        <v>M€2025/PJ</v>
      </c>
      <c r="F13" s="11" t="str">
        <f>$E$2</f>
        <v>PJ</v>
      </c>
      <c r="H13" s="90" t="s">
        <v>73</v>
      </c>
      <c r="I13" s="92"/>
      <c r="J13" s="92"/>
      <c r="K13" s="92"/>
      <c r="L13" s="92"/>
      <c r="M13" s="92"/>
      <c r="N13" s="92"/>
      <c r="O13" s="92"/>
      <c r="P13" s="92"/>
    </row>
    <row r="14" spans="2:16" x14ac:dyDescent="0.2">
      <c r="B14" s="1" t="str">
        <f>J14</f>
        <v>MINBIO1</v>
      </c>
      <c r="C14" s="1"/>
      <c r="D14" s="1" t="str">
        <f>J5</f>
        <v>BIO</v>
      </c>
      <c r="E14" s="38">
        <v>4.0500000000000007</v>
      </c>
      <c r="F14" s="55"/>
      <c r="H14" s="87" t="str">
        <f>'EB1'!$B$5</f>
        <v>MIN</v>
      </c>
      <c r="I14" s="91"/>
      <c r="J14" s="91" t="str">
        <f>$H$14&amp;C2&amp;1</f>
        <v>MINBIO1</v>
      </c>
      <c r="K14" s="93" t="str">
        <f>"Domestic Supply of "&amp;D2&amp; " Step "&amp;RIGHT(J14,1)</f>
        <v>Domestic Supply of Biomass Step 1</v>
      </c>
      <c r="L14" s="91" t="str">
        <f>$E$2</f>
        <v>PJ</v>
      </c>
      <c r="M14" s="91" t="str">
        <f>$E$2&amp;"a"</f>
        <v>PJa</v>
      </c>
      <c r="N14" s="91"/>
      <c r="O14" s="91"/>
      <c r="P14" s="91"/>
    </row>
    <row r="15" spans="2:16" x14ac:dyDescent="0.2">
      <c r="B15" s="1" t="str">
        <f>J15</f>
        <v>MINHYD1</v>
      </c>
      <c r="C15" s="1"/>
      <c r="D15" s="1" t="str">
        <f>J6</f>
        <v>HYD</v>
      </c>
      <c r="E15" s="54"/>
      <c r="F15" s="55"/>
      <c r="H15" s="91"/>
      <c r="I15" s="91"/>
      <c r="J15" s="91" t="str">
        <f>$H$14&amp;C3&amp;1</f>
        <v>MINHYD1</v>
      </c>
      <c r="K15" s="93" t="str">
        <f>"Domestic Supply of "&amp;D3&amp; " Step "&amp;RIGHT(J15,1)</f>
        <v>Domestic Supply of Hydro power Step 1</v>
      </c>
      <c r="L15" s="91" t="str">
        <f>$E$2</f>
        <v>PJ</v>
      </c>
      <c r="M15" s="91" t="str">
        <f>$E$2&amp;"a"</f>
        <v>PJa</v>
      </c>
      <c r="N15" s="91"/>
      <c r="O15" s="91"/>
      <c r="P15" s="91"/>
    </row>
    <row r="16" spans="2:16" x14ac:dyDescent="0.2">
      <c r="B16" s="1" t="str">
        <f>J16</f>
        <v>MINWIN1</v>
      </c>
      <c r="C16" s="1"/>
      <c r="D16" s="1" t="str">
        <f>J7</f>
        <v>WIN</v>
      </c>
      <c r="E16" s="54"/>
      <c r="F16" s="55"/>
      <c r="H16" s="91"/>
      <c r="I16" s="91"/>
      <c r="J16" s="91" t="str">
        <f>$H$14&amp;C4&amp;1</f>
        <v>MINWIN1</v>
      </c>
      <c r="K16" s="93" t="str">
        <f>"Domestic Supply of "&amp;D4&amp; " Step "&amp;RIGHT(J16,1)</f>
        <v>Domestic Supply of Wind energy Step 1</v>
      </c>
      <c r="L16" s="91" t="str">
        <f>$E$2</f>
        <v>PJ</v>
      </c>
      <c r="M16" s="91" t="str">
        <f>$E$2&amp;"a"</f>
        <v>PJa</v>
      </c>
      <c r="N16" s="91"/>
      <c r="O16" s="91"/>
      <c r="P16" s="91"/>
    </row>
    <row r="17" spans="2:16" x14ac:dyDescent="0.2">
      <c r="B17" s="1" t="str">
        <f>J17</f>
        <v>MINSOL1</v>
      </c>
      <c r="C17" s="1"/>
      <c r="D17" s="1" t="str">
        <f>J8</f>
        <v>SOL</v>
      </c>
      <c r="E17" s="25"/>
      <c r="H17" s="91"/>
      <c r="I17" s="91"/>
      <c r="J17" s="91" t="str">
        <f>$H$14&amp;C5&amp;1</f>
        <v>MINSOL1</v>
      </c>
      <c r="K17" s="93" t="str">
        <f>"Domestic Supply of "&amp;D5&amp; " Step "&amp;RIGHT(J17,1)</f>
        <v>Domestic Supply of Solar energy Step 1</v>
      </c>
      <c r="L17" s="91" t="str">
        <f>$E$2</f>
        <v>PJ</v>
      </c>
      <c r="M17" s="91" t="str">
        <f>$E$2&amp;"a"</f>
        <v>PJa</v>
      </c>
      <c r="N17" s="91"/>
      <c r="O17" s="91"/>
      <c r="P17" s="91"/>
    </row>
    <row r="18" spans="2:16" x14ac:dyDescent="0.2">
      <c r="B18" s="1"/>
      <c r="C18" s="1"/>
      <c r="E18" s="1"/>
      <c r="F18" s="5"/>
    </row>
    <row r="19" spans="2:16" x14ac:dyDescent="0.2">
      <c r="B19" s="27"/>
      <c r="C19" s="27"/>
    </row>
    <row r="20" spans="2:16" x14ac:dyDescent="0.2">
      <c r="B20" s="38"/>
      <c r="C20" s="1" t="s">
        <v>114</v>
      </c>
    </row>
    <row r="21" spans="2:16" x14ac:dyDescent="0.2">
      <c r="B21" s="46"/>
      <c r="C21" s="1" t="s">
        <v>115</v>
      </c>
    </row>
    <row r="22" spans="2:16" ht="19.5" customHeight="1" x14ac:dyDescent="0.2"/>
    <row r="25" spans="2:16" x14ac:dyDescent="0.2">
      <c r="B25" s="27"/>
      <c r="C25" s="27"/>
      <c r="D25" s="27"/>
    </row>
    <row r="26" spans="2:16" x14ac:dyDescent="0.2">
      <c r="B26" s="27"/>
      <c r="C26" s="27"/>
      <c r="D26" s="27"/>
    </row>
  </sheetData>
  <pageMargins left="0.75" right="0.75" top="1" bottom="1" header="0.5" footer="0.5"/>
  <pageSetup orientation="portrait" horizontalDpi="4294967292" r:id="rId1"/>
  <headerFooter alignWithMargins="0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26FE7-BF63-468B-8CA5-904DC2B1D71B}">
  <dimension ref="B1:P26"/>
  <sheetViews>
    <sheetView workbookViewId="0">
      <selection activeCell="E14" sqref="E14"/>
    </sheetView>
  </sheetViews>
  <sheetFormatPr defaultColWidth="8.85546875" defaultRowHeight="12.75" x14ac:dyDescent="0.2"/>
  <cols>
    <col min="1" max="1" width="2" style="27" bestFit="1" customWidth="1"/>
    <col min="2" max="2" width="13.85546875" customWidth="1"/>
    <col min="3" max="3" width="11.85546875" bestFit="1" customWidth="1"/>
    <col min="4" max="4" width="17.28515625" bestFit="1" customWidth="1"/>
    <col min="5" max="5" width="8.42578125" bestFit="1" customWidth="1"/>
    <col min="6" max="6" width="13.28515625" customWidth="1"/>
    <col min="7" max="7" width="2" style="27" bestFit="1" customWidth="1"/>
    <col min="8" max="8" width="11.85546875" bestFit="1" customWidth="1"/>
    <col min="9" max="9" width="7.42578125" bestFit="1" customWidth="1"/>
    <col min="10" max="10" width="12.140625" bestFit="1" customWidth="1"/>
    <col min="11" max="11" width="40.5703125" customWidth="1"/>
    <col min="12" max="12" width="6.140625" bestFit="1" customWidth="1"/>
    <col min="13" max="13" width="10.42578125" bestFit="1" customWidth="1"/>
    <col min="14" max="14" width="12.85546875" bestFit="1" customWidth="1"/>
    <col min="15" max="15" width="14.140625" bestFit="1" customWidth="1"/>
    <col min="16" max="16" width="8" bestFit="1" customWidth="1"/>
    <col min="17" max="16384" width="8.85546875" style="27"/>
  </cols>
  <sheetData>
    <row r="1" spans="2:16" ht="30" x14ac:dyDescent="0.25">
      <c r="B1" s="24" t="s">
        <v>66</v>
      </c>
      <c r="C1" s="24" t="s">
        <v>67</v>
      </c>
      <c r="D1" s="24" t="s">
        <v>68</v>
      </c>
      <c r="E1" s="24" t="s">
        <v>70</v>
      </c>
      <c r="F1" s="24" t="s">
        <v>71</v>
      </c>
    </row>
    <row r="2" spans="2:16" ht="15.75" x14ac:dyDescent="0.25">
      <c r="B2" s="9"/>
      <c r="C2" s="9" t="s">
        <v>137</v>
      </c>
      <c r="D2" s="9" t="s">
        <v>138</v>
      </c>
      <c r="E2" s="9" t="str">
        <f>'EB1'!$Z$2</f>
        <v>PJ</v>
      </c>
      <c r="F2" s="9" t="str">
        <f>'EB1'!Y2</f>
        <v>M€2025</v>
      </c>
      <c r="H2" s="86" t="s">
        <v>14</v>
      </c>
      <c r="I2" s="86"/>
      <c r="J2" s="87"/>
      <c r="K2" s="87"/>
      <c r="L2" s="87"/>
      <c r="M2" s="87"/>
      <c r="N2" s="87"/>
      <c r="O2" s="87"/>
      <c r="P2" s="87"/>
    </row>
    <row r="3" spans="2:16" ht="15.75" x14ac:dyDescent="0.25">
      <c r="C3" s="9"/>
      <c r="D3" s="9"/>
      <c r="E3" s="9"/>
      <c r="H3" s="88" t="s">
        <v>7</v>
      </c>
      <c r="I3" s="89" t="s">
        <v>30</v>
      </c>
      <c r="J3" s="88" t="s">
        <v>0</v>
      </c>
      <c r="K3" s="88" t="s">
        <v>3</v>
      </c>
      <c r="L3" s="88" t="s">
        <v>4</v>
      </c>
      <c r="M3" s="88" t="s">
        <v>8</v>
      </c>
      <c r="N3" s="88" t="s">
        <v>9</v>
      </c>
      <c r="O3" s="88" t="s">
        <v>10</v>
      </c>
      <c r="P3" s="88" t="s">
        <v>12</v>
      </c>
    </row>
    <row r="4" spans="2:16" ht="24" thickBot="1" x14ac:dyDescent="0.3">
      <c r="B4" s="1"/>
      <c r="C4" s="9"/>
      <c r="D4" s="9"/>
      <c r="E4" s="9"/>
      <c r="H4" s="90" t="s">
        <v>37</v>
      </c>
      <c r="I4" s="90" t="s">
        <v>31</v>
      </c>
      <c r="J4" s="90" t="s">
        <v>26</v>
      </c>
      <c r="K4" s="90" t="s">
        <v>27</v>
      </c>
      <c r="L4" s="90" t="s">
        <v>4</v>
      </c>
      <c r="M4" s="90" t="s">
        <v>40</v>
      </c>
      <c r="N4" s="90" t="s">
        <v>41</v>
      </c>
      <c r="O4" s="90" t="s">
        <v>28</v>
      </c>
      <c r="P4" s="90" t="s">
        <v>29</v>
      </c>
    </row>
    <row r="5" spans="2:16" ht="15.75" x14ac:dyDescent="0.25">
      <c r="C5" s="9"/>
      <c r="D5" s="9"/>
      <c r="E5" s="9"/>
      <c r="H5" s="87" t="s">
        <v>65</v>
      </c>
      <c r="I5" s="91"/>
      <c r="J5" s="87" t="str">
        <f t="shared" ref="J5:K5" si="0">C2</f>
        <v>MSW</v>
      </c>
      <c r="K5" s="87" t="str">
        <f t="shared" si="0"/>
        <v>Municipal waste</v>
      </c>
      <c r="L5" s="87" t="str">
        <f>$E$2</f>
        <v>PJ</v>
      </c>
      <c r="M5" s="87"/>
      <c r="N5" s="87"/>
      <c r="O5" s="87"/>
      <c r="P5" s="87"/>
    </row>
    <row r="6" spans="2:16" x14ac:dyDescent="0.2">
      <c r="H6" s="87"/>
      <c r="I6" s="91"/>
      <c r="J6" s="87"/>
      <c r="K6" s="87"/>
      <c r="L6" s="87"/>
      <c r="M6" s="87"/>
      <c r="N6" s="87"/>
      <c r="O6" s="87"/>
      <c r="P6" s="87"/>
    </row>
    <row r="7" spans="2:16" ht="15.75" x14ac:dyDescent="0.25">
      <c r="C7" s="7"/>
      <c r="D7" s="7"/>
      <c r="H7" s="87"/>
      <c r="I7" s="91"/>
      <c r="J7" s="87"/>
      <c r="K7" s="87"/>
      <c r="L7" s="87"/>
      <c r="M7" s="87"/>
      <c r="N7" s="87"/>
      <c r="O7" s="87"/>
      <c r="P7" s="87"/>
    </row>
    <row r="8" spans="2:16" ht="15.75" x14ac:dyDescent="0.25">
      <c r="C8" s="7"/>
      <c r="D8" s="7"/>
      <c r="H8" s="87"/>
      <c r="I8" s="91"/>
      <c r="J8" s="87"/>
      <c r="K8" s="87"/>
      <c r="L8" s="87"/>
      <c r="M8" s="87"/>
      <c r="N8" s="87"/>
      <c r="O8" s="87"/>
      <c r="P8" s="87"/>
    </row>
    <row r="10" spans="2:16" x14ac:dyDescent="0.2">
      <c r="D10" s="4" t="s">
        <v>13</v>
      </c>
      <c r="E10" s="4"/>
      <c r="H10" s="86" t="s">
        <v>15</v>
      </c>
      <c r="I10" s="86"/>
      <c r="J10" s="91"/>
      <c r="K10" s="91"/>
      <c r="L10" s="91"/>
      <c r="M10" s="91"/>
      <c r="N10" s="91"/>
      <c r="O10" s="91"/>
      <c r="P10" s="91"/>
    </row>
    <row r="11" spans="2:16" x14ac:dyDescent="0.2">
      <c r="B11" s="3" t="s">
        <v>1</v>
      </c>
      <c r="C11" s="15" t="s">
        <v>5</v>
      </c>
      <c r="D11" s="3" t="s">
        <v>6</v>
      </c>
      <c r="E11" s="53" t="s">
        <v>35</v>
      </c>
      <c r="F11" s="53" t="s">
        <v>72</v>
      </c>
      <c r="H11" s="88" t="s">
        <v>11</v>
      </c>
      <c r="I11" s="89" t="s">
        <v>30</v>
      </c>
      <c r="J11" s="88" t="s">
        <v>1</v>
      </c>
      <c r="K11" s="88" t="s">
        <v>2</v>
      </c>
      <c r="L11" s="88" t="s">
        <v>16</v>
      </c>
      <c r="M11" s="88" t="s">
        <v>17</v>
      </c>
      <c r="N11" s="88" t="s">
        <v>18</v>
      </c>
      <c r="O11" s="88" t="s">
        <v>19</v>
      </c>
      <c r="P11" s="88" t="s">
        <v>20</v>
      </c>
    </row>
    <row r="12" spans="2:16" ht="23.25" thickBot="1" x14ac:dyDescent="0.25">
      <c r="B12" s="12" t="s">
        <v>39</v>
      </c>
      <c r="C12" s="12" t="s">
        <v>32</v>
      </c>
      <c r="D12" s="12" t="s">
        <v>33</v>
      </c>
      <c r="E12" s="12" t="s">
        <v>79</v>
      </c>
      <c r="F12" s="12" t="s">
        <v>78</v>
      </c>
      <c r="H12" s="90" t="s">
        <v>38</v>
      </c>
      <c r="I12" s="90" t="s">
        <v>31</v>
      </c>
      <c r="J12" s="90" t="s">
        <v>21</v>
      </c>
      <c r="K12" s="90" t="s">
        <v>22</v>
      </c>
      <c r="L12" s="90" t="s">
        <v>23</v>
      </c>
      <c r="M12" s="90" t="s">
        <v>24</v>
      </c>
      <c r="N12" s="90" t="s">
        <v>43</v>
      </c>
      <c r="O12" s="90" t="s">
        <v>42</v>
      </c>
      <c r="P12" s="90" t="s">
        <v>25</v>
      </c>
    </row>
    <row r="13" spans="2:16" ht="13.5" thickBot="1" x14ac:dyDescent="0.25">
      <c r="B13" s="12" t="s">
        <v>77</v>
      </c>
      <c r="C13" s="11"/>
      <c r="D13" s="11"/>
      <c r="E13" s="11" t="str">
        <f>$F$2&amp;"/"&amp;$E$2</f>
        <v>M€2025/PJ</v>
      </c>
      <c r="F13" s="11" t="str">
        <f>$E$2</f>
        <v>PJ</v>
      </c>
      <c r="H13" s="90" t="s">
        <v>73</v>
      </c>
      <c r="I13" s="92"/>
      <c r="J13" s="92"/>
      <c r="K13" s="92"/>
      <c r="L13" s="92"/>
      <c r="M13" s="92"/>
      <c r="N13" s="92"/>
      <c r="O13" s="92"/>
      <c r="P13" s="92"/>
    </row>
    <row r="14" spans="2:16" x14ac:dyDescent="0.2">
      <c r="B14" s="1" t="str">
        <f>J14</f>
        <v>MINMSW1</v>
      </c>
      <c r="C14" s="1"/>
      <c r="D14" s="1" t="str">
        <f>J5</f>
        <v>MSW</v>
      </c>
      <c r="E14" s="38">
        <v>4.0500000000000007</v>
      </c>
      <c r="F14" s="55"/>
      <c r="H14" s="87" t="str">
        <f>'EB1'!$B$5</f>
        <v>MIN</v>
      </c>
      <c r="I14" s="91"/>
      <c r="J14" s="91" t="str">
        <f>$H$14&amp;C2&amp;1</f>
        <v>MINMSW1</v>
      </c>
      <c r="K14" s="93" t="str">
        <f>"Domestic Supply of "&amp;D2&amp; " Step "&amp;RIGHT(J14,1)</f>
        <v>Domestic Supply of Municipal waste Step 1</v>
      </c>
      <c r="L14" s="91" t="str">
        <f>$E$2</f>
        <v>PJ</v>
      </c>
      <c r="M14" s="91" t="str">
        <f>$E$2&amp;"a"</f>
        <v>PJa</v>
      </c>
      <c r="N14" s="91"/>
      <c r="O14" s="91"/>
      <c r="P14" s="91"/>
    </row>
    <row r="15" spans="2:16" x14ac:dyDescent="0.2">
      <c r="B15" s="1"/>
      <c r="C15" s="1"/>
      <c r="D15" s="1"/>
      <c r="E15" s="54"/>
      <c r="F15" s="55"/>
      <c r="H15" s="91"/>
      <c r="I15" s="91"/>
      <c r="J15" s="91"/>
      <c r="K15" s="93"/>
      <c r="L15" s="91"/>
      <c r="M15" s="91"/>
      <c r="N15" s="91"/>
      <c r="O15" s="91"/>
      <c r="P15" s="91"/>
    </row>
    <row r="16" spans="2:16" x14ac:dyDescent="0.2">
      <c r="B16" s="1"/>
      <c r="C16" s="1"/>
      <c r="D16" s="1"/>
      <c r="E16" s="54"/>
      <c r="F16" s="55"/>
      <c r="H16" s="91"/>
      <c r="I16" s="91"/>
      <c r="J16" s="91"/>
      <c r="K16" s="93"/>
      <c r="L16" s="91"/>
      <c r="M16" s="91"/>
      <c r="N16" s="91"/>
      <c r="O16" s="91"/>
      <c r="P16" s="91"/>
    </row>
    <row r="17" spans="2:16" x14ac:dyDescent="0.2">
      <c r="B17" s="1"/>
      <c r="C17" s="1"/>
      <c r="D17" s="1"/>
      <c r="E17" s="25"/>
      <c r="H17" s="91"/>
      <c r="I17" s="91"/>
      <c r="J17" s="91"/>
      <c r="K17" s="93"/>
      <c r="L17" s="91"/>
      <c r="M17" s="91"/>
      <c r="N17" s="91"/>
      <c r="O17" s="91"/>
      <c r="P17" s="91"/>
    </row>
    <row r="18" spans="2:16" x14ac:dyDescent="0.2">
      <c r="B18" s="1"/>
      <c r="C18" s="1"/>
      <c r="E18" s="1"/>
      <c r="F18" s="5"/>
    </row>
    <row r="19" spans="2:16" x14ac:dyDescent="0.2">
      <c r="B19" s="27"/>
      <c r="C19" s="27"/>
    </row>
    <row r="20" spans="2:16" x14ac:dyDescent="0.2">
      <c r="B20" s="38"/>
      <c r="C20" s="1" t="s">
        <v>114</v>
      </c>
    </row>
    <row r="21" spans="2:16" x14ac:dyDescent="0.2">
      <c r="B21" s="46"/>
      <c r="C21" s="1" t="s">
        <v>115</v>
      </c>
    </row>
    <row r="22" spans="2:16" ht="19.5" customHeight="1" x14ac:dyDescent="0.2"/>
    <row r="25" spans="2:16" x14ac:dyDescent="0.2">
      <c r="B25" s="27"/>
      <c r="C25" s="27"/>
      <c r="D25" s="27"/>
    </row>
    <row r="26" spans="2:16" x14ac:dyDescent="0.2">
      <c r="B26" s="27"/>
      <c r="C26" s="27"/>
      <c r="D26" s="27"/>
    </row>
  </sheetData>
  <pageMargins left="0.7" right="0.7" top="0.75" bottom="0.75" header="0.3" footer="0.3"/>
  <drawing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V36"/>
  <sheetViews>
    <sheetView topLeftCell="A10" zoomScale="79" zoomScaleNormal="100" workbookViewId="0">
      <selection activeCell="F34" sqref="F34"/>
    </sheetView>
  </sheetViews>
  <sheetFormatPr defaultRowHeight="12.75" x14ac:dyDescent="0.2"/>
  <cols>
    <col min="1" max="1" width="2" bestFit="1" customWidth="1"/>
    <col min="2" max="2" width="13.28515625" bestFit="1" customWidth="1"/>
    <col min="3" max="3" width="11.85546875" bestFit="1" customWidth="1"/>
    <col min="4" max="4" width="27.42578125" bestFit="1" customWidth="1"/>
    <col min="5" max="5" width="8.42578125" bestFit="1" customWidth="1"/>
    <col min="6" max="6" width="13.7109375" customWidth="1"/>
    <col min="7" max="7" width="2" bestFit="1" customWidth="1"/>
    <col min="8" max="8" width="11.85546875" bestFit="1" customWidth="1"/>
    <col min="9" max="9" width="7.140625" customWidth="1"/>
    <col min="10" max="10" width="11.42578125" bestFit="1" customWidth="1"/>
    <col min="11" max="11" width="37.42578125" bestFit="1" customWidth="1"/>
    <col min="12" max="12" width="6.140625" bestFit="1" customWidth="1"/>
    <col min="13" max="13" width="11" customWidth="1"/>
    <col min="14" max="14" width="12.85546875" bestFit="1" customWidth="1"/>
    <col min="15" max="15" width="14.140625" bestFit="1" customWidth="1"/>
    <col min="16" max="16" width="8" bestFit="1" customWidth="1"/>
  </cols>
  <sheetData>
    <row r="1" spans="2:16" ht="30" x14ac:dyDescent="0.25">
      <c r="B1" s="24" t="s">
        <v>66</v>
      </c>
      <c r="C1" s="24" t="s">
        <v>67</v>
      </c>
      <c r="D1" s="24" t="s">
        <v>68</v>
      </c>
      <c r="E1" s="24" t="s">
        <v>70</v>
      </c>
      <c r="F1" s="24" t="s">
        <v>71</v>
      </c>
    </row>
    <row r="2" spans="2:16" ht="15.75" x14ac:dyDescent="0.25">
      <c r="B2" s="9" t="s">
        <v>112</v>
      </c>
      <c r="C2" s="9" t="str">
        <f>'EB1'!G$2</f>
        <v>DSL</v>
      </c>
      <c r="D2" s="9" t="str">
        <f>'EB1'!G$3</f>
        <v>Diesel oil</v>
      </c>
      <c r="E2" s="9" t="str">
        <f>'EB1'!$Z$2</f>
        <v>PJ</v>
      </c>
      <c r="F2" s="9" t="str">
        <f>'EB1'!Y2</f>
        <v>M€2025</v>
      </c>
      <c r="H2" s="86" t="s">
        <v>14</v>
      </c>
      <c r="I2" s="86"/>
      <c r="J2" s="87"/>
      <c r="K2" s="87"/>
      <c r="L2" s="87"/>
      <c r="M2" s="87"/>
      <c r="N2" s="87"/>
      <c r="O2" s="87"/>
      <c r="P2" s="87"/>
    </row>
    <row r="3" spans="2:16" ht="15.75" x14ac:dyDescent="0.25">
      <c r="C3" s="9" t="str">
        <f>'EB1'!H$2</f>
        <v>KER</v>
      </c>
      <c r="D3" s="9" t="str">
        <f>'EB1'!H$3</f>
        <v>Kerosenes</v>
      </c>
      <c r="E3" s="9" t="str">
        <f>'EB1'!$Z$2</f>
        <v>PJ</v>
      </c>
      <c r="H3" s="88" t="s">
        <v>7</v>
      </c>
      <c r="I3" s="89" t="s">
        <v>30</v>
      </c>
      <c r="J3" s="88" t="s">
        <v>0</v>
      </c>
      <c r="K3" s="88" t="s">
        <v>3</v>
      </c>
      <c r="L3" s="88" t="s">
        <v>4</v>
      </c>
      <c r="M3" s="88" t="s">
        <v>8</v>
      </c>
      <c r="N3" s="88" t="s">
        <v>9</v>
      </c>
      <c r="O3" s="88" t="s">
        <v>10</v>
      </c>
      <c r="P3" s="88" t="s">
        <v>12</v>
      </c>
    </row>
    <row r="4" spans="2:16" ht="24" thickBot="1" x14ac:dyDescent="0.3">
      <c r="C4" s="9" t="str">
        <f>'EB1'!I$2</f>
        <v>LPG</v>
      </c>
      <c r="D4" s="9" t="str">
        <f>'EB1'!I$3</f>
        <v>LPG</v>
      </c>
      <c r="E4" s="9" t="str">
        <f>'EB1'!$Z$2</f>
        <v>PJ</v>
      </c>
      <c r="H4" s="90" t="s">
        <v>37</v>
      </c>
      <c r="I4" s="90" t="s">
        <v>31</v>
      </c>
      <c r="J4" s="90" t="s">
        <v>26</v>
      </c>
      <c r="K4" s="90" t="s">
        <v>27</v>
      </c>
      <c r="L4" s="90" t="s">
        <v>4</v>
      </c>
      <c r="M4" s="90" t="s">
        <v>40</v>
      </c>
      <c r="N4" s="90" t="s">
        <v>41</v>
      </c>
      <c r="O4" s="90" t="s">
        <v>28</v>
      </c>
      <c r="P4" s="90" t="s">
        <v>29</v>
      </c>
    </row>
    <row r="5" spans="2:16" ht="15.75" x14ac:dyDescent="0.25">
      <c r="C5" s="9" t="str">
        <f>'EB1'!J$2</f>
        <v>GSL</v>
      </c>
      <c r="D5" s="9" t="str">
        <f>'EB1'!J$3</f>
        <v>Motor spirit</v>
      </c>
      <c r="E5" s="9" t="str">
        <f>'EB1'!$Z$2</f>
        <v>PJ</v>
      </c>
      <c r="H5" s="87" t="s">
        <v>65</v>
      </c>
      <c r="I5" s="91"/>
      <c r="J5" s="87" t="str">
        <f t="shared" ref="J5:K11" si="0">C2</f>
        <v>DSL</v>
      </c>
      <c r="K5" s="87" t="str">
        <f t="shared" si="0"/>
        <v>Diesel oil</v>
      </c>
      <c r="L5" s="87" t="str">
        <f t="shared" ref="L5:L11" si="1">$E$2</f>
        <v>PJ</v>
      </c>
      <c r="M5" s="87"/>
      <c r="N5" s="87"/>
      <c r="O5" s="87"/>
      <c r="P5" s="87"/>
    </row>
    <row r="6" spans="2:16" ht="15.75" x14ac:dyDescent="0.25">
      <c r="C6" s="9" t="str">
        <f>'EB1'!K$2</f>
        <v>NAP</v>
      </c>
      <c r="D6" s="9" t="str">
        <f>'EB1'!K$3</f>
        <v>Naphtha</v>
      </c>
      <c r="E6" s="9" t="str">
        <f>'EB1'!$Z$2</f>
        <v>PJ</v>
      </c>
      <c r="H6" s="87"/>
      <c r="I6" s="91"/>
      <c r="J6" s="87" t="str">
        <f t="shared" si="0"/>
        <v>KER</v>
      </c>
      <c r="K6" s="87" t="str">
        <f t="shared" si="0"/>
        <v>Kerosenes</v>
      </c>
      <c r="L6" s="87" t="str">
        <f t="shared" si="1"/>
        <v>PJ</v>
      </c>
      <c r="M6" s="87"/>
      <c r="N6" s="87"/>
      <c r="O6" s="87"/>
      <c r="P6" s="87"/>
    </row>
    <row r="7" spans="2:16" ht="15.75" x14ac:dyDescent="0.25">
      <c r="C7" s="9" t="str">
        <f>'EB1'!L$2</f>
        <v>HFO</v>
      </c>
      <c r="D7" s="9" t="str">
        <f>'EB1'!L$3</f>
        <v>Heavy Fuel Oil</v>
      </c>
      <c r="E7" s="9" t="str">
        <f>'EB1'!$Z$2</f>
        <v>PJ</v>
      </c>
      <c r="H7" s="87"/>
      <c r="I7" s="91"/>
      <c r="J7" s="87" t="str">
        <f t="shared" si="0"/>
        <v>LPG</v>
      </c>
      <c r="K7" s="87" t="str">
        <f t="shared" si="0"/>
        <v>LPG</v>
      </c>
      <c r="L7" s="87" t="str">
        <f t="shared" si="1"/>
        <v>PJ</v>
      </c>
      <c r="M7" s="87"/>
      <c r="N7" s="87"/>
      <c r="O7" s="87"/>
      <c r="P7" s="87"/>
    </row>
    <row r="8" spans="2:16" ht="15.75" x14ac:dyDescent="0.25">
      <c r="C8" s="9" t="str">
        <f>'EB1'!M$2</f>
        <v>OPP</v>
      </c>
      <c r="D8" s="9" t="str">
        <f>'EB1'!M$3</f>
        <v>Other Petroleum Products</v>
      </c>
      <c r="E8" s="9" t="str">
        <f>'EB1'!$Z$2</f>
        <v>PJ</v>
      </c>
      <c r="H8" s="87"/>
      <c r="I8" s="91"/>
      <c r="J8" s="87" t="str">
        <f t="shared" si="0"/>
        <v>GSL</v>
      </c>
      <c r="K8" s="87" t="str">
        <f t="shared" si="0"/>
        <v>Motor spirit</v>
      </c>
      <c r="L8" s="87" t="str">
        <f t="shared" si="1"/>
        <v>PJ</v>
      </c>
      <c r="M8" s="87"/>
      <c r="N8" s="87"/>
      <c r="O8" s="87"/>
      <c r="P8" s="87"/>
    </row>
    <row r="9" spans="2:16" x14ac:dyDescent="0.2">
      <c r="H9" s="87"/>
      <c r="I9" s="91"/>
      <c r="J9" s="87" t="str">
        <f t="shared" si="0"/>
        <v>NAP</v>
      </c>
      <c r="K9" s="87" t="str">
        <f t="shared" si="0"/>
        <v>Naphtha</v>
      </c>
      <c r="L9" s="87" t="str">
        <f t="shared" si="1"/>
        <v>PJ</v>
      </c>
      <c r="M9" s="87"/>
      <c r="N9" s="87"/>
      <c r="O9" s="87"/>
      <c r="P9" s="87"/>
    </row>
    <row r="10" spans="2:16" x14ac:dyDescent="0.2">
      <c r="H10" s="87"/>
      <c r="I10" s="91"/>
      <c r="J10" s="87" t="str">
        <f t="shared" si="0"/>
        <v>HFO</v>
      </c>
      <c r="K10" s="87" t="str">
        <f t="shared" si="0"/>
        <v>Heavy Fuel Oil</v>
      </c>
      <c r="L10" s="87" t="str">
        <f t="shared" si="1"/>
        <v>PJ</v>
      </c>
      <c r="M10" s="87"/>
      <c r="N10" s="87"/>
      <c r="O10" s="87"/>
      <c r="P10" s="87"/>
    </row>
    <row r="11" spans="2:16" x14ac:dyDescent="0.2">
      <c r="H11" s="87"/>
      <c r="I11" s="91"/>
      <c r="J11" s="87" t="str">
        <f t="shared" si="0"/>
        <v>OPP</v>
      </c>
      <c r="K11" s="87" t="str">
        <f t="shared" si="0"/>
        <v>Other Petroleum Products</v>
      </c>
      <c r="L11" s="87" t="str">
        <f t="shared" si="1"/>
        <v>PJ</v>
      </c>
      <c r="M11" s="87"/>
      <c r="N11" s="87"/>
      <c r="O11" s="87"/>
      <c r="P11" s="87"/>
    </row>
    <row r="13" spans="2:16" x14ac:dyDescent="0.2">
      <c r="D13" s="4" t="s">
        <v>13</v>
      </c>
      <c r="E13" s="4"/>
      <c r="H13" s="86" t="s">
        <v>15</v>
      </c>
      <c r="I13" s="86"/>
      <c r="J13" s="91"/>
      <c r="K13" s="91"/>
      <c r="L13" s="91"/>
      <c r="M13" s="91"/>
      <c r="N13" s="91"/>
      <c r="O13" s="91"/>
      <c r="P13" s="91"/>
    </row>
    <row r="14" spans="2:16" x14ac:dyDescent="0.2">
      <c r="B14" s="3" t="s">
        <v>1</v>
      </c>
      <c r="C14" s="15" t="s">
        <v>5</v>
      </c>
      <c r="D14" s="3" t="s">
        <v>6</v>
      </c>
      <c r="E14" s="53" t="s">
        <v>35</v>
      </c>
      <c r="F14" s="53" t="s">
        <v>72</v>
      </c>
      <c r="H14" s="88" t="s">
        <v>11</v>
      </c>
      <c r="I14" s="89" t="s">
        <v>30</v>
      </c>
      <c r="J14" s="88" t="s">
        <v>1</v>
      </c>
      <c r="K14" s="88" t="s">
        <v>2</v>
      </c>
      <c r="L14" s="88" t="s">
        <v>16</v>
      </c>
      <c r="M14" s="88" t="s">
        <v>17</v>
      </c>
      <c r="N14" s="88" t="s">
        <v>18</v>
      </c>
      <c r="O14" s="88" t="s">
        <v>19</v>
      </c>
      <c r="P14" s="88" t="s">
        <v>20</v>
      </c>
    </row>
    <row r="15" spans="2:16" ht="23.25" thickBot="1" x14ac:dyDescent="0.25">
      <c r="B15" s="12" t="s">
        <v>39</v>
      </c>
      <c r="C15" s="12" t="s">
        <v>32</v>
      </c>
      <c r="D15" s="12" t="s">
        <v>33</v>
      </c>
      <c r="E15" s="12" t="s">
        <v>79</v>
      </c>
      <c r="F15" s="12" t="s">
        <v>78</v>
      </c>
      <c r="H15" s="90" t="s">
        <v>38</v>
      </c>
      <c r="I15" s="90" t="s">
        <v>31</v>
      </c>
      <c r="J15" s="90" t="s">
        <v>21</v>
      </c>
      <c r="K15" s="90" t="s">
        <v>22</v>
      </c>
      <c r="L15" s="90" t="s">
        <v>23</v>
      </c>
      <c r="M15" s="90" t="s">
        <v>24</v>
      </c>
      <c r="N15" s="90" t="s">
        <v>43</v>
      </c>
      <c r="O15" s="90" t="s">
        <v>42</v>
      </c>
      <c r="P15" s="90" t="s">
        <v>25</v>
      </c>
    </row>
    <row r="16" spans="2:16" ht="13.5" thickBot="1" x14ac:dyDescent="0.25">
      <c r="B16" s="12" t="s">
        <v>77</v>
      </c>
      <c r="C16" s="11"/>
      <c r="D16" s="11"/>
      <c r="E16" s="11" t="str">
        <f>$F$2&amp;"/"&amp;$E$2</f>
        <v>M€2025/PJ</v>
      </c>
      <c r="F16" s="11" t="str">
        <f>$E$2</f>
        <v>PJ</v>
      </c>
      <c r="H16" s="90" t="s">
        <v>73</v>
      </c>
      <c r="I16" s="90"/>
      <c r="J16" s="90"/>
      <c r="K16" s="90"/>
      <c r="L16" s="90"/>
      <c r="M16" s="90"/>
      <c r="N16" s="90"/>
      <c r="O16" s="90"/>
      <c r="P16" s="90"/>
    </row>
    <row r="17" spans="2:22" x14ac:dyDescent="0.2">
      <c r="B17" s="1" t="str">
        <f t="shared" ref="B17:B30" si="2">J17</f>
        <v>IMPDSL1</v>
      </c>
      <c r="C17" s="1"/>
      <c r="D17" s="1" t="str">
        <f t="shared" ref="D17:D23" si="3">C2</f>
        <v>DSL</v>
      </c>
      <c r="E17" s="49">
        <f>Pri_OIL!$F$11*1.3</f>
        <v>10.4</v>
      </c>
      <c r="F17" s="44"/>
      <c r="H17" s="91" t="str">
        <f>'EB1'!$B$6</f>
        <v>IMP</v>
      </c>
      <c r="I17" s="91"/>
      <c r="J17" s="91" t="str">
        <f t="shared" ref="J17:J23" si="4">$H$17&amp;C2&amp;1</f>
        <v>IMPDSL1</v>
      </c>
      <c r="K17" s="93" t="str">
        <f t="shared" ref="K17:K23" si="5">"Import of "&amp;D2&amp; " Step "&amp;RIGHT(J17,1)</f>
        <v>Import of Diesel oil Step 1</v>
      </c>
      <c r="L17" s="91" t="str">
        <f t="shared" ref="L17:L30" si="6">$E$2</f>
        <v>PJ</v>
      </c>
      <c r="M17" s="91"/>
      <c r="N17" s="91"/>
      <c r="O17" s="91"/>
      <c r="P17" s="91"/>
    </row>
    <row r="18" spans="2:22" x14ac:dyDescent="0.2">
      <c r="B18" s="1" t="str">
        <f t="shared" si="2"/>
        <v>IMPKER1</v>
      </c>
      <c r="C18" s="1"/>
      <c r="D18" s="1" t="str">
        <f t="shared" si="3"/>
        <v>KER</v>
      </c>
      <c r="E18" s="49">
        <f>Pri_OIL!$F$11*1.4</f>
        <v>11.2</v>
      </c>
      <c r="F18" s="44"/>
      <c r="H18" s="91"/>
      <c r="I18" s="91"/>
      <c r="J18" s="91" t="str">
        <f t="shared" si="4"/>
        <v>IMPKER1</v>
      </c>
      <c r="K18" s="93" t="str">
        <f t="shared" si="5"/>
        <v>Import of Kerosenes Step 1</v>
      </c>
      <c r="L18" s="91" t="str">
        <f t="shared" si="6"/>
        <v>PJ</v>
      </c>
      <c r="M18" s="91"/>
      <c r="N18" s="91"/>
      <c r="O18" s="91"/>
      <c r="P18" s="91"/>
      <c r="T18" s="1"/>
    </row>
    <row r="19" spans="2:22" x14ac:dyDescent="0.2">
      <c r="B19" s="1" t="str">
        <f t="shared" si="2"/>
        <v>IMPLPG1</v>
      </c>
      <c r="C19" s="1"/>
      <c r="D19" s="1" t="str">
        <f t="shared" si="3"/>
        <v>LPG</v>
      </c>
      <c r="E19" s="49">
        <f>Pri_OIL!$F$11*1.1</f>
        <v>8.8000000000000007</v>
      </c>
      <c r="F19" s="44"/>
      <c r="H19" s="91"/>
      <c r="I19" s="91"/>
      <c r="J19" s="91" t="str">
        <f t="shared" si="4"/>
        <v>IMPLPG1</v>
      </c>
      <c r="K19" s="93" t="str">
        <f t="shared" si="5"/>
        <v>Import of LPG Step 1</v>
      </c>
      <c r="L19" s="91" t="str">
        <f t="shared" si="6"/>
        <v>PJ</v>
      </c>
      <c r="M19" s="91"/>
      <c r="N19" s="91"/>
      <c r="O19" s="91"/>
      <c r="P19" s="91"/>
      <c r="U19" s="1"/>
      <c r="V19" s="1"/>
    </row>
    <row r="20" spans="2:22" x14ac:dyDescent="0.2">
      <c r="B20" s="1" t="str">
        <f t="shared" si="2"/>
        <v>IMPGSL1</v>
      </c>
      <c r="C20" s="1"/>
      <c r="D20" s="1" t="str">
        <f t="shared" si="3"/>
        <v>GSL</v>
      </c>
      <c r="E20" s="49">
        <f>Pri_OIL!$F$11*1.4</f>
        <v>11.2</v>
      </c>
      <c r="F20" s="44"/>
      <c r="H20" s="91"/>
      <c r="I20" s="91"/>
      <c r="J20" s="91" t="str">
        <f t="shared" si="4"/>
        <v>IMPGSL1</v>
      </c>
      <c r="K20" s="93" t="str">
        <f t="shared" si="5"/>
        <v>Import of Motor spirit Step 1</v>
      </c>
      <c r="L20" s="91" t="str">
        <f t="shared" si="6"/>
        <v>PJ</v>
      </c>
      <c r="M20" s="91"/>
      <c r="N20" s="91"/>
      <c r="O20" s="91"/>
      <c r="P20" s="91"/>
    </row>
    <row r="21" spans="2:22" x14ac:dyDescent="0.2">
      <c r="B21" s="1" t="str">
        <f t="shared" si="2"/>
        <v>IMPNAP1</v>
      </c>
      <c r="C21" s="1"/>
      <c r="D21" s="1" t="str">
        <f t="shared" si="3"/>
        <v>NAP</v>
      </c>
      <c r="E21" s="49">
        <f>Pri_OIL!$F$11*1.05</f>
        <v>8.4</v>
      </c>
      <c r="F21" s="44"/>
      <c r="H21" s="91"/>
      <c r="I21" s="91"/>
      <c r="J21" s="91" t="str">
        <f t="shared" si="4"/>
        <v>IMPNAP1</v>
      </c>
      <c r="K21" s="93" t="str">
        <f t="shared" si="5"/>
        <v>Import of Naphtha Step 1</v>
      </c>
      <c r="L21" s="91" t="str">
        <f t="shared" si="6"/>
        <v>PJ</v>
      </c>
      <c r="M21" s="91"/>
      <c r="N21" s="91"/>
      <c r="O21" s="91"/>
      <c r="P21" s="91"/>
    </row>
    <row r="22" spans="2:22" x14ac:dyDescent="0.2">
      <c r="B22" s="1" t="str">
        <f t="shared" si="2"/>
        <v>IMPHFO1</v>
      </c>
      <c r="C22" s="1"/>
      <c r="D22" s="1" t="str">
        <f t="shared" si="3"/>
        <v>HFO</v>
      </c>
      <c r="E22" s="49">
        <f>Pri_OIL!$F$11*1.05</f>
        <v>8.4</v>
      </c>
      <c r="F22" s="44"/>
      <c r="H22" s="91"/>
      <c r="I22" s="91"/>
      <c r="J22" s="91" t="str">
        <f t="shared" si="4"/>
        <v>IMPHFO1</v>
      </c>
      <c r="K22" s="93" t="str">
        <f t="shared" si="5"/>
        <v>Import of Heavy Fuel Oil Step 1</v>
      </c>
      <c r="L22" s="91" t="str">
        <f t="shared" si="6"/>
        <v>PJ</v>
      </c>
      <c r="M22" s="91"/>
      <c r="N22" s="91"/>
      <c r="O22" s="91"/>
      <c r="P22" s="91"/>
    </row>
    <row r="23" spans="2:22" x14ac:dyDescent="0.2">
      <c r="B23" s="1" t="str">
        <f t="shared" si="2"/>
        <v>IMPOPP1</v>
      </c>
      <c r="C23" s="1"/>
      <c r="D23" s="1" t="str">
        <f t="shared" si="3"/>
        <v>OPP</v>
      </c>
      <c r="E23" s="49">
        <f>Pri_OIL!$F$11*1.05</f>
        <v>8.4</v>
      </c>
      <c r="F23" s="44"/>
      <c r="H23" s="91"/>
      <c r="I23" s="91"/>
      <c r="J23" s="91" t="str">
        <f t="shared" si="4"/>
        <v>IMPOPP1</v>
      </c>
      <c r="K23" s="93" t="str">
        <f t="shared" si="5"/>
        <v>Import of Other Petroleum Products Step 1</v>
      </c>
      <c r="L23" s="91" t="str">
        <f t="shared" si="6"/>
        <v>PJ</v>
      </c>
      <c r="M23" s="91"/>
      <c r="N23" s="91"/>
      <c r="O23" s="91"/>
      <c r="P23" s="91"/>
    </row>
    <row r="24" spans="2:22" x14ac:dyDescent="0.2">
      <c r="B24" s="1" t="str">
        <f t="shared" si="2"/>
        <v>EXPDSL1</v>
      </c>
      <c r="C24" s="1" t="str">
        <f t="shared" ref="C24:C30" si="7">C2</f>
        <v>DSL</v>
      </c>
      <c r="D24" s="1"/>
      <c r="E24" s="49">
        <f>E17*0.99</f>
        <v>10.295999999999999</v>
      </c>
      <c r="F24" s="44"/>
      <c r="H24" s="91" t="str">
        <f>'EB1'!B7</f>
        <v>EXP</v>
      </c>
      <c r="I24" s="91"/>
      <c r="J24" s="91" t="str">
        <f t="shared" ref="J24:J30" si="8">$H$24&amp;C2&amp;1</f>
        <v>EXPDSL1</v>
      </c>
      <c r="K24" s="93" t="str">
        <f t="shared" ref="K24:K30" si="9">"Export of "&amp;D2&amp; " Step "&amp;RIGHT(J24,1)</f>
        <v>Export of Diesel oil Step 1</v>
      </c>
      <c r="L24" s="91" t="str">
        <f t="shared" si="6"/>
        <v>PJ</v>
      </c>
      <c r="M24" s="91"/>
      <c r="N24" s="91"/>
      <c r="O24" s="91"/>
      <c r="P24" s="91"/>
      <c r="S24" s="1"/>
    </row>
    <row r="25" spans="2:22" x14ac:dyDescent="0.2">
      <c r="B25" s="1" t="str">
        <f t="shared" si="2"/>
        <v>EXPKER1</v>
      </c>
      <c r="C25" s="1" t="str">
        <f t="shared" si="7"/>
        <v>KER</v>
      </c>
      <c r="D25" s="1"/>
      <c r="E25" s="49">
        <f t="shared" ref="E25:E30" si="10">E18*0.99</f>
        <v>11.087999999999999</v>
      </c>
      <c r="F25" s="44"/>
      <c r="H25" s="91"/>
      <c r="I25" s="91"/>
      <c r="J25" s="91" t="str">
        <f t="shared" si="8"/>
        <v>EXPKER1</v>
      </c>
      <c r="K25" s="93" t="str">
        <f t="shared" si="9"/>
        <v>Export of Kerosenes Step 1</v>
      </c>
      <c r="L25" s="91" t="str">
        <f t="shared" si="6"/>
        <v>PJ</v>
      </c>
      <c r="M25" s="91"/>
      <c r="N25" s="91"/>
      <c r="O25" s="91"/>
      <c r="P25" s="91"/>
      <c r="R25" s="1"/>
    </row>
    <row r="26" spans="2:22" x14ac:dyDescent="0.2">
      <c r="B26" s="1" t="str">
        <f t="shared" si="2"/>
        <v>EXPLPG1</v>
      </c>
      <c r="C26" s="1" t="str">
        <f t="shared" si="7"/>
        <v>LPG</v>
      </c>
      <c r="D26" s="1"/>
      <c r="E26" s="49">
        <f t="shared" si="10"/>
        <v>8.7119999999999997</v>
      </c>
      <c r="F26" s="44"/>
      <c r="H26" s="91"/>
      <c r="I26" s="91"/>
      <c r="J26" s="91" t="str">
        <f t="shared" si="8"/>
        <v>EXPLPG1</v>
      </c>
      <c r="K26" s="93" t="str">
        <f t="shared" si="9"/>
        <v>Export of LPG Step 1</v>
      </c>
      <c r="L26" s="91" t="str">
        <f t="shared" si="6"/>
        <v>PJ</v>
      </c>
      <c r="M26" s="91"/>
      <c r="N26" s="91"/>
      <c r="O26" s="91"/>
      <c r="P26" s="91"/>
    </row>
    <row r="27" spans="2:22" x14ac:dyDescent="0.2">
      <c r="B27" s="1" t="str">
        <f t="shared" si="2"/>
        <v>EXPGSL1</v>
      </c>
      <c r="C27" s="1" t="str">
        <f t="shared" si="7"/>
        <v>GSL</v>
      </c>
      <c r="D27" s="1"/>
      <c r="E27" s="49">
        <f t="shared" si="10"/>
        <v>11.087999999999999</v>
      </c>
      <c r="F27" s="44"/>
      <c r="H27" s="91"/>
      <c r="I27" s="91"/>
      <c r="J27" s="91" t="str">
        <f t="shared" si="8"/>
        <v>EXPGSL1</v>
      </c>
      <c r="K27" s="93" t="str">
        <f t="shared" si="9"/>
        <v>Export of Motor spirit Step 1</v>
      </c>
      <c r="L27" s="91" t="str">
        <f t="shared" si="6"/>
        <v>PJ</v>
      </c>
      <c r="M27" s="91"/>
      <c r="N27" s="91"/>
      <c r="O27" s="91"/>
      <c r="P27" s="91"/>
    </row>
    <row r="28" spans="2:22" x14ac:dyDescent="0.2">
      <c r="B28" s="1" t="str">
        <f t="shared" si="2"/>
        <v>EXPNAP1</v>
      </c>
      <c r="C28" s="1" t="str">
        <f t="shared" si="7"/>
        <v>NAP</v>
      </c>
      <c r="D28" s="1"/>
      <c r="E28" s="49">
        <f t="shared" si="10"/>
        <v>8.3160000000000007</v>
      </c>
      <c r="F28" s="44"/>
      <c r="H28" s="91"/>
      <c r="I28" s="91"/>
      <c r="J28" s="91" t="str">
        <f t="shared" si="8"/>
        <v>EXPNAP1</v>
      </c>
      <c r="K28" s="93" t="str">
        <f t="shared" si="9"/>
        <v>Export of Naphtha Step 1</v>
      </c>
      <c r="L28" s="91" t="str">
        <f t="shared" si="6"/>
        <v>PJ</v>
      </c>
      <c r="M28" s="91"/>
      <c r="N28" s="91"/>
      <c r="O28" s="91"/>
      <c r="P28" s="91"/>
    </row>
    <row r="29" spans="2:22" x14ac:dyDescent="0.2">
      <c r="B29" s="1" t="str">
        <f t="shared" si="2"/>
        <v>EXPHFO1</v>
      </c>
      <c r="C29" s="1" t="str">
        <f t="shared" si="7"/>
        <v>HFO</v>
      </c>
      <c r="D29" s="1"/>
      <c r="E29" s="49">
        <f t="shared" si="10"/>
        <v>8.3160000000000007</v>
      </c>
      <c r="F29" s="44"/>
      <c r="H29" s="91"/>
      <c r="I29" s="91"/>
      <c r="J29" s="91" t="str">
        <f>$H$24&amp;C7&amp;1</f>
        <v>EXPHFO1</v>
      </c>
      <c r="K29" s="93" t="str">
        <f t="shared" si="9"/>
        <v>Export of Heavy Fuel Oil Step 1</v>
      </c>
      <c r="L29" s="91" t="str">
        <f t="shared" si="6"/>
        <v>PJ</v>
      </c>
      <c r="M29" s="91"/>
      <c r="N29" s="91"/>
      <c r="O29" s="91"/>
      <c r="P29" s="91"/>
    </row>
    <row r="30" spans="2:22" x14ac:dyDescent="0.2">
      <c r="B30" s="1" t="str">
        <f t="shared" si="2"/>
        <v>EXPOPP1</v>
      </c>
      <c r="C30" s="1" t="str">
        <f t="shared" si="7"/>
        <v>OPP</v>
      </c>
      <c r="D30" s="1"/>
      <c r="E30" s="49">
        <f t="shared" si="10"/>
        <v>8.3160000000000007</v>
      </c>
      <c r="F30" s="44"/>
      <c r="H30" s="91"/>
      <c r="I30" s="91"/>
      <c r="J30" s="91" t="str">
        <f t="shared" si="8"/>
        <v>EXPOPP1</v>
      </c>
      <c r="K30" s="93" t="str">
        <f t="shared" si="9"/>
        <v>Export of Other Petroleum Products Step 1</v>
      </c>
      <c r="L30" s="91" t="str">
        <f t="shared" si="6"/>
        <v>PJ</v>
      </c>
      <c r="M30" s="91"/>
      <c r="N30" s="91"/>
      <c r="O30" s="91"/>
      <c r="P30" s="91"/>
    </row>
    <row r="35" spans="2:3" x14ac:dyDescent="0.2">
      <c r="B35" s="38"/>
      <c r="C35" s="1" t="s">
        <v>114</v>
      </c>
    </row>
    <row r="36" spans="2:3" x14ac:dyDescent="0.2">
      <c r="B36" s="46"/>
      <c r="C36" s="1" t="s">
        <v>115</v>
      </c>
    </row>
  </sheetData>
  <pageMargins left="0.75" right="0.75" top="1" bottom="1" header="0.5" footer="0.5"/>
  <pageSetup orientation="portrait" horizontalDpi="4294967292" r:id="rId1"/>
  <headerFooter alignWithMargins="0"/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U22"/>
  <sheetViews>
    <sheetView zoomScale="65" zoomScaleNormal="100" workbookViewId="0">
      <selection activeCell="H21" sqref="H21"/>
    </sheetView>
  </sheetViews>
  <sheetFormatPr defaultRowHeight="12.75" x14ac:dyDescent="0.2"/>
  <cols>
    <col min="1" max="1" width="2" bestFit="1" customWidth="1"/>
    <col min="2" max="2" width="13.28515625" bestFit="1" customWidth="1"/>
    <col min="3" max="3" width="11.85546875" bestFit="1" customWidth="1"/>
    <col min="4" max="4" width="27.42578125" bestFit="1" customWidth="1"/>
    <col min="5" max="5" width="11.5703125" customWidth="1"/>
    <col min="6" max="8" width="13.7109375" customWidth="1"/>
    <col min="9" max="9" width="2" bestFit="1" customWidth="1"/>
    <col min="10" max="10" width="11.85546875" bestFit="1" customWidth="1"/>
    <col min="11" max="11" width="7.140625" customWidth="1"/>
    <col min="12" max="12" width="11.42578125" bestFit="1" customWidth="1"/>
    <col min="13" max="13" width="37.42578125" bestFit="1" customWidth="1"/>
    <col min="14" max="14" width="6.140625" bestFit="1" customWidth="1"/>
    <col min="15" max="15" width="11" customWidth="1"/>
    <col min="16" max="16" width="12.85546875" bestFit="1" customWidth="1"/>
    <col min="17" max="17" width="14.140625" bestFit="1" customWidth="1"/>
    <col min="18" max="18" width="8" bestFit="1" customWidth="1"/>
  </cols>
  <sheetData>
    <row r="1" spans="2:21" ht="30" x14ac:dyDescent="0.25">
      <c r="B1" s="24" t="s">
        <v>66</v>
      </c>
      <c r="C1" s="24" t="s">
        <v>67</v>
      </c>
      <c r="D1" s="24" t="s">
        <v>68</v>
      </c>
      <c r="E1" s="24" t="s">
        <v>70</v>
      </c>
      <c r="F1" s="24" t="s">
        <v>71</v>
      </c>
      <c r="G1" s="24"/>
      <c r="H1" s="24"/>
    </row>
    <row r="2" spans="2:21" ht="15.75" x14ac:dyDescent="0.25">
      <c r="B2" s="9" t="s">
        <v>112</v>
      </c>
      <c r="C2" s="9" t="str">
        <f>'EB1'!U$2</f>
        <v>ELC</v>
      </c>
      <c r="D2" s="9" t="str">
        <f>'EB1'!U$3</f>
        <v>Electricity</v>
      </c>
      <c r="E2" s="9" t="s">
        <v>148</v>
      </c>
      <c r="F2" s="9" t="str">
        <f>'EB1'!Y2</f>
        <v>M€2025</v>
      </c>
      <c r="G2" s="9"/>
      <c r="H2" s="9"/>
      <c r="J2" s="86" t="s">
        <v>14</v>
      </c>
      <c r="K2" s="86"/>
      <c r="L2" s="87"/>
      <c r="M2" s="87"/>
      <c r="N2" s="87"/>
      <c r="O2" s="87"/>
      <c r="P2" s="87"/>
      <c r="Q2" s="87"/>
      <c r="R2" s="87"/>
    </row>
    <row r="3" spans="2:21" ht="15.75" x14ac:dyDescent="0.25">
      <c r="C3" s="7"/>
      <c r="D3" s="7"/>
      <c r="J3" s="88" t="s">
        <v>7</v>
      </c>
      <c r="K3" s="89" t="s">
        <v>30</v>
      </c>
      <c r="L3" s="88" t="s">
        <v>0</v>
      </c>
      <c r="M3" s="88" t="s">
        <v>3</v>
      </c>
      <c r="N3" s="88" t="s">
        <v>4</v>
      </c>
      <c r="O3" s="88" t="s">
        <v>8</v>
      </c>
      <c r="P3" s="88" t="s">
        <v>9</v>
      </c>
      <c r="Q3" s="88" t="s">
        <v>10</v>
      </c>
      <c r="R3" s="88" t="s">
        <v>12</v>
      </c>
    </row>
    <row r="4" spans="2:21" ht="24" thickBot="1" x14ac:dyDescent="0.3">
      <c r="C4" s="7"/>
      <c r="D4" s="7"/>
      <c r="J4" s="90" t="s">
        <v>37</v>
      </c>
      <c r="K4" s="90" t="s">
        <v>31</v>
      </c>
      <c r="L4" s="90" t="s">
        <v>26</v>
      </c>
      <c r="M4" s="90" t="s">
        <v>27</v>
      </c>
      <c r="N4" s="90" t="s">
        <v>4</v>
      </c>
      <c r="O4" s="90" t="s">
        <v>40</v>
      </c>
      <c r="P4" s="90" t="s">
        <v>41</v>
      </c>
      <c r="Q4" s="90" t="s">
        <v>28</v>
      </c>
      <c r="R4" s="90" t="s">
        <v>29</v>
      </c>
    </row>
    <row r="5" spans="2:21" ht="15.75" x14ac:dyDescent="0.25">
      <c r="C5" s="7"/>
      <c r="D5" s="7"/>
      <c r="J5" s="1"/>
      <c r="L5" s="1"/>
      <c r="M5" s="1"/>
      <c r="N5" s="1"/>
      <c r="O5" s="1"/>
      <c r="P5" s="1"/>
      <c r="Q5" s="1"/>
      <c r="R5" s="1"/>
    </row>
    <row r="6" spans="2:21" ht="15.75" x14ac:dyDescent="0.25">
      <c r="C6" s="7"/>
      <c r="D6" s="7"/>
      <c r="J6" s="1"/>
      <c r="L6" s="1"/>
      <c r="M6" s="1"/>
      <c r="N6" s="1"/>
      <c r="O6" s="1"/>
      <c r="P6" s="1"/>
      <c r="Q6" s="1"/>
      <c r="R6" s="1"/>
    </row>
    <row r="11" spans="2:21" x14ac:dyDescent="0.2">
      <c r="D11" s="4" t="s">
        <v>13</v>
      </c>
      <c r="E11" s="4"/>
      <c r="J11" s="86" t="s">
        <v>15</v>
      </c>
      <c r="K11" s="86"/>
      <c r="L11" s="91"/>
      <c r="M11" s="91"/>
      <c r="N11" s="91"/>
      <c r="O11" s="91"/>
      <c r="P11" s="91"/>
      <c r="Q11" s="91"/>
      <c r="R11" s="91"/>
    </row>
    <row r="12" spans="2:21" x14ac:dyDescent="0.2">
      <c r="B12" s="3" t="s">
        <v>1</v>
      </c>
      <c r="C12" s="15" t="s">
        <v>5</v>
      </c>
      <c r="D12" s="3" t="s">
        <v>6</v>
      </c>
      <c r="E12" s="53" t="s">
        <v>160</v>
      </c>
      <c r="F12" s="53" t="s">
        <v>159</v>
      </c>
      <c r="G12" s="94" t="s">
        <v>149</v>
      </c>
      <c r="H12" s="94" t="s">
        <v>161</v>
      </c>
      <c r="J12" s="88" t="s">
        <v>11</v>
      </c>
      <c r="K12" s="89" t="s">
        <v>30</v>
      </c>
      <c r="L12" s="88" t="s">
        <v>1</v>
      </c>
      <c r="M12" s="88" t="s">
        <v>2</v>
      </c>
      <c r="N12" s="88" t="s">
        <v>16</v>
      </c>
      <c r="O12" s="88" t="s">
        <v>17</v>
      </c>
      <c r="P12" s="88" t="s">
        <v>18</v>
      </c>
      <c r="Q12" s="88" t="s">
        <v>19</v>
      </c>
      <c r="R12" s="88" t="s">
        <v>20</v>
      </c>
    </row>
    <row r="13" spans="2:21" ht="23.25" thickBot="1" x14ac:dyDescent="0.25">
      <c r="B13" s="12" t="s">
        <v>39</v>
      </c>
      <c r="C13" s="12" t="s">
        <v>32</v>
      </c>
      <c r="D13" s="12" t="s">
        <v>33</v>
      </c>
      <c r="E13" s="12" t="s">
        <v>79</v>
      </c>
      <c r="F13" s="12" t="s">
        <v>78</v>
      </c>
      <c r="G13" s="12"/>
      <c r="H13" s="12"/>
      <c r="J13" s="90" t="s">
        <v>38</v>
      </c>
      <c r="K13" s="90" t="s">
        <v>31</v>
      </c>
      <c r="L13" s="90" t="s">
        <v>21</v>
      </c>
      <c r="M13" s="90" t="s">
        <v>22</v>
      </c>
      <c r="N13" s="90" t="s">
        <v>23</v>
      </c>
      <c r="O13" s="90" t="s">
        <v>24</v>
      </c>
      <c r="P13" s="90" t="s">
        <v>43</v>
      </c>
      <c r="Q13" s="90" t="s">
        <v>42</v>
      </c>
      <c r="R13" s="90" t="s">
        <v>25</v>
      </c>
    </row>
    <row r="14" spans="2:21" ht="13.5" thickBot="1" x14ac:dyDescent="0.25">
      <c r="B14" s="12" t="s">
        <v>77</v>
      </c>
      <c r="C14" s="11"/>
      <c r="D14" s="11"/>
      <c r="E14" s="11" t="str">
        <f>$F$2&amp;"/"&amp;$E$2</f>
        <v>M€2025/TWh</v>
      </c>
      <c r="F14" s="92" t="str">
        <f>O15</f>
        <v>GW</v>
      </c>
      <c r="G14" s="11"/>
      <c r="H14" s="11"/>
      <c r="J14" s="90" t="s">
        <v>73</v>
      </c>
      <c r="K14" s="90"/>
      <c r="L14" s="90"/>
      <c r="M14" s="90"/>
      <c r="N14" s="90"/>
      <c r="O14" s="90"/>
      <c r="P14" s="90"/>
      <c r="Q14" s="90"/>
      <c r="R14" s="90"/>
    </row>
    <row r="15" spans="2:21" x14ac:dyDescent="0.2">
      <c r="B15" s="1" t="str">
        <f>L15</f>
        <v>IMPELCFIN</v>
      </c>
      <c r="C15" s="1"/>
      <c r="D15" s="1" t="str">
        <f>C2</f>
        <v>ELC</v>
      </c>
      <c r="E15" s="49">
        <v>80.39</v>
      </c>
      <c r="F15" s="96">
        <v>1.016</v>
      </c>
      <c r="G15" s="95">
        <v>8.76</v>
      </c>
      <c r="H15" s="95">
        <v>0.9</v>
      </c>
      <c r="J15" s="91" t="str">
        <f>'EB1'!$B$6</f>
        <v>IMP</v>
      </c>
      <c r="K15" s="91"/>
      <c r="L15" s="91" t="s">
        <v>151</v>
      </c>
      <c r="M15" s="93" t="s">
        <v>150</v>
      </c>
      <c r="N15" s="91" t="str">
        <f>$E$2</f>
        <v>TWh</v>
      </c>
      <c r="O15" s="91" t="s">
        <v>158</v>
      </c>
      <c r="P15" s="87" t="s">
        <v>92</v>
      </c>
      <c r="Q15" s="91"/>
      <c r="R15" s="91"/>
    </row>
    <row r="16" spans="2:21" x14ac:dyDescent="0.2">
      <c r="B16" s="1" t="str">
        <f>L16</f>
        <v>IMPELCLV</v>
      </c>
      <c r="C16" s="1"/>
      <c r="D16" s="1" t="str">
        <f>C2</f>
        <v>ELC</v>
      </c>
      <c r="E16" s="49">
        <v>85.31</v>
      </c>
      <c r="F16" s="96">
        <v>1.149</v>
      </c>
      <c r="G16" s="95">
        <v>8.76</v>
      </c>
      <c r="H16" s="95">
        <v>0.9</v>
      </c>
      <c r="J16" t="s">
        <v>60</v>
      </c>
      <c r="L16" t="s">
        <v>152</v>
      </c>
      <c r="M16" t="s">
        <v>153</v>
      </c>
      <c r="N16" s="91" t="str">
        <f t="shared" ref="N16:N18" si="0">$E$2</f>
        <v>TWh</v>
      </c>
      <c r="O16" s="91" t="s">
        <v>158</v>
      </c>
      <c r="P16" s="87" t="s">
        <v>92</v>
      </c>
      <c r="U16" s="1"/>
    </row>
    <row r="17" spans="2:18" x14ac:dyDescent="0.2">
      <c r="B17" s="1" t="str">
        <f>L17</f>
        <v>EXPELCFIN</v>
      </c>
      <c r="C17" t="str">
        <f>C2</f>
        <v>ELC</v>
      </c>
      <c r="E17">
        <v>40.49</v>
      </c>
      <c r="F17" s="97">
        <v>1.016</v>
      </c>
      <c r="G17" s="95">
        <v>8.76</v>
      </c>
      <c r="H17" s="95">
        <v>0.9</v>
      </c>
      <c r="J17" s="91" t="str">
        <f>'EB1'!B7</f>
        <v>EXP</v>
      </c>
      <c r="K17" s="91"/>
      <c r="L17" s="91" t="s">
        <v>154</v>
      </c>
      <c r="M17" s="93" t="s">
        <v>155</v>
      </c>
      <c r="N17" s="91" t="str">
        <f t="shared" si="0"/>
        <v>TWh</v>
      </c>
      <c r="O17" s="91" t="s">
        <v>158</v>
      </c>
      <c r="P17" s="87" t="s">
        <v>92</v>
      </c>
      <c r="Q17" s="91"/>
      <c r="R17" s="91"/>
    </row>
    <row r="18" spans="2:18" x14ac:dyDescent="0.2">
      <c r="B18" s="1" t="str">
        <f>L18</f>
        <v>EXPELCLV</v>
      </c>
      <c r="C18" t="str">
        <f>C2</f>
        <v>ELC</v>
      </c>
      <c r="E18">
        <v>85.31</v>
      </c>
      <c r="F18" s="97">
        <v>0.85</v>
      </c>
      <c r="G18" s="95">
        <v>8.76</v>
      </c>
      <c r="H18" s="95">
        <v>0.9</v>
      </c>
      <c r="J18" t="s">
        <v>62</v>
      </c>
      <c r="L18" t="s">
        <v>156</v>
      </c>
      <c r="M18" t="s">
        <v>157</v>
      </c>
      <c r="N18" s="91" t="str">
        <f t="shared" si="0"/>
        <v>TWh</v>
      </c>
      <c r="O18" s="91" t="s">
        <v>158</v>
      </c>
      <c r="P18" s="87" t="s">
        <v>92</v>
      </c>
    </row>
    <row r="19" spans="2:18" x14ac:dyDescent="0.2">
      <c r="H19" s="51"/>
    </row>
    <row r="21" spans="2:18" x14ac:dyDescent="0.2">
      <c r="B21" s="38"/>
      <c r="C21" s="1" t="s">
        <v>114</v>
      </c>
    </row>
    <row r="22" spans="2:18" x14ac:dyDescent="0.2">
      <c r="B22" s="46"/>
      <c r="C22" s="1" t="s">
        <v>115</v>
      </c>
    </row>
  </sheetData>
  <pageMargins left="0.75" right="0.75" top="1" bottom="1" header="0.5" footer="0.5"/>
  <pageSetup orientation="portrait" horizontalDpi="4294967292" r:id="rId1"/>
  <headerFooter alignWithMargins="0"/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R24"/>
  <sheetViews>
    <sheetView tabSelected="1" topLeftCell="A3" zoomScale="89" zoomScaleNormal="100" workbookViewId="0">
      <selection activeCell="K15" sqref="K15"/>
    </sheetView>
  </sheetViews>
  <sheetFormatPr defaultColWidth="8.85546875" defaultRowHeight="12.75" x14ac:dyDescent="0.2"/>
  <cols>
    <col min="1" max="1" width="3" style="27" customWidth="1"/>
    <col min="2" max="2" width="14" style="27" bestFit="1" customWidth="1"/>
    <col min="3" max="3" width="12.7109375" style="27" customWidth="1"/>
    <col min="4" max="4" width="11.28515625" style="27" customWidth="1"/>
    <col min="5" max="5" width="12.5703125" style="27" customWidth="1"/>
    <col min="6" max="6" width="13.85546875" style="27" customWidth="1"/>
    <col min="7" max="7" width="13.140625" style="27" bestFit="1" customWidth="1"/>
    <col min="8" max="8" width="7.85546875" style="27" bestFit="1" customWidth="1"/>
    <col min="9" max="9" width="2" style="27" bestFit="1" customWidth="1"/>
    <col min="10" max="10" width="11.85546875" customWidth="1"/>
    <col min="11" max="11" width="7.5703125" customWidth="1"/>
    <col min="12" max="12" width="13.5703125" bestFit="1" customWidth="1"/>
    <col min="13" max="13" width="20.85546875" bestFit="1" customWidth="1"/>
    <col min="14" max="14" width="6.140625" customWidth="1"/>
    <col min="15" max="15" width="10.85546875" customWidth="1"/>
    <col min="16" max="16" width="13.5703125" customWidth="1"/>
    <col min="17" max="17" width="13.7109375" customWidth="1"/>
    <col min="18" max="18" width="7.5703125" bestFit="1" customWidth="1"/>
    <col min="19" max="16384" width="8.85546875" style="27"/>
  </cols>
  <sheetData>
    <row r="1" spans="2:18" ht="15" x14ac:dyDescent="0.25">
      <c r="B1" s="24" t="s">
        <v>66</v>
      </c>
      <c r="C1" s="6" t="s">
        <v>68</v>
      </c>
      <c r="D1" s="6" t="s">
        <v>88</v>
      </c>
      <c r="E1" s="24" t="s">
        <v>23</v>
      </c>
      <c r="F1" s="24" t="s">
        <v>91</v>
      </c>
      <c r="G1" s="24" t="s">
        <v>71</v>
      </c>
      <c r="H1" s="24" t="s">
        <v>83</v>
      </c>
    </row>
    <row r="2" spans="2:18" ht="15.75" x14ac:dyDescent="0.25">
      <c r="B2" s="9" t="s">
        <v>64</v>
      </c>
      <c r="C2" s="9" t="s">
        <v>105</v>
      </c>
      <c r="D2" s="16" t="s">
        <v>105</v>
      </c>
      <c r="E2" s="9" t="str">
        <f>'EB1'!Z2</f>
        <v>PJ</v>
      </c>
      <c r="F2" s="9" t="s">
        <v>106</v>
      </c>
      <c r="G2" s="9" t="str">
        <f>'EB1'!Y2</f>
        <v>M€2025</v>
      </c>
      <c r="H2" s="9" t="s">
        <v>84</v>
      </c>
      <c r="J2" s="86" t="s">
        <v>14</v>
      </c>
      <c r="K2" s="86"/>
      <c r="L2" s="87"/>
      <c r="M2" s="87"/>
      <c r="N2" s="87"/>
      <c r="O2" s="87"/>
      <c r="P2" s="87"/>
      <c r="Q2" s="87"/>
      <c r="R2" s="87"/>
    </row>
    <row r="3" spans="2:18" x14ac:dyDescent="0.2">
      <c r="J3" s="88" t="s">
        <v>7</v>
      </c>
      <c r="K3" s="89" t="s">
        <v>30</v>
      </c>
      <c r="L3" s="88" t="s">
        <v>0</v>
      </c>
      <c r="M3" s="88" t="s">
        <v>3</v>
      </c>
      <c r="N3" s="88" t="s">
        <v>4</v>
      </c>
      <c r="O3" s="88" t="s">
        <v>8</v>
      </c>
      <c r="P3" s="88" t="s">
        <v>9</v>
      </c>
      <c r="Q3" s="88" t="s">
        <v>10</v>
      </c>
      <c r="R3" s="88" t="s">
        <v>12</v>
      </c>
    </row>
    <row r="4" spans="2:18" ht="24" thickBot="1" x14ac:dyDescent="0.3">
      <c r="B4" s="31"/>
      <c r="C4" s="32"/>
      <c r="D4" s="32"/>
      <c r="E4" s="32"/>
      <c r="H4" s="82"/>
      <c r="J4" s="90" t="s">
        <v>37</v>
      </c>
      <c r="K4" s="90" t="s">
        <v>31</v>
      </c>
      <c r="L4" s="90" t="s">
        <v>26</v>
      </c>
      <c r="M4" s="90" t="s">
        <v>27</v>
      </c>
      <c r="N4" s="90" t="s">
        <v>4</v>
      </c>
      <c r="O4" s="90" t="s">
        <v>40</v>
      </c>
      <c r="P4" s="90" t="s">
        <v>41</v>
      </c>
      <c r="Q4" s="90" t="s">
        <v>28</v>
      </c>
      <c r="R4" s="90" t="s">
        <v>29</v>
      </c>
    </row>
    <row r="5" spans="2:18" ht="15.75" x14ac:dyDescent="0.25">
      <c r="B5" s="30"/>
      <c r="C5" s="7"/>
      <c r="D5" s="7"/>
      <c r="E5" s="7"/>
      <c r="H5" s="7"/>
    </row>
    <row r="7" spans="2:18" x14ac:dyDescent="0.2">
      <c r="J7" s="2"/>
      <c r="K7" s="2"/>
    </row>
    <row r="8" spans="2:18" ht="15" x14ac:dyDescent="0.25">
      <c r="D8" s="4" t="s">
        <v>13</v>
      </c>
      <c r="E8" s="4"/>
      <c r="F8" s="4"/>
      <c r="G8" s="81"/>
      <c r="H8" s="81"/>
      <c r="J8" s="86" t="s">
        <v>15</v>
      </c>
      <c r="K8" s="86"/>
      <c r="L8" s="87"/>
      <c r="M8" s="87"/>
      <c r="N8" s="87"/>
      <c r="O8" s="87"/>
      <c r="P8" s="87"/>
      <c r="Q8" s="87"/>
      <c r="R8" s="87"/>
    </row>
    <row r="9" spans="2:18" ht="25.15" customHeight="1" x14ac:dyDescent="0.2">
      <c r="B9" s="14" t="s">
        <v>1</v>
      </c>
      <c r="C9" s="14" t="s">
        <v>5</v>
      </c>
      <c r="D9" s="14" t="s">
        <v>6</v>
      </c>
      <c r="E9" s="52" t="s">
        <v>109</v>
      </c>
      <c r="F9" s="52" t="s">
        <v>74</v>
      </c>
      <c r="G9" s="52" t="s">
        <v>72</v>
      </c>
      <c r="H9" s="83"/>
      <c r="I9" s="28"/>
      <c r="J9" s="88" t="s">
        <v>11</v>
      </c>
      <c r="K9" s="89" t="s">
        <v>30</v>
      </c>
      <c r="L9" s="88" t="s">
        <v>1</v>
      </c>
      <c r="M9" s="88" t="s">
        <v>2</v>
      </c>
      <c r="N9" s="88" t="s">
        <v>16</v>
      </c>
      <c r="O9" s="88" t="s">
        <v>17</v>
      </c>
      <c r="P9" s="88" t="s">
        <v>18</v>
      </c>
      <c r="Q9" s="88" t="s">
        <v>19</v>
      </c>
      <c r="R9" s="88" t="s">
        <v>20</v>
      </c>
    </row>
    <row r="10" spans="2:18" ht="23.25" thickBot="1" x14ac:dyDescent="0.25">
      <c r="B10" s="13" t="s">
        <v>39</v>
      </c>
      <c r="C10" s="13" t="s">
        <v>32</v>
      </c>
      <c r="D10" s="13" t="s">
        <v>33</v>
      </c>
      <c r="E10" s="13" t="s">
        <v>108</v>
      </c>
      <c r="F10" s="13" t="s">
        <v>76</v>
      </c>
      <c r="G10" s="13" t="s">
        <v>107</v>
      </c>
      <c r="H10" s="84"/>
      <c r="J10" s="90" t="s">
        <v>38</v>
      </c>
      <c r="K10" s="90" t="s">
        <v>31</v>
      </c>
      <c r="L10" s="90" t="s">
        <v>21</v>
      </c>
      <c r="M10" s="90" t="s">
        <v>22</v>
      </c>
      <c r="N10" s="90" t="s">
        <v>23</v>
      </c>
      <c r="O10" s="90" t="s">
        <v>24</v>
      </c>
      <c r="P10" s="90" t="s">
        <v>43</v>
      </c>
      <c r="Q10" s="90" t="s">
        <v>42</v>
      </c>
      <c r="R10" s="90" t="s">
        <v>25</v>
      </c>
    </row>
    <row r="11" spans="2:18" ht="13.5" thickBot="1" x14ac:dyDescent="0.25">
      <c r="B11" s="12" t="s">
        <v>77</v>
      </c>
      <c r="C11" s="12"/>
      <c r="D11" s="12"/>
      <c r="E11" s="11" t="str">
        <f>$F$2</f>
        <v>Pja</v>
      </c>
      <c r="F11" s="11"/>
      <c r="G11" s="11"/>
      <c r="H11" s="85"/>
      <c r="J11" s="90" t="s">
        <v>73</v>
      </c>
      <c r="K11" s="90"/>
      <c r="L11" s="90"/>
      <c r="M11" s="90"/>
      <c r="N11" s="90"/>
      <c r="O11" s="90"/>
      <c r="P11" s="90"/>
      <c r="Q11" s="90"/>
      <c r="R11" s="90"/>
    </row>
    <row r="12" spans="2:18" x14ac:dyDescent="0.2">
      <c r="B12" s="27" t="str">
        <f>L12</f>
        <v>REFEOIL00</v>
      </c>
      <c r="C12" s="27" t="str">
        <f>'EB1'!F2</f>
        <v>OIL</v>
      </c>
      <c r="D12" s="27" t="str">
        <f>'EB1'!G2</f>
        <v>DSL</v>
      </c>
      <c r="E12" s="80">
        <f>'EB1'!G$13/SUM('EB1'!$G$13:$M$13)</f>
        <v>0.36389900563393895</v>
      </c>
      <c r="F12" s="47">
        <f>-SUM('EB1'!F13)/SUM('EB1'!G13:M13)</f>
        <v>1.0128203720739584</v>
      </c>
      <c r="G12" s="45"/>
      <c r="H12" s="5"/>
      <c r="J12" s="87" t="s">
        <v>87</v>
      </c>
      <c r="K12" s="91"/>
      <c r="L12" s="91" t="str">
        <f>$B$2&amp;$H$2&amp;'EB1'!F2&amp;"00"</f>
        <v>REFEOIL00</v>
      </c>
      <c r="M12" s="93" t="str">
        <f>$D$2&amp;" "&amp;$H$1&amp;RIGHT(L12,2)</f>
        <v>Refinery Existing00</v>
      </c>
      <c r="N12" s="91" t="str">
        <f>$E$2</f>
        <v>PJ</v>
      </c>
      <c r="O12" s="91" t="str">
        <f>$F$2</f>
        <v>Pja</v>
      </c>
      <c r="P12" s="87"/>
      <c r="Q12" s="87" t="s">
        <v>110</v>
      </c>
      <c r="R12" s="91"/>
    </row>
    <row r="13" spans="2:18" x14ac:dyDescent="0.2">
      <c r="D13" s="27" t="str">
        <f>'EB1'!H2</f>
        <v>KER</v>
      </c>
      <c r="E13" s="80">
        <f>'EB1'!H$13/SUM('EB1'!$G$13:$M$13)</f>
        <v>6.1878800454626431E-2</v>
      </c>
      <c r="F13" s="29"/>
      <c r="M13" s="17"/>
    </row>
    <row r="14" spans="2:18" x14ac:dyDescent="0.2">
      <c r="D14" s="27" t="str">
        <f>'EB1'!I2</f>
        <v>LPG</v>
      </c>
      <c r="E14" s="80">
        <f>'EB1'!I$13/SUM('EB1'!$G$13:$M$13)</f>
        <v>6.9335444898246806E-2</v>
      </c>
      <c r="F14" s="29"/>
      <c r="M14" s="17"/>
    </row>
    <row r="15" spans="2:18" x14ac:dyDescent="0.2">
      <c r="D15" s="27" t="str">
        <f>'EB1'!J2</f>
        <v>GSL</v>
      </c>
      <c r="E15" s="80">
        <f>'EB1'!J$13/SUM('EB1'!$G$13:$M$13)</f>
        <v>0.21413371957984778</v>
      </c>
      <c r="F15" s="29"/>
      <c r="M15" s="17"/>
    </row>
    <row r="16" spans="2:18" x14ac:dyDescent="0.2">
      <c r="D16" s="27" t="str">
        <f>'EB1'!K2</f>
        <v>NAP</v>
      </c>
      <c r="E16" s="80">
        <f>'EB1'!K$13/SUM('EB1'!$G$13:$M$13)</f>
        <v>6.1930500264594526E-2</v>
      </c>
      <c r="F16" s="29"/>
      <c r="M16" s="17"/>
      <c r="P16" s="1"/>
    </row>
    <row r="17" spans="2:16" x14ac:dyDescent="0.2">
      <c r="D17" s="27" t="str">
        <f>'EB1'!L2</f>
        <v>HFO</v>
      </c>
      <c r="E17" s="80">
        <f>'EB1'!L$13/SUM('EB1'!$G$13:$M$13)</f>
        <v>0.1458510359971735</v>
      </c>
      <c r="F17" s="29"/>
      <c r="P17" s="1"/>
    </row>
    <row r="18" spans="2:16" x14ac:dyDescent="0.2">
      <c r="D18" s="27" t="str">
        <f>'EB1'!M2</f>
        <v>OPP</v>
      </c>
      <c r="E18" s="80">
        <f>'EB1'!M$13/SUM('EB1'!$G$13:$M$13)</f>
        <v>8.2971493171572083E-2</v>
      </c>
      <c r="F18" s="29"/>
      <c r="G18" s="33"/>
      <c r="H18" s="33"/>
    </row>
    <row r="19" spans="2:16" x14ac:dyDescent="0.2">
      <c r="E19" s="33"/>
    </row>
    <row r="20" spans="2:16" x14ac:dyDescent="0.2">
      <c r="E20" s="34"/>
    </row>
    <row r="23" spans="2:16" x14ac:dyDescent="0.2">
      <c r="B23" s="38"/>
      <c r="C23" s="1" t="s">
        <v>114</v>
      </c>
    </row>
    <row r="24" spans="2:16" x14ac:dyDescent="0.2">
      <c r="B24" s="46"/>
      <c r="C24" s="1" t="s">
        <v>115</v>
      </c>
    </row>
  </sheetData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EB1</vt:lpstr>
      <vt:lpstr>JRC-IDEES2023</vt:lpstr>
      <vt:lpstr>Pri_COA</vt:lpstr>
      <vt:lpstr>Pri_SHL</vt:lpstr>
      <vt:lpstr>Pri_GAS</vt:lpstr>
      <vt:lpstr>Pri_OIL</vt:lpstr>
      <vt:lpstr>Pri_NUC</vt:lpstr>
      <vt:lpstr>Pri_RNW</vt:lpstr>
      <vt:lpstr>Pri_WST</vt:lpstr>
      <vt:lpstr>Pri_PP</vt:lpstr>
      <vt:lpstr>Pri_ELC</vt:lpstr>
      <vt:lpstr>Con_REF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Kristopher Raik</cp:lastModifiedBy>
  <cp:lastPrinted>2004-11-16T14:57:57Z</cp:lastPrinted>
  <dcterms:created xsi:type="dcterms:W3CDTF">2000-12-13T15:53:11Z</dcterms:created>
  <dcterms:modified xsi:type="dcterms:W3CDTF">2026-10-23T08:56:00Z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129630684852600</vt:r8>
  </property>
</Properties>
</file>