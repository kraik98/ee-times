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262F1C52-D28D-482A-8B73-BC520FCE2075}" xr6:coauthVersionLast="47" xr6:coauthVersionMax="47" xr10:uidLastSave="{00000000-0000-0000-0000-000000000000}"/>
  <bookViews>
    <workbookView xWindow="-110" yWindow="-110" windowWidth="19420" windowHeight="11500" tabRatio="901" firstSheet="1" activeTab="10" xr2:uid="{00000000-000D-0000-FFFF-FFFF00000000}"/>
  </bookViews>
  <sheets>
    <sheet name="EB1" sheetId="133" r:id="rId1"/>
    <sheet name="JRC-IDEES2023" sheetId="156" r:id="rId2"/>
    <sheet name="Pri_COA" sheetId="132" r:id="rId3"/>
    <sheet name="Pri_SHL" sheetId="155" r:id="rId4"/>
    <sheet name="Pri_GAS" sheetId="136" r:id="rId5"/>
    <sheet name="Pri_OIL" sheetId="137" r:id="rId6"/>
    <sheet name="Pri_NUC" sheetId="144" r:id="rId7"/>
    <sheet name="Pri_RNW" sheetId="142" r:id="rId8"/>
    <sheet name="Pri_WST" sheetId="154" r:id="rId9"/>
    <sheet name="Pri_PP" sheetId="148" r:id="rId10"/>
    <sheet name="Pri_ELC" sheetId="152" r:id="rId11"/>
    <sheet name="Con_REF" sheetId="147" r:id="rId12"/>
    <sheet name="TOTCO2" sheetId="153" r:id="rId13"/>
  </sheets>
  <externalReferences>
    <externalReference r:id="rId1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55" l="1"/>
  <c r="H11" i="136" l="1"/>
  <c r="I11" i="136"/>
  <c r="J11" i="136"/>
  <c r="G11" i="136"/>
  <c r="F14" i="152"/>
  <c r="C18" i="152"/>
  <c r="C17" i="152"/>
  <c r="D16" i="152"/>
  <c r="B17" i="152"/>
  <c r="B18" i="152"/>
  <c r="B16" i="152"/>
  <c r="N16" i="152"/>
  <c r="N17" i="152"/>
  <c r="N18" i="152"/>
  <c r="F11" i="155"/>
  <c r="Z10" i="155"/>
  <c r="W7" i="155"/>
  <c r="G11" i="155"/>
  <c r="X10" i="155"/>
  <c r="C2" i="142"/>
  <c r="J29" i="148"/>
  <c r="I11" i="155" l="1"/>
  <c r="K11" i="155" s="1"/>
  <c r="G10" i="155"/>
  <c r="F10" i="155"/>
  <c r="E10" i="155"/>
  <c r="M5" i="155"/>
  <c r="L5" i="155"/>
  <c r="K5" i="155"/>
  <c r="F2" i="155"/>
  <c r="E2" i="155"/>
  <c r="J5" i="154"/>
  <c r="D14" i="154" s="1"/>
  <c r="F2" i="154"/>
  <c r="E2" i="154"/>
  <c r="K5" i="154"/>
  <c r="H14" i="154"/>
  <c r="F12" i="153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F8" i="133"/>
  <c r="G8" i="133"/>
  <c r="J8" i="133"/>
  <c r="N8" i="133"/>
  <c r="M8" i="133"/>
  <c r="O8" i="133"/>
  <c r="U8" i="133"/>
  <c r="H8" i="133"/>
  <c r="I8" i="133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D2" i="152"/>
  <c r="C2" i="152"/>
  <c r="D15" i="152" s="1"/>
  <c r="J17" i="152"/>
  <c r="J15" i="152"/>
  <c r="F2" i="152"/>
  <c r="E23" i="148"/>
  <c r="E30" i="148" s="1"/>
  <c r="E22" i="148"/>
  <c r="E29" i="148" s="1"/>
  <c r="E21" i="148"/>
  <c r="E28" i="148" s="1"/>
  <c r="E20" i="148"/>
  <c r="E27" i="148" s="1"/>
  <c r="E19" i="148"/>
  <c r="E26" i="148" s="1"/>
  <c r="E18" i="148"/>
  <c r="E25" i="148" s="1"/>
  <c r="E17" i="148"/>
  <c r="E24" i="148" s="1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J5" i="142"/>
  <c r="D14" i="142" s="1"/>
  <c r="E2" i="137"/>
  <c r="F2" i="137"/>
  <c r="E2" i="136"/>
  <c r="F2" i="136"/>
  <c r="E2" i="132"/>
  <c r="E10" i="132" s="1"/>
  <c r="F2" i="132"/>
  <c r="F10" i="132" s="1"/>
  <c r="D2" i="137"/>
  <c r="C2" i="137"/>
  <c r="I12" i="137"/>
  <c r="K12" i="137" s="1"/>
  <c r="I11" i="137"/>
  <c r="D2" i="136"/>
  <c r="C2" i="136"/>
  <c r="L12" i="136"/>
  <c r="L11" i="136"/>
  <c r="N11" i="136" s="1"/>
  <c r="B11" i="136" s="1"/>
  <c r="I12" i="132"/>
  <c r="I11" i="132"/>
  <c r="D2" i="132"/>
  <c r="C2" i="132"/>
  <c r="K5" i="144"/>
  <c r="J7" i="148"/>
  <c r="C30" i="148"/>
  <c r="D23" i="148"/>
  <c r="F12" i="147"/>
  <c r="I10" i="136" l="1"/>
  <c r="J10" i="136"/>
  <c r="H10" i="136"/>
  <c r="F10" i="136"/>
  <c r="P12" i="136"/>
  <c r="B15" i="152"/>
  <c r="M5" i="132"/>
  <c r="M5" i="137"/>
  <c r="K11" i="137"/>
  <c r="L5" i="137"/>
  <c r="K5" i="137"/>
  <c r="C12" i="137" s="1"/>
  <c r="F10" i="137"/>
  <c r="K5" i="132"/>
  <c r="L5" i="132"/>
  <c r="K12" i="132"/>
  <c r="B12" i="132" s="1"/>
  <c r="G10" i="132"/>
  <c r="N12" i="132"/>
  <c r="D11" i="155"/>
  <c r="M11" i="155"/>
  <c r="L11" i="155"/>
  <c r="N11" i="155"/>
  <c r="E13" i="154"/>
  <c r="F13" i="154"/>
  <c r="L5" i="154"/>
  <c r="J14" i="154"/>
  <c r="B14" i="154" s="1"/>
  <c r="L14" i="154"/>
  <c r="M14" i="154"/>
  <c r="E14" i="152"/>
  <c r="J11" i="144"/>
  <c r="J16" i="142"/>
  <c r="K11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1" i="137"/>
  <c r="M12" i="137"/>
  <c r="E10" i="137"/>
  <c r="G10" i="137"/>
  <c r="N12" i="137"/>
  <c r="P11" i="136"/>
  <c r="Q11" i="136"/>
  <c r="E10" i="136"/>
  <c r="N11" i="132"/>
  <c r="M11" i="132"/>
  <c r="M12" i="132"/>
  <c r="O5" i="136"/>
  <c r="O11" i="136"/>
  <c r="N12" i="136"/>
  <c r="O12" i="136" s="1"/>
  <c r="N5" i="136"/>
  <c r="L12" i="137"/>
  <c r="B12" i="137"/>
  <c r="B11" i="137"/>
  <c r="L11" i="137"/>
  <c r="L5" i="144"/>
  <c r="L11" i="144"/>
  <c r="V6" i="133"/>
  <c r="K7" i="148"/>
  <c r="J21" i="148"/>
  <c r="J20" i="148"/>
  <c r="B20" i="148" s="1"/>
  <c r="J23" i="148"/>
  <c r="J18" i="148"/>
  <c r="V5" i="133"/>
  <c r="V12" i="133"/>
  <c r="H14" i="133"/>
  <c r="V10" i="133"/>
  <c r="J22" i="148"/>
  <c r="L10" i="148"/>
  <c r="M11" i="144"/>
  <c r="D8" i="133"/>
  <c r="E12" i="147"/>
  <c r="E14" i="133"/>
  <c r="J30" i="148"/>
  <c r="J24" i="148"/>
  <c r="J28" i="148"/>
  <c r="B28" i="148" s="1"/>
  <c r="J26" i="148"/>
  <c r="B26" i="148" s="1"/>
  <c r="D14" i="133"/>
  <c r="B11" i="144"/>
  <c r="K11" i="144"/>
  <c r="F10" i="144"/>
  <c r="M15" i="142"/>
  <c r="M16" i="142"/>
  <c r="L14" i="142"/>
  <c r="M17" i="142"/>
  <c r="L5" i="142"/>
  <c r="L7" i="142"/>
  <c r="V7" i="133"/>
  <c r="S8" i="133"/>
  <c r="E16" i="147"/>
  <c r="J27" i="148"/>
  <c r="E10" i="144"/>
  <c r="D11" i="132"/>
  <c r="E14" i="147"/>
  <c r="J25" i="148"/>
  <c r="L17" i="148"/>
  <c r="L22" i="148"/>
  <c r="L29" i="148"/>
  <c r="D20" i="148"/>
  <c r="G10" i="136"/>
  <c r="P5" i="136"/>
  <c r="Q12" i="136"/>
  <c r="D19" i="148"/>
  <c r="C26" i="148"/>
  <c r="E17" i="147"/>
  <c r="T14" i="133"/>
  <c r="V13" i="133"/>
  <c r="N15" i="152"/>
  <c r="C12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O14" i="133"/>
  <c r="J17" i="142"/>
  <c r="J14" i="142"/>
  <c r="B14" i="142" s="1"/>
  <c r="M11" i="137"/>
  <c r="B12" i="136" l="1"/>
  <c r="L12" i="132"/>
  <c r="D11" i="137"/>
  <c r="K14" i="154"/>
  <c r="K16" i="142"/>
  <c r="B16" i="142"/>
  <c r="B11" i="132"/>
  <c r="L11" i="132"/>
  <c r="C12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K19" i="148"/>
  <c r="B22" i="148"/>
  <c r="K22" i="148"/>
  <c r="K20" i="148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tc={74C5EBC3-3855-49CC-8D22-3D22C507954E}</author>
    <author>tc={E7A732B9-0C2E-4BF2-B78D-5BF686EADA9E}</author>
  </authors>
  <commentList>
    <comment ref="I3" authorId="0" shapeId="0" xr:uid="{6E5AAF16-2CE6-41AB-BA3C-4DE6B7722EEA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3A89BF14-1AA1-45F3-BDED-6249010FDD5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FB886340-144D-4C62-AB3A-A15CA5C2864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D39CE53F-7A91-4F31-9D34-05ABE23C82BF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B6DE0534-753E-485E-8BC1-FB6BC7641C5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53F91157-6257-4036-B35B-0530B4653DD8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E7A3C6B2-E544-4993-AB49-8754FD5D82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28F6B2CE-1748-43B2-98AD-66D26544C24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1AA2C278-4E33-4FBC-BC14-66D91A52203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6A10A7F1-00D2-44A3-AEB9-DA14FEC7916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W10" authorId="3" shapeId="0" xr:uid="{74C5EBC3-3855-49CC-8D22-3D22C507954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https://news.err.ee/1609986120/vkg-overtakes-enefit-as-estonia-s-largest-oil-shale-miner</t>
      </text>
    </comment>
    <comment ref="Y10" authorId="4" shapeId="0" xr:uid="{E7A732B9-0C2E-4BF2-B78D-5BF686EA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R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AADBEAA3-E6F3-4CE1-A28A-C747BEAA41D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543E3D84-6848-4D3C-AC9F-778F016F4AB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1BFEB9BB-9630-456D-8725-2A5291EAA82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31074542-4650-4DCB-968B-77619C6710C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9F8BD71F-F03C-485E-99B3-41729F11766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9156DFA1-D013-4015-B25A-E36BCBA3942C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AE1DA64A-C2C2-4C73-87C0-5BD15FFAB31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CC86524A-BD05-4FBD-8506-A9A4EADDF17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3A8578E9-A952-49CC-87CD-8F9BE095862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27936213-2969-42DE-A942-8E3DACA28AF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P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<sst xmlns="http://schemas.openxmlformats.org/spreadsheetml/2006/main" count="754" uniqueCount="182">
  <si>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</si>
  <si>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</si>
  <si>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</si>
  <si>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</si>
  <si>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</si>
  <si>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</si>
  <si>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</si>
  <si>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</si>
  <si>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</si>
  <si>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</si>
  <si>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</si>
  <si>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</si>
  <si>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</si>
  <si>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</si>
  <si>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</si>
  <si>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</si>
  <si>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</si>
  <si>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</si>
  <si>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</si>
  <si>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</si>
  <si>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</si>
  <si>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</si>
  <si>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</si>
  <si>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</si>
  <si>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</si>
  <si>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</si>
  <si>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</si>
  <si>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</si>
  <si>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</si>
  <si>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</si>
  <si>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</si>
  <si>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</si>
  <si>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</si>
  <si>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</si>
  <si>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</si>
  <si>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</si>
  <si>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</si>
  <si>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</si>
  <si>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</si>
  <si>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</si>
  <si>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</si>
  <si>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</si>
  <si>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</si>
  <si>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</si>
  <si>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</si>
  <si>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</si>
  <si>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</si>
  <si>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</si>
  <si>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</si>
  <si>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</si>
  <si>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</si>
  <si>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</si>
  <si>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</si>
  <si>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</si>
  <si>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</si>
  <si>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</si>
  <si>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</si>
  <si>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</si>
  <si>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</si>
  <si>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</si>
  <si>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</si>
  <si>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</si>
  <si>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</si>
  <si>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</si>
  <si>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</si>
  <si>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</si>
  <si>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</si>
  <si>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</si>
  <si>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</si>
  <si>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</si>
  <si>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</si>
  <si>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</si>
  <si>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</si>
  <si>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</si>
  <si>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</si>
  <si>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</si>
  <si>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</si>
  <si>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</si>
  <si>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</si>
  <si>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</si>
  <si>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</si>
  <si>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</si>
  <si>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</si>
  <si>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</si>
  <si>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</si>
  <si>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</si>
  <si>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</si>
  <si>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</si>
  <si>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</si>
  <si>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</si>
  <si>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</si>
  <si>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</si>
  <si>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</si>
  <si>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</si>
  <si>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</si>
  <si>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</si>
  <si>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</si>
  <si>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</si>
  <si>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</si>
  <si>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</si>
  <si>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</si>
  <si>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</si>
  <si>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</si>
  <si>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</si>
  <si>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</si>
  <si>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</si>
  <si>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</si>
  <si>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</si>
  <si>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</si>
  <si>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</si>
  <si>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</si>
  <si>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</si>
  <si>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</si>
  <si>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</si>
  <si>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</si>
  <si>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</si>
  <si>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</si>
  <si>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</si>
  <si>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</si>
  <si>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</si>
  <si>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</si>
  <si>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</si>
  <si>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</si>
  <si>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</si>
  <si>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</si>
  <si>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</si>
  <si>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</si>
  <si>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</si>
  <si>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</si>
  <si>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</si>
  <si>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</si>
  <si>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</si>
  <si>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</si>
  <si>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</si>
  <si>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</si>
  <si>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</si>
  <si>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</si>
  <si>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</si>
  <si>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</si>
  <si>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</si>
  <si>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</si>
  <si>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</si>
  <si>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</si>
  <si>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</si>
  <si>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</si>
  <si>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</si>
  <si>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M€2025</t>
  </si>
  <si>
    <t>MSW</t>
  </si>
  <si>
    <t>Municipal waste</t>
  </si>
  <si>
    <t>SHL</t>
  </si>
  <si>
    <t>Oil shale</t>
  </si>
  <si>
    <t>ktoe2PJ</t>
  </si>
  <si>
    <t>total mined (t)</t>
  </si>
  <si>
    <t>Energy density of oil shale (MJ/kg)</t>
  </si>
  <si>
    <t>Production (PJ)</t>
  </si>
  <si>
    <t>Cost (€/t)</t>
  </si>
  <si>
    <t>Energy density of oil shale (tons/PJ)</t>
  </si>
  <si>
    <t>Cost (M€/PJ)</t>
  </si>
  <si>
    <t>TWh</t>
  </si>
  <si>
    <t>Cap2ACT</t>
  </si>
  <si>
    <t>Import of Electricity from Finland</t>
  </si>
  <si>
    <t>IMPELCFIN</t>
  </si>
  <si>
    <t>IMPELCLV</t>
  </si>
  <si>
    <t>Import of Electricity from Latvia</t>
  </si>
  <si>
    <t>EXPELCFIN</t>
  </si>
  <si>
    <t>Export of Electricity to Finland</t>
  </si>
  <si>
    <t>EXPELCLV</t>
  </si>
  <si>
    <t>Export of Electricity to Latvia</t>
  </si>
  <si>
    <t>GW</t>
  </si>
  <si>
    <t>NCAP_PASTI</t>
  </si>
  <si>
    <t>FLO_COST</t>
  </si>
  <si>
    <t>NCAP_AF</t>
  </si>
  <si>
    <t>ACT_BND~2020</t>
  </si>
  <si>
    <t>ACT_BND~2021</t>
  </si>
  <si>
    <t>ACT_BND~2022</t>
  </si>
  <si>
    <t>ACT_BND~2023</t>
  </si>
  <si>
    <t>ktoe</t>
  </si>
  <si>
    <t>supply</t>
  </si>
  <si>
    <t>import</t>
  </si>
  <si>
    <t>export</t>
  </si>
  <si>
    <t>Natural gas</t>
  </si>
  <si>
    <t>mwh2PJ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</si>
</sst>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\Te\x\t"/>
    <numFmt numFmtId="166" formatCode="0.000"/>
  </numFmts>
  <fonts count="27" x14ac:knownFonts="1">
    <font>
      <sz val="10"/>
      <name val="Arial"/>
    </font>
    <font>
      <sz val="10"/>
      <name val="Arial"/>
      <family val="2"/>
      <charset val="186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8"/>
      <color rgb="FF050505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0F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  <xf numFmtId="0" fontId="3" fillId="2" borderId="0" xfId="0" applyFont="1" applyFill="1" applyAlignment="1">
      <alignment horizontal="center" wrapText="1"/>
    </xf>
    <xf numFmtId="2" fontId="4" fillId="14" borderId="0" xfId="0" applyNumberFormat="1" applyFont="1" applyFill="1"/>
    <xf numFmtId="166" fontId="4" fillId="14" borderId="0" xfId="0" applyNumberFormat="1" applyFont="1" applyFill="1"/>
    <xf numFmtId="166" fontId="0" fillId="0" borderId="0" xfId="0" applyNumberFormat="1"/>
    <xf numFmtId="0" fontId="26" fillId="16" borderId="3" xfId="0" applyFont="1" applyFill="1" applyBorder="1"/>
    <xf numFmtId="0" fontId="0" fillId="0" borderId="0" xfId="0" applyAlignment="1">
      <alignment horizontal="center" vertical="center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11</xdr:col>
      <xdr:colOff>2299252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0F0532-0875-44AF-A081-0F9888D50A76}"/>
            </a:ext>
          </a:extLst>
        </xdr:cNvPr>
        <xdr:cNvSpPr txBox="1"/>
      </xdr:nvSpPr>
      <xdr:spPr>
        <a:xfrm>
          <a:off x="5156200" y="3663950"/>
          <a:ext cx="4455077" cy="10668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oil shale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16</xdr:row>
      <xdr:rowOff>0</xdr:rowOff>
    </xdr:from>
    <xdr:to>
      <xdr:col>14</xdr:col>
      <xdr:colOff>2325972</xdr:colOff>
      <xdr:row>21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12</xdr:col>
      <xdr:colOff>0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63500</xdr:colOff>
      <xdr:row>21</xdr:row>
      <xdr:rowOff>107950</xdr:rowOff>
    </xdr:from>
    <xdr:to>
      <xdr:col>11</xdr:col>
      <xdr:colOff>44390</xdr:colOff>
      <xdr:row>27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475E6C-232A-4B50-99D7-7A2CB8BAA361}"/>
            </a:ext>
          </a:extLst>
        </xdr:cNvPr>
        <xdr:cNvSpPr txBox="1"/>
      </xdr:nvSpPr>
      <xdr:spPr>
        <a:xfrm>
          <a:off x="4438650" y="4260850"/>
          <a:ext cx="4787840" cy="1060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wastes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809625</xdr:colOff>
      <xdr:row>41</xdr:row>
      <xdr:rowOff>66675</xdr:rowOff>
    </xdr:from>
    <xdr:to>
      <xdr:col>12</xdr:col>
      <xdr:colOff>2247932</xdr:colOff>
      <xdr:row>47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6838950" y="7362825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16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618EE9E7-879B-4C97-88A2-981A8E483D41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0" dT="2026-09-21T06:53:58.90" personId="{618EE9E7-879B-4C97-88A2-981A8E483D41}" id="{74C5EBC3-3855-49CC-8D22-3D22C507954E}">
    <text>https://news.err.ee/1609986120/vkg-overtakes-enefit-as-estonia-s-largest-oil-shale-miner</text>
    <extLst>
      <x:ext xmlns:xltc2="http://schemas.microsoft.com/office/spreadsheetml/2020/threadedcomments2" uri="{F7C98A9C-CBB3-438F-8F68-D28B6AF4A901}">
        <xltc2:checksum>4246205987</xltc2:checksum>
        <xltc2:hyperlink startIndex="0" length="88" url="https://news.err.ee/1609986120/vkg-overtakes-enefit-as-estonia-s-largest-oil-shale-miner"/>
      </x:ext>
    </extLst>
  </threadedComment>
  <threadedComment ref="Y10" dT="2026-09-21T06:56:12.74" personId="{618EE9E7-879B-4C97-88A2-981A8E483D41}" id="{E7A732B9-0C2E-4BF2-B78D-5BF686EADA9E}">
    <text>Approx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zoomScale="80" zoomScaleNormal="80" workbookViewId="0">
      <selection activeCell="Y2" sqref="Y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118</v>
      </c>
      <c r="P2" s="59" t="s">
        <v>119</v>
      </c>
      <c r="Q2" s="59" t="s">
        <v>120</v>
      </c>
      <c r="R2" s="59" t="s">
        <v>121</v>
      </c>
      <c r="S2" s="59" t="s">
        <v>48</v>
      </c>
      <c r="T2" s="59" t="s">
        <v>49</v>
      </c>
      <c r="U2" s="59" t="s">
        <v>50</v>
      </c>
      <c r="V2" s="26"/>
      <c r="Y2" s="35" t="s">
        <v>146</v>
      </c>
      <c r="Z2" s="9" t="s">
        <v>69</v>
      </c>
      <c r="AA2" s="9" t="s">
        <v>86</v>
      </c>
    </row>
    <row r="3" spans="2:27" ht="25.5" x14ac:dyDescent="0.2">
      <c r="C3" s="71" t="s">
        <v>126</v>
      </c>
      <c r="D3" s="68" t="s">
        <v>51</v>
      </c>
      <c r="E3" s="69" t="s">
        <v>52</v>
      </c>
      <c r="F3" s="69" t="s">
        <v>135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122</v>
      </c>
      <c r="P3" s="69" t="s">
        <v>123</v>
      </c>
      <c r="Q3" s="69" t="s">
        <v>124</v>
      </c>
      <c r="R3" s="69" t="s">
        <v>125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2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2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2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2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5" x14ac:dyDescent="0.25">
      <c r="B8" s="56" t="s">
        <v>116</v>
      </c>
      <c r="C8" s="40" t="s">
        <v>117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2">
      <c r="B9" s="72"/>
      <c r="C9" s="73" t="s">
        <v>127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2">
      <c r="B10" s="37" t="s">
        <v>128</v>
      </c>
      <c r="C10" s="76" t="s">
        <v>129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2">
      <c r="B11" s="37" t="s">
        <v>50</v>
      </c>
      <c r="C11" s="78" t="s">
        <v>130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2">
      <c r="B12" s="37" t="s">
        <v>131</v>
      </c>
      <c r="C12" s="78" t="s">
        <v>132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5" x14ac:dyDescent="0.25">
      <c r="B13" s="37" t="s">
        <v>64</v>
      </c>
      <c r="C13" s="78" t="s">
        <v>133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5" x14ac:dyDescent="0.25">
      <c r="B14" s="72"/>
      <c r="C14" s="40" t="s">
        <v>134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9" t="s">
        <v>113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9" t="s">
        <v>44</v>
      </c>
      <c r="E20" s="19" t="s">
        <v>45</v>
      </c>
      <c r="F20" s="19" t="s">
        <v>46</v>
      </c>
    </row>
    <row r="21" spans="3:13" x14ac:dyDescent="0.2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2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D8D7-E1A6-4544-9E5E-4BF2900A3B3E}">
  <dimension ref="B3:G6"/>
  <sheetViews>
    <sheetView workbookViewId="0">
      <selection activeCell="I14" sqref="I14"/>
    </sheetView>
  </sheetViews>
  <sheetFormatPr defaultRowHeight="12.75" x14ac:dyDescent="0.2"/>
  <cols>
    <col min="2" max="2" width="10.42578125" bestFit="1" customWidth="1"/>
  </cols>
  <sheetData>
    <row r="3" spans="2:7" x14ac:dyDescent="0.2">
      <c r="C3" t="s">
        <v>176</v>
      </c>
      <c r="D3" s="103">
        <v>2020</v>
      </c>
      <c r="E3" s="103">
        <v>2021</v>
      </c>
      <c r="F3" s="103">
        <v>2022</v>
      </c>
      <c r="G3" s="103">
        <v>2023</v>
      </c>
    </row>
    <row r="4" spans="2:7" x14ac:dyDescent="0.2">
      <c r="B4" s="104" t="s">
        <v>180</v>
      </c>
      <c r="C4" t="s">
        <v>177</v>
      </c>
    </row>
    <row r="5" spans="2:7" x14ac:dyDescent="0.2">
      <c r="B5" s="104"/>
      <c r="C5" t="s">
        <v>178</v>
      </c>
      <c r="D5">
        <v>369.77644024075659</v>
      </c>
      <c r="E5">
        <v>418.15907136715379</v>
      </c>
      <c r="F5">
        <v>347.09088564058459</v>
      </c>
      <c r="G5">
        <v>269.10361134995702</v>
      </c>
    </row>
    <row r="6" spans="2:7" x14ac:dyDescent="0.2">
      <c r="B6" s="104"/>
      <c r="C6" t="s">
        <v>179</v>
      </c>
    </row>
  </sheetData>
  <mergeCells count="1">
    <mergeCell ref="B4:B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3"/>
  <sheetViews>
    <sheetView zoomScaleNormal="100" workbookViewId="0">
      <selection activeCell="B11" sqref="B1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IMPCOA1</v>
      </c>
      <c r="C11" s="1"/>
      <c r="D11" s="1" t="str">
        <f>$K$5</f>
        <v>COA</v>
      </c>
      <c r="E11" s="1"/>
      <c r="F11" s="50"/>
      <c r="G11" s="5"/>
      <c r="I11" s="96" t="str">
        <f>'EB1'!$B$6</f>
        <v>IMP</v>
      </c>
      <c r="J11" s="96"/>
      <c r="K11" s="96" t="str">
        <f>$I$11&amp;$C$2&amp;1</f>
        <v>IMPCOA1</v>
      </c>
      <c r="L11" s="98" t="str">
        <f>"Import of "&amp;$D$2&amp; " Step "&amp;RIGHT(K11,1)</f>
        <v>Import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EXPCOA1</v>
      </c>
      <c r="C12" s="1" t="str">
        <f>$K$5</f>
        <v>COA</v>
      </c>
      <c r="D12" s="1"/>
      <c r="F12" s="50"/>
      <c r="G12" s="45"/>
      <c r="I12" s="96" t="str">
        <f>'EB1'!B7</f>
        <v>EXP</v>
      </c>
      <c r="J12" s="96"/>
      <c r="K12" s="96" t="str">
        <f>$I$12&amp;$C$2&amp;1</f>
        <v>EXPCOA1</v>
      </c>
      <c r="L12" s="98" t="str">
        <f>"Export of "&amp;$D$2&amp; " Step "&amp;RIGHT(K12,1)</f>
        <v>Export of Solid Fuels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/>
      <c r="C13" s="1"/>
      <c r="E13" s="1"/>
      <c r="G13" s="10"/>
    </row>
    <row r="14" spans="2:17" x14ac:dyDescent="0.2">
      <c r="B14" s="1"/>
    </row>
    <row r="19" spans="2:18" s="1" customFormat="1" x14ac:dyDescent="0.2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2:18" x14ac:dyDescent="0.2">
      <c r="R20" s="1"/>
    </row>
    <row r="22" spans="2:18" x14ac:dyDescent="0.2">
      <c r="B22" s="48"/>
      <c r="C22" s="1" t="s">
        <v>114</v>
      </c>
    </row>
    <row r="23" spans="2:18" x14ac:dyDescent="0.2">
      <c r="B23" s="46"/>
      <c r="C23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D601-8357-4014-BBD5-DE38AC19BE99}">
  <dimension ref="B1:Z26"/>
  <sheetViews>
    <sheetView workbookViewId="0">
      <selection activeCell="B11" sqref="B1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  <col min="22" max="22" width="30.28515625" bestFit="1" customWidth="1"/>
    <col min="23" max="23" width="12.42578125" bestFit="1" customWidth="1"/>
    <col min="24" max="24" width="14.28515625" bestFit="1" customWidth="1"/>
    <col min="26" max="26" width="11.85546875" bestFit="1" customWidth="1"/>
  </cols>
  <sheetData>
    <row r="1" spans="2:2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6" ht="15.75" x14ac:dyDescent="0.25">
      <c r="B2" s="9"/>
      <c r="C2" s="9" t="s">
        <v>149</v>
      </c>
      <c r="D2" s="9" t="s">
        <v>150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6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6" ht="23.25" thickBot="1" x14ac:dyDescent="0.25">
      <c r="B4" t="s">
        <v>151</v>
      </c>
      <c r="C4">
        <v>4.1868000000000002E-2</v>
      </c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6" x14ac:dyDescent="0.2">
      <c r="I5" s="92" t="s">
        <v>65</v>
      </c>
      <c r="J5" s="96"/>
      <c r="K5" s="92" t="str">
        <f>C2</f>
        <v>SHL</v>
      </c>
      <c r="L5" s="92" t="str">
        <f>D2</f>
        <v>Oil shale</v>
      </c>
      <c r="M5" s="92" t="str">
        <f>$E$2</f>
        <v>PJ</v>
      </c>
      <c r="N5" s="92"/>
      <c r="O5" s="92"/>
      <c r="P5" s="92"/>
      <c r="Q5" s="92"/>
    </row>
    <row r="6" spans="2:26" x14ac:dyDescent="0.2">
      <c r="V6" t="s">
        <v>153</v>
      </c>
      <c r="W6">
        <v>9.5</v>
      </c>
    </row>
    <row r="7" spans="2:26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  <c r="V7" t="s">
        <v>156</v>
      </c>
      <c r="W7">
        <f>1000000000/(W6*1000)</f>
        <v>105263.15789473684</v>
      </c>
    </row>
    <row r="8" spans="2:26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6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  <c r="W9" t="s">
        <v>152</v>
      </c>
      <c r="X9" t="s">
        <v>154</v>
      </c>
      <c r="Y9" t="s">
        <v>155</v>
      </c>
      <c r="Z9" t="s">
        <v>157</v>
      </c>
    </row>
    <row r="10" spans="2:26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  <c r="V10">
        <v>2025</v>
      </c>
      <c r="W10">
        <v>8021108</v>
      </c>
      <c r="X10">
        <f>W10*1000*W6/1000000000</f>
        <v>76.200525999999996</v>
      </c>
      <c r="Y10">
        <v>30</v>
      </c>
      <c r="Z10">
        <f>W7*Y10/1000000</f>
        <v>3.1578947368421053</v>
      </c>
    </row>
    <row r="11" spans="2:26" x14ac:dyDescent="0.2">
      <c r="B11" s="92" t="str">
        <f>K11</f>
        <v>MINSHL1</v>
      </c>
      <c r="C11" s="1"/>
      <c r="D11" s="1" t="str">
        <f>$K$5</f>
        <v>SHL</v>
      </c>
      <c r="E11" s="48"/>
      <c r="F11" s="50">
        <f>Z10</f>
        <v>3.1578947368421053</v>
      </c>
      <c r="G11" s="44">
        <f>X10</f>
        <v>76.200525999999996</v>
      </c>
      <c r="I11" s="92" t="str">
        <f>'EB1'!$B$5</f>
        <v>MIN</v>
      </c>
      <c r="J11" s="96"/>
      <c r="K11" s="96" t="str">
        <f>$I$11&amp;$C$2&amp;1</f>
        <v>MINSHL1</v>
      </c>
      <c r="L11" s="98" t="str">
        <f>"Domestic Supply of "&amp;$D$2&amp; " Step "&amp;RIGHT(K11,1)</f>
        <v>Domestic Supply of Oil shale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6" x14ac:dyDescent="0.2">
      <c r="B12" s="1"/>
      <c r="C12" s="1"/>
      <c r="D12" s="1"/>
      <c r="E12" s="48"/>
      <c r="F12" s="50"/>
      <c r="G12" s="44"/>
      <c r="I12" s="96"/>
      <c r="J12" s="96"/>
      <c r="K12" s="96"/>
      <c r="L12" s="98"/>
      <c r="M12" s="96"/>
      <c r="N12" s="96"/>
      <c r="O12" s="96"/>
      <c r="P12" s="96"/>
      <c r="Q12" s="96"/>
    </row>
    <row r="13" spans="2:26" x14ac:dyDescent="0.2">
      <c r="B13" s="1"/>
      <c r="C13" s="1"/>
      <c r="D13" s="1"/>
      <c r="E13" s="48"/>
      <c r="F13" s="50"/>
      <c r="G13" s="10"/>
      <c r="I13" s="96"/>
      <c r="J13" s="96"/>
      <c r="K13" s="96"/>
      <c r="L13" s="98"/>
      <c r="M13" s="96"/>
      <c r="N13" s="96"/>
      <c r="O13" s="96"/>
      <c r="P13" s="96"/>
      <c r="Q13" s="96"/>
    </row>
    <row r="14" spans="2:26" x14ac:dyDescent="0.2">
      <c r="B14" s="1"/>
      <c r="C14" s="1"/>
      <c r="D14" s="1"/>
      <c r="E14" s="1"/>
      <c r="F14" s="50"/>
      <c r="G14" s="5"/>
      <c r="I14" s="96"/>
      <c r="J14" s="96"/>
      <c r="K14" s="96"/>
      <c r="L14" s="98"/>
      <c r="M14" s="96"/>
      <c r="N14" s="96"/>
      <c r="O14" s="96"/>
      <c r="P14" s="96"/>
      <c r="Q14" s="96"/>
    </row>
    <row r="15" spans="2:26" x14ac:dyDescent="0.2">
      <c r="B15" s="1"/>
      <c r="C15" s="1"/>
      <c r="D15" s="1"/>
      <c r="F15" s="50"/>
      <c r="G15" s="45"/>
      <c r="I15" s="96"/>
      <c r="J15" s="96"/>
      <c r="K15" s="96"/>
      <c r="L15" s="98"/>
      <c r="M15" s="96"/>
      <c r="N15" s="96"/>
      <c r="O15" s="96"/>
      <c r="P15" s="96"/>
      <c r="Q15" s="96"/>
    </row>
    <row r="16" spans="2:26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1"/>
  <sheetViews>
    <sheetView zoomScaleNormal="100" workbookViewId="0">
      <selection activeCell="F11" sqref="F11:F12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6" customWidth="1"/>
    <col min="8" max="10" width="15.28515625" customWidth="1"/>
    <col min="11" max="11" width="2" bestFit="1" customWidth="1"/>
    <col min="12" max="12" width="13.7109375" customWidth="1"/>
    <col min="13" max="13" width="7.140625" customWidth="1"/>
    <col min="14" max="14" width="11.42578125" bestFit="1" customWidth="1"/>
    <col min="15" max="15" width="35" bestFit="1" customWidth="1"/>
    <col min="16" max="16" width="6.7109375" customWidth="1"/>
    <col min="17" max="17" width="11.5703125" customWidth="1"/>
    <col min="18" max="18" width="13" customWidth="1"/>
    <col min="19" max="19" width="15.140625" customWidth="1"/>
    <col min="20" max="20" width="7.5703125" bestFit="1" customWidth="1"/>
  </cols>
  <sheetData>
    <row r="1" spans="2:20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0" ht="15.75" x14ac:dyDescent="0.25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M€2025</v>
      </c>
      <c r="L2" s="91" t="s">
        <v>14</v>
      </c>
      <c r="M2" s="91"/>
      <c r="N2" s="92"/>
      <c r="O2" s="92"/>
      <c r="P2" s="92"/>
      <c r="Q2" s="92"/>
      <c r="R2" s="92"/>
      <c r="S2" s="92"/>
      <c r="T2" s="92"/>
    </row>
    <row r="3" spans="2:20" x14ac:dyDescent="0.2">
      <c r="L3" s="93" t="s">
        <v>7</v>
      </c>
      <c r="M3" s="94" t="s">
        <v>30</v>
      </c>
      <c r="N3" s="93" t="s">
        <v>0</v>
      </c>
      <c r="O3" s="93" t="s">
        <v>3</v>
      </c>
      <c r="P3" s="93" t="s">
        <v>4</v>
      </c>
      <c r="Q3" s="93" t="s">
        <v>8</v>
      </c>
      <c r="R3" s="93" t="s">
        <v>9</v>
      </c>
      <c r="S3" s="93" t="s">
        <v>10</v>
      </c>
      <c r="T3" s="93" t="s">
        <v>12</v>
      </c>
    </row>
    <row r="4" spans="2:20" ht="23.25" thickBot="1" x14ac:dyDescent="0.25">
      <c r="B4" t="s">
        <v>151</v>
      </c>
      <c r="C4">
        <v>4.1868000000000002E-2</v>
      </c>
      <c r="L4" s="95" t="s">
        <v>37</v>
      </c>
      <c r="M4" s="95" t="s">
        <v>31</v>
      </c>
      <c r="N4" s="95" t="s">
        <v>26</v>
      </c>
      <c r="O4" s="95" t="s">
        <v>27</v>
      </c>
      <c r="P4" s="95" t="s">
        <v>4</v>
      </c>
      <c r="Q4" s="95" t="s">
        <v>40</v>
      </c>
      <c r="R4" s="95" t="s">
        <v>41</v>
      </c>
      <c r="S4" s="95" t="s">
        <v>28</v>
      </c>
      <c r="T4" s="95" t="s">
        <v>29</v>
      </c>
    </row>
    <row r="5" spans="2:20" x14ac:dyDescent="0.2">
      <c r="B5" t="s">
        <v>181</v>
      </c>
      <c r="C5">
        <v>3.5999999999999998E-6</v>
      </c>
      <c r="L5" s="92" t="s">
        <v>65</v>
      </c>
      <c r="M5" s="96"/>
      <c r="N5" s="92" t="str">
        <f>C2</f>
        <v>GAS</v>
      </c>
      <c r="O5" s="92" t="str">
        <f>D2</f>
        <v>Natural Gas</v>
      </c>
      <c r="P5" s="92" t="str">
        <f>$E$2</f>
        <v>PJ</v>
      </c>
      <c r="Q5" s="92"/>
      <c r="R5" s="92"/>
      <c r="S5" s="92"/>
      <c r="T5" s="92"/>
    </row>
    <row r="7" spans="2:20" x14ac:dyDescent="0.2">
      <c r="D7" s="4" t="s">
        <v>13</v>
      </c>
      <c r="F7" s="4"/>
      <c r="L7" s="91" t="s">
        <v>15</v>
      </c>
      <c r="M7" s="91"/>
      <c r="N7" s="96"/>
      <c r="O7" s="96"/>
      <c r="P7" s="96"/>
      <c r="Q7" s="96"/>
      <c r="R7" s="96"/>
      <c r="S7" s="96"/>
      <c r="T7" s="96"/>
    </row>
    <row r="8" spans="2:20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172</v>
      </c>
      <c r="H8" s="53" t="s">
        <v>173</v>
      </c>
      <c r="I8" s="53" t="s">
        <v>174</v>
      </c>
      <c r="J8" s="53" t="s">
        <v>175</v>
      </c>
      <c r="L8" s="93" t="s">
        <v>11</v>
      </c>
      <c r="M8" s="94" t="s">
        <v>30</v>
      </c>
      <c r="N8" s="93" t="s">
        <v>1</v>
      </c>
      <c r="O8" s="93" t="s">
        <v>2</v>
      </c>
      <c r="P8" s="93" t="s">
        <v>16</v>
      </c>
      <c r="Q8" s="93" t="s">
        <v>17</v>
      </c>
      <c r="R8" s="93" t="s">
        <v>18</v>
      </c>
      <c r="S8" s="93" t="s">
        <v>19</v>
      </c>
      <c r="T8" s="93" t="s">
        <v>20</v>
      </c>
    </row>
    <row r="9" spans="2:20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H9" s="12" t="s">
        <v>78</v>
      </c>
      <c r="I9" s="12" t="s">
        <v>78</v>
      </c>
      <c r="J9" s="12" t="s">
        <v>78</v>
      </c>
      <c r="L9" s="95" t="s">
        <v>38</v>
      </c>
      <c r="M9" s="95" t="s">
        <v>31</v>
      </c>
      <c r="N9" s="95" t="s">
        <v>21</v>
      </c>
      <c r="O9" s="95" t="s">
        <v>22</v>
      </c>
      <c r="P9" s="95" t="s">
        <v>23</v>
      </c>
      <c r="Q9" s="95" t="s">
        <v>24</v>
      </c>
      <c r="R9" s="95" t="s">
        <v>43</v>
      </c>
      <c r="S9" s="95" t="s">
        <v>42</v>
      </c>
      <c r="T9" s="95" t="s">
        <v>25</v>
      </c>
    </row>
    <row r="10" spans="2:20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H10" s="11" t="str">
        <f t="shared" ref="H10:J10" si="0">$E$2</f>
        <v>PJ</v>
      </c>
      <c r="I10" s="11" t="str">
        <f t="shared" si="0"/>
        <v>PJ</v>
      </c>
      <c r="J10" s="11" t="str">
        <f t="shared" si="0"/>
        <v>PJ</v>
      </c>
      <c r="L10" s="95" t="s">
        <v>73</v>
      </c>
      <c r="M10" s="97"/>
      <c r="N10" s="97"/>
      <c r="O10" s="97"/>
      <c r="P10" s="97"/>
      <c r="Q10" s="97"/>
      <c r="R10" s="97"/>
      <c r="S10" s="97"/>
      <c r="T10" s="97"/>
    </row>
    <row r="11" spans="2:20" x14ac:dyDescent="0.2">
      <c r="B11" s="1" t="str">
        <f>N11</f>
        <v>IMPGAS1</v>
      </c>
      <c r="C11" s="1"/>
      <c r="D11" s="1" t="str">
        <f>$N$5</f>
        <v>GAS</v>
      </c>
      <c r="F11" s="49"/>
      <c r="G11" s="45">
        <f>'JRC-IDEES2023'!D5</f>
        <v>369.77644024075659</v>
      </c>
      <c r="H11" s="45">
        <f>'JRC-IDEES2023'!E5</f>
        <v>418.15907136715379</v>
      </c>
      <c r="I11" s="45">
        <f>'JRC-IDEES2023'!F5</f>
        <v>347.09088564058459</v>
      </c>
      <c r="J11" s="45">
        <f>'JRC-IDEES2023'!G5</f>
        <v>269.10361134995702</v>
      </c>
      <c r="L11" s="96" t="str">
        <f>'EB1'!$B$6</f>
        <v>IMP</v>
      </c>
      <c r="M11" s="96"/>
      <c r="N11" s="96" t="str">
        <f>$L$11&amp;$C$2&amp;1</f>
        <v>IMPGAS1</v>
      </c>
      <c r="O11" s="98" t="str">
        <f>"Import of "&amp;$D$2&amp; " Step "&amp;RIGHT(N11,1)</f>
        <v>Import of Natural Gas Step 1</v>
      </c>
      <c r="P11" s="96" t="str">
        <f>$E$2</f>
        <v>PJ</v>
      </c>
      <c r="Q11" s="96" t="str">
        <f>$E$2&amp;"a"</f>
        <v>PJa</v>
      </c>
      <c r="R11" s="96"/>
      <c r="S11" s="96"/>
      <c r="T11" s="96"/>
    </row>
    <row r="12" spans="2:20" x14ac:dyDescent="0.2">
      <c r="B12" s="1" t="str">
        <f>N12</f>
        <v>EXPGAS1</v>
      </c>
      <c r="C12" s="1" t="str">
        <f>$N$5</f>
        <v>GAS</v>
      </c>
      <c r="F12" s="49"/>
      <c r="G12" s="45"/>
      <c r="H12" s="45"/>
      <c r="I12" s="45"/>
      <c r="J12" s="45"/>
      <c r="L12" s="96" t="str">
        <f>'EB1'!B7</f>
        <v>EXP</v>
      </c>
      <c r="M12" s="96"/>
      <c r="N12" s="96" t="str">
        <f>$L$12&amp;$C$2&amp;1</f>
        <v>EXPGAS1</v>
      </c>
      <c r="O12" s="98" t="str">
        <f>"Export of "&amp;$D$2&amp; " Step "&amp;RIGHT(N12,1)</f>
        <v>Export of Natural Gas Step 1</v>
      </c>
      <c r="P12" s="96" t="str">
        <f>$E$2</f>
        <v>PJ</v>
      </c>
      <c r="Q12" s="96" t="str">
        <f>$E$2&amp;"a"</f>
        <v>PJa</v>
      </c>
      <c r="R12" s="96"/>
      <c r="S12" s="96"/>
      <c r="T12" s="96"/>
    </row>
    <row r="13" spans="2:20" x14ac:dyDescent="0.2">
      <c r="B13" s="1"/>
      <c r="F13" s="51"/>
    </row>
    <row r="19" spans="2:21" x14ac:dyDescent="0.2">
      <c r="B19" s="48"/>
      <c r="C19" s="1" t="s">
        <v>114</v>
      </c>
    </row>
    <row r="20" spans="2:21" s="1" customFormat="1" x14ac:dyDescent="0.2">
      <c r="B20" s="46"/>
      <c r="C20" s="1" t="s">
        <v>115</v>
      </c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</row>
    <row r="21" spans="2:21" x14ac:dyDescent="0.2">
      <c r="K21" s="1"/>
      <c r="U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1"/>
  <sheetViews>
    <sheetView zoomScaleNormal="100" workbookViewId="0">
      <selection activeCell="B11" sqref="B1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23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3" ht="15.75" x14ac:dyDescent="0.25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3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3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3" x14ac:dyDescent="0.2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23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23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3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23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23" x14ac:dyDescent="0.2">
      <c r="B11" s="1" t="str">
        <f>K11</f>
        <v>IMPOIL1</v>
      </c>
      <c r="C11" s="1"/>
      <c r="D11" s="1" t="str">
        <f>$K$5</f>
        <v>OIL</v>
      </c>
      <c r="E11" s="38"/>
      <c r="F11" s="49">
        <v>8</v>
      </c>
      <c r="G11" s="10"/>
      <c r="I11" s="96" t="str">
        <f>'EB1'!$B$6</f>
        <v>IMP</v>
      </c>
      <c r="J11" s="96"/>
      <c r="K11" s="96" t="str">
        <f>$I$11&amp;$C$2&amp;1</f>
        <v>IMPOIL1</v>
      </c>
      <c r="L11" s="98" t="str">
        <f>"Import of "&amp;$D$2&amp; " Step "&amp;RIGHT(K11,1)</f>
        <v>Import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3" x14ac:dyDescent="0.2">
      <c r="B12" s="1" t="str">
        <f>K12</f>
        <v>EXPOIL1</v>
      </c>
      <c r="C12" s="1" t="str">
        <f>$K$5</f>
        <v>OIL</v>
      </c>
      <c r="D12" s="1"/>
      <c r="E12" s="38"/>
      <c r="F12" s="49">
        <v>8</v>
      </c>
      <c r="G12" s="44"/>
      <c r="I12" s="96" t="str">
        <f>'EB1'!B7</f>
        <v>EXP</v>
      </c>
      <c r="J12" s="96"/>
      <c r="K12" s="96" t="str">
        <f>$I$12&amp;$C$2&amp;1</f>
        <v>EXPOIL1</v>
      </c>
      <c r="L12" s="98" t="str">
        <f>"Export of "&amp;$D$2&amp; " Step "&amp;RIGHT(K12,1)</f>
        <v>Export of Crude Oil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23" x14ac:dyDescent="0.2">
      <c r="B13" s="1"/>
      <c r="C13" s="1"/>
      <c r="F13" s="51"/>
    </row>
    <row r="14" spans="2:23" x14ac:dyDescent="0.2">
      <c r="B14" s="1"/>
      <c r="F14" s="51"/>
    </row>
    <row r="15" spans="2:23" x14ac:dyDescent="0.2">
      <c r="T15" s="1"/>
      <c r="U15" s="1"/>
    </row>
    <row r="16" spans="2:23" x14ac:dyDescent="0.2">
      <c r="S16" s="1"/>
      <c r="V16" s="1"/>
      <c r="W16" s="1"/>
    </row>
    <row r="20" spans="2:8" x14ac:dyDescent="0.2">
      <c r="B20" s="48"/>
      <c r="C20" s="1" t="s">
        <v>114</v>
      </c>
    </row>
    <row r="21" spans="2:8" x14ac:dyDescent="0.2">
      <c r="B21" s="46"/>
      <c r="C21" s="1" t="s">
        <v>115</v>
      </c>
      <c r="H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I15" sqref="I15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37.28515625" bestFit="1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2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3.25" thickBot="1" x14ac:dyDescent="0.2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2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2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2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3.25" thickBot="1" x14ac:dyDescent="0.2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3.5" thickBot="1" x14ac:dyDescent="0.25">
      <c r="B10" s="12" t="s">
        <v>77</v>
      </c>
      <c r="C10" s="11"/>
      <c r="D10" s="11"/>
      <c r="E10" s="11" t="str">
        <f>$F$2&amp;"/"&amp;$E$2</f>
        <v>M€2025/PJ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2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2">
      <c r="B12" s="1"/>
      <c r="C12" s="1"/>
      <c r="D12" s="1"/>
      <c r="E12" s="54"/>
      <c r="F12" s="55"/>
      <c r="K12" s="17"/>
    </row>
    <row r="13" spans="2:16" x14ac:dyDescent="0.2">
      <c r="B13" s="1"/>
      <c r="C13" s="1"/>
      <c r="D13" s="1"/>
      <c r="E13" s="54"/>
      <c r="F13" s="55"/>
      <c r="K13" s="17"/>
    </row>
    <row r="14" spans="2:16" x14ac:dyDescent="0.2">
      <c r="B14" s="1"/>
      <c r="C14" s="1"/>
      <c r="D14" s="1"/>
      <c r="E14" s="25"/>
      <c r="K14" s="17"/>
    </row>
    <row r="15" spans="2:16" x14ac:dyDescent="0.2">
      <c r="B15" s="1"/>
      <c r="C15" s="1"/>
      <c r="D15" s="1"/>
      <c r="E15" s="25"/>
      <c r="F15" s="5"/>
      <c r="K15" s="17"/>
    </row>
    <row r="16" spans="2:16" x14ac:dyDescent="0.2">
      <c r="B16" s="1"/>
      <c r="C16" s="1"/>
      <c r="E16" s="1"/>
      <c r="F16" s="5"/>
    </row>
    <row r="20" spans="2:3" ht="19.5" customHeight="1" x14ac:dyDescent="0.2"/>
    <row r="23" spans="2:3" x14ac:dyDescent="0.2">
      <c r="B23" s="38"/>
      <c r="C23" s="1" t="s">
        <v>114</v>
      </c>
    </row>
    <row r="24" spans="2:3" x14ac:dyDescent="0.2">
      <c r="B24" s="46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E14" sqref="E14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2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2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FE7-BF63-468B-8CA5-904DC2B1D71B}">
  <dimension ref="B1:P26"/>
  <sheetViews>
    <sheetView workbookViewId="0">
      <selection activeCell="E14" sqref="E14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7.28515625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">
        <v>147</v>
      </c>
      <c r="D2" s="9" t="s">
        <v>148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/>
      <c r="D3" s="9"/>
      <c r="E3" s="9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/>
      <c r="D4" s="9"/>
      <c r="E4" s="9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/>
      <c r="D5" s="9"/>
      <c r="E5" s="9"/>
      <c r="H5" s="92" t="s">
        <v>65</v>
      </c>
      <c r="I5" s="96"/>
      <c r="J5" s="92" t="str">
        <f t="shared" ref="J5:K5" si="0">C2</f>
        <v>MSW</v>
      </c>
      <c r="K5" s="92" t="str">
        <f t="shared" si="0"/>
        <v>Municipal waste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/>
      <c r="K6" s="92"/>
      <c r="L6" s="92"/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/>
      <c r="K7" s="92"/>
      <c r="L7" s="92"/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/>
      <c r="K8" s="92"/>
      <c r="L8" s="92"/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MINMSW1</v>
      </c>
      <c r="C14" s="1"/>
      <c r="D14" s="1" t="str">
        <f>J5</f>
        <v>MSW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MINMSW1</v>
      </c>
      <c r="K14" s="98" t="str">
        <f>"Domestic Supply of "&amp;D2&amp; " Step "&amp;RIGHT(J14,1)</f>
        <v>Domestic Supply of Municipal waste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/>
      <c r="C15" s="1"/>
      <c r="D15" s="1"/>
      <c r="E15" s="54"/>
      <c r="F15" s="55"/>
      <c r="H15" s="96"/>
      <c r="I15" s="96"/>
      <c r="J15" s="96"/>
      <c r="K15" s="98"/>
      <c r="L15" s="96"/>
      <c r="M15" s="96"/>
      <c r="N15" s="96"/>
      <c r="O15" s="96"/>
      <c r="P15" s="96"/>
    </row>
    <row r="16" spans="2:16" x14ac:dyDescent="0.2">
      <c r="B16" s="1"/>
      <c r="C16" s="1"/>
      <c r="D16" s="1"/>
      <c r="E16" s="54"/>
      <c r="F16" s="55"/>
      <c r="H16" s="96"/>
      <c r="I16" s="96"/>
      <c r="J16" s="96"/>
      <c r="K16" s="98"/>
      <c r="L16" s="96"/>
      <c r="M16" s="96"/>
      <c r="N16" s="96"/>
      <c r="O16" s="96"/>
      <c r="P16" s="96"/>
    </row>
    <row r="17" spans="2:16" x14ac:dyDescent="0.2">
      <c r="B17" s="1"/>
      <c r="C17" s="1"/>
      <c r="D17" s="1"/>
      <c r="E17" s="25"/>
      <c r="H17" s="96"/>
      <c r="I17" s="96"/>
      <c r="J17" s="96"/>
      <c r="K17" s="98"/>
      <c r="L17" s="96"/>
      <c r="M17" s="96"/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topLeftCell="A10" zoomScale="79" zoomScaleNormal="100" workbookViewId="0">
      <selection activeCell="F34" sqref="F3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75" x14ac:dyDescent="0.25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75" x14ac:dyDescent="0.25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75" x14ac:dyDescent="0.25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2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2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2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2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2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3.25" thickBot="1" x14ac:dyDescent="0.2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3.5" thickBot="1" x14ac:dyDescent="0.25">
      <c r="B16" s="12" t="s">
        <v>77</v>
      </c>
      <c r="C16" s="11"/>
      <c r="D16" s="11"/>
      <c r="E16" s="11" t="str">
        <f>$F$2&amp;"/"&amp;$E$2</f>
        <v>M€2025/PJ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Pri_OIL!$F$11*1.3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49">
        <f>Pri_OIL!$F$11*1.4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49">
        <f>Pri_OIL!$F$11*1.1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49">
        <f>Pri_OIL!$F$11*1.4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49">
        <f>Pri_OIL!$F$11*1.05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49">
        <f>Pri_OIL!$F$11*1.05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49">
        <f>Pri_OIL!$F$11*1.05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/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/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/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/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/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/>
      <c r="H29" s="96"/>
      <c r="I29" s="96"/>
      <c r="J29" s="96" t="str">
        <f>$H$24&amp;C7&amp;1</f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/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2">
      <c r="B35" s="38"/>
      <c r="C35" s="1" t="s">
        <v>114</v>
      </c>
    </row>
    <row r="36" spans="2:3" x14ac:dyDescent="0.2">
      <c r="B36" s="46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22"/>
  <sheetViews>
    <sheetView tabSelected="1" zoomScale="84" zoomScaleNormal="100" workbookViewId="0">
      <selection activeCell="H21" sqref="H2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11.5703125" customWidth="1"/>
    <col min="6" max="8" width="13.7109375" customWidth="1"/>
    <col min="9" max="9" width="2" bestFit="1" customWidth="1"/>
    <col min="10" max="10" width="11.85546875" bestFit="1" customWidth="1"/>
    <col min="11" max="11" width="7.140625" customWidth="1"/>
    <col min="12" max="12" width="11.42578125" bestFit="1" customWidth="1"/>
    <col min="13" max="13" width="37.42578125" bestFit="1" customWidth="1"/>
    <col min="14" max="14" width="6.140625" bestFit="1" customWidth="1"/>
    <col min="15" max="15" width="11" customWidth="1"/>
    <col min="16" max="16" width="12.85546875" bestFit="1" customWidth="1"/>
    <col min="17" max="17" width="14.140625" bestFit="1" customWidth="1"/>
    <col min="18" max="18" width="8" bestFit="1" customWidth="1"/>
  </cols>
  <sheetData>
    <row r="1" spans="2:21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  <c r="G1" s="24"/>
      <c r="H1" s="24"/>
    </row>
    <row r="2" spans="2:21" ht="15.75" x14ac:dyDescent="0.25">
      <c r="B2" s="9" t="s">
        <v>112</v>
      </c>
      <c r="C2" s="9" t="str">
        <f>'EB1'!U$2</f>
        <v>ELC</v>
      </c>
      <c r="D2" s="9" t="str">
        <f>'EB1'!U$3</f>
        <v>Electricity</v>
      </c>
      <c r="E2" s="9" t="s">
        <v>158</v>
      </c>
      <c r="F2" s="9" t="str">
        <f>'EB1'!Y2</f>
        <v>M€2025</v>
      </c>
      <c r="G2" s="9"/>
      <c r="H2" s="9"/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21" ht="15.75" x14ac:dyDescent="0.25">
      <c r="C3" s="7"/>
      <c r="D3" s="7"/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21" ht="24" thickBot="1" x14ac:dyDescent="0.3">
      <c r="C4" s="7"/>
      <c r="D4" s="7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21" ht="15.75" x14ac:dyDescent="0.25">
      <c r="C5" s="7"/>
      <c r="D5" s="7"/>
      <c r="J5" s="1"/>
      <c r="L5" s="1"/>
      <c r="M5" s="1"/>
      <c r="N5" s="1"/>
      <c r="O5" s="1"/>
      <c r="P5" s="1"/>
      <c r="Q5" s="1"/>
      <c r="R5" s="1"/>
    </row>
    <row r="6" spans="2:21" ht="15.75" x14ac:dyDescent="0.25">
      <c r="C6" s="7"/>
      <c r="D6" s="7"/>
      <c r="J6" s="1"/>
      <c r="L6" s="1"/>
      <c r="M6" s="1"/>
      <c r="N6" s="1"/>
      <c r="O6" s="1"/>
      <c r="P6" s="1"/>
      <c r="Q6" s="1"/>
      <c r="R6" s="1"/>
    </row>
    <row r="11" spans="2:21" x14ac:dyDescent="0.2">
      <c r="D11" s="4" t="s">
        <v>13</v>
      </c>
      <c r="E11" s="4"/>
      <c r="J11" s="91" t="s">
        <v>15</v>
      </c>
      <c r="K11" s="91"/>
      <c r="L11" s="96"/>
      <c r="M11" s="96"/>
      <c r="N11" s="96"/>
      <c r="O11" s="96"/>
      <c r="P11" s="96"/>
      <c r="Q11" s="96"/>
      <c r="R11" s="96"/>
    </row>
    <row r="12" spans="2:21" x14ac:dyDescent="0.2">
      <c r="B12" s="3" t="s">
        <v>1</v>
      </c>
      <c r="C12" s="15" t="s">
        <v>5</v>
      </c>
      <c r="D12" s="3" t="s">
        <v>6</v>
      </c>
      <c r="E12" s="53" t="s">
        <v>170</v>
      </c>
      <c r="F12" s="53" t="s">
        <v>169</v>
      </c>
      <c r="G12" s="99" t="s">
        <v>159</v>
      </c>
      <c r="H12" s="99" t="s">
        <v>171</v>
      </c>
      <c r="J12" s="93" t="s">
        <v>11</v>
      </c>
      <c r="K12" s="94" t="s">
        <v>30</v>
      </c>
      <c r="L12" s="93" t="s">
        <v>1</v>
      </c>
      <c r="M12" s="93" t="s">
        <v>2</v>
      </c>
      <c r="N12" s="93" t="s">
        <v>16</v>
      </c>
      <c r="O12" s="93" t="s">
        <v>17</v>
      </c>
      <c r="P12" s="93" t="s">
        <v>18</v>
      </c>
      <c r="Q12" s="93" t="s">
        <v>19</v>
      </c>
      <c r="R12" s="93" t="s">
        <v>20</v>
      </c>
    </row>
    <row r="13" spans="2:21" ht="23.25" thickBot="1" x14ac:dyDescent="0.2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G13" s="12"/>
      <c r="H13" s="12"/>
      <c r="J13" s="95" t="s">
        <v>38</v>
      </c>
      <c r="K13" s="95" t="s">
        <v>31</v>
      </c>
      <c r="L13" s="95" t="s">
        <v>21</v>
      </c>
      <c r="M13" s="95" t="s">
        <v>22</v>
      </c>
      <c r="N13" s="95" t="s">
        <v>23</v>
      </c>
      <c r="O13" s="95" t="s">
        <v>24</v>
      </c>
      <c r="P13" s="95" t="s">
        <v>43</v>
      </c>
      <c r="Q13" s="95" t="s">
        <v>42</v>
      </c>
      <c r="R13" s="95" t="s">
        <v>25</v>
      </c>
    </row>
    <row r="14" spans="2:21" ht="13.5" thickBot="1" x14ac:dyDescent="0.25">
      <c r="B14" s="12" t="s">
        <v>77</v>
      </c>
      <c r="C14" s="11"/>
      <c r="D14" s="11"/>
      <c r="E14" s="11" t="str">
        <f>$F$2&amp;"/"&amp;$E$2</f>
        <v>M€2025/TWh</v>
      </c>
      <c r="F14" s="97" t="str">
        <f>O15</f>
        <v>GW</v>
      </c>
      <c r="G14" s="11"/>
      <c r="H14" s="11"/>
      <c r="J14" s="95" t="s">
        <v>73</v>
      </c>
      <c r="K14" s="95"/>
      <c r="L14" s="95"/>
      <c r="M14" s="95"/>
      <c r="N14" s="95"/>
      <c r="O14" s="95"/>
      <c r="P14" s="95"/>
      <c r="Q14" s="95"/>
      <c r="R14" s="95"/>
    </row>
    <row r="15" spans="2:21" x14ac:dyDescent="0.2">
      <c r="B15" s="1" t="str">
        <f>L15</f>
        <v>IMPELCFIN</v>
      </c>
      <c r="C15" s="1"/>
      <c r="D15" s="1" t="str">
        <f>C2</f>
        <v>ELC</v>
      </c>
      <c r="E15" s="49">
        <v>80.39</v>
      </c>
      <c r="F15" s="101">
        <v>1.016</v>
      </c>
      <c r="G15" s="100">
        <v>8.76</v>
      </c>
      <c r="H15" s="100">
        <v>0.9</v>
      </c>
      <c r="J15" s="96" t="str">
        <f>'EB1'!$B$6</f>
        <v>IMP</v>
      </c>
      <c r="K15" s="96"/>
      <c r="L15" s="96" t="s">
        <v>161</v>
      </c>
      <c r="M15" s="98" t="s">
        <v>160</v>
      </c>
      <c r="N15" s="96" t="str">
        <f>$E$2</f>
        <v>TWh</v>
      </c>
      <c r="O15" s="96" t="s">
        <v>168</v>
      </c>
      <c r="P15" s="92" t="s">
        <v>92</v>
      </c>
      <c r="Q15" s="96"/>
      <c r="R15" s="96"/>
    </row>
    <row r="16" spans="2:21" x14ac:dyDescent="0.2">
      <c r="B16" s="1" t="str">
        <f>L16</f>
        <v>IMPELCLV</v>
      </c>
      <c r="C16" s="1"/>
      <c r="D16" s="1" t="str">
        <f>C2</f>
        <v>ELC</v>
      </c>
      <c r="E16" s="49">
        <v>85.31</v>
      </c>
      <c r="F16" s="101">
        <v>1.149</v>
      </c>
      <c r="G16" s="100">
        <v>8.76</v>
      </c>
      <c r="H16" s="100">
        <v>0.9</v>
      </c>
      <c r="J16" t="s">
        <v>60</v>
      </c>
      <c r="L16" t="s">
        <v>162</v>
      </c>
      <c r="M16" t="s">
        <v>163</v>
      </c>
      <c r="N16" s="96" t="str">
        <f t="shared" ref="N16:N18" si="0">$E$2</f>
        <v>TWh</v>
      </c>
      <c r="O16" s="96" t="s">
        <v>168</v>
      </c>
      <c r="P16" s="92" t="s">
        <v>92</v>
      </c>
      <c r="U16" s="1"/>
    </row>
    <row r="17" spans="2:18" x14ac:dyDescent="0.2">
      <c r="B17" s="1" t="str">
        <f>L17</f>
        <v>EXPELCFIN</v>
      </c>
      <c r="C17" t="str">
        <f>C2</f>
        <v>ELC</v>
      </c>
      <c r="E17">
        <v>40.49</v>
      </c>
      <c r="F17" s="102">
        <v>1.016</v>
      </c>
      <c r="G17" s="100">
        <v>8.76</v>
      </c>
      <c r="H17" s="100">
        <v>0.9</v>
      </c>
      <c r="J17" s="96" t="str">
        <f>'EB1'!B7</f>
        <v>EXP</v>
      </c>
      <c r="K17" s="96"/>
      <c r="L17" s="96" t="s">
        <v>164</v>
      </c>
      <c r="M17" s="98" t="s">
        <v>165</v>
      </c>
      <c r="N17" s="96" t="str">
        <f t="shared" si="0"/>
        <v>TWh</v>
      </c>
      <c r="O17" s="96" t="s">
        <v>168</v>
      </c>
      <c r="P17" s="92" t="s">
        <v>92</v>
      </c>
      <c r="Q17" s="96"/>
      <c r="R17" s="96"/>
    </row>
    <row r="18" spans="2:18" x14ac:dyDescent="0.2">
      <c r="B18" s="1" t="str">
        <f>L18</f>
        <v>EXPELCLV</v>
      </c>
      <c r="C18" t="str">
        <f>C2</f>
        <v>ELC</v>
      </c>
      <c r="E18">
        <v>85.31</v>
      </c>
      <c r="F18" s="102">
        <v>0.85</v>
      </c>
      <c r="G18" s="100">
        <v>8.76</v>
      </c>
      <c r="H18" s="100">
        <v>0.9</v>
      </c>
      <c r="J18" t="s">
        <v>62</v>
      </c>
      <c r="L18" t="s">
        <v>166</v>
      </c>
      <c r="M18" t="s">
        <v>167</v>
      </c>
      <c r="N18" s="96" t="str">
        <f t="shared" si="0"/>
        <v>TWh</v>
      </c>
      <c r="O18" s="96" t="s">
        <v>168</v>
      </c>
      <c r="P18" s="92" t="s">
        <v>92</v>
      </c>
    </row>
    <row r="19" spans="2:18" x14ac:dyDescent="0.2">
      <c r="H19" s="51"/>
    </row>
    <row r="21" spans="2:18" x14ac:dyDescent="0.2">
      <c r="B21" s="38"/>
      <c r="C21" s="1" t="s">
        <v>114</v>
      </c>
    </row>
    <row r="22" spans="2:18" x14ac:dyDescent="0.2">
      <c r="B22" s="46"/>
      <c r="C22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topLeftCell="A5" zoomScaleNormal="100" workbookViewId="0">
      <selection activeCell="M46" sqref="M46"/>
    </sheetView>
  </sheetViews>
  <sheetFormatPr defaultColWidth="8.85546875" defaultRowHeight="12.75" x14ac:dyDescent="0.2"/>
  <cols>
    <col min="1" max="1" width="3" style="27" customWidth="1"/>
    <col min="2" max="2" width="14" style="27" bestFit="1" customWidth="1"/>
    <col min="3" max="3" width="12.7109375" style="27" customWidth="1"/>
    <col min="4" max="4" width="11.28515625" style="27" customWidth="1"/>
    <col min="5" max="5" width="12.5703125" style="27" customWidth="1"/>
    <col min="6" max="6" width="13.85546875" style="27" customWidth="1"/>
    <col min="7" max="7" width="13.140625" style="27" bestFit="1" customWidth="1"/>
    <col min="8" max="8" width="7.85546875" style="27" bestFit="1" customWidth="1"/>
    <col min="9" max="9" width="2" style="27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7"/>
  </cols>
  <sheetData>
    <row r="1" spans="2:18" ht="15" x14ac:dyDescent="0.25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75" x14ac:dyDescent="0.25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M€2025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2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4" thickBot="1" x14ac:dyDescent="0.3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75" x14ac:dyDescent="0.25">
      <c r="B5" s="30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2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3.25" thickBot="1" x14ac:dyDescent="0.2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3.5" thickBot="1" x14ac:dyDescent="0.2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2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/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2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2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2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2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2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2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2">
      <c r="E19" s="33"/>
    </row>
    <row r="20" spans="2:16" x14ac:dyDescent="0.2">
      <c r="E20" s="34"/>
    </row>
    <row r="23" spans="2:16" x14ac:dyDescent="0.2">
      <c r="B23" s="38"/>
      <c r="C23" s="1" t="s">
        <v>114</v>
      </c>
    </row>
    <row r="24" spans="2:16" x14ac:dyDescent="0.2">
      <c r="B24" s="46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zoomScale="99" zoomScaleNormal="120" workbookViewId="0">
      <selection activeCell="N29" sqref="N29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87" t="s">
        <v>136</v>
      </c>
      <c r="C4" s="27"/>
      <c r="D4" s="27"/>
      <c r="E4" s="27"/>
      <c r="F4" s="27"/>
      <c r="G4" s="27"/>
      <c r="H4" s="27"/>
    </row>
    <row r="5" spans="2:19" ht="13.5" thickBot="1" x14ac:dyDescent="0.25">
      <c r="B5" s="86" t="s">
        <v>0</v>
      </c>
      <c r="C5" s="90" t="s">
        <v>137</v>
      </c>
      <c r="D5" s="90" t="s">
        <v>138</v>
      </c>
      <c r="E5" s="90" t="s">
        <v>139</v>
      </c>
      <c r="F5" s="90" t="s">
        <v>140</v>
      </c>
      <c r="G5" s="90" t="s">
        <v>141</v>
      </c>
      <c r="H5" s="90" t="s">
        <v>142</v>
      </c>
    </row>
    <row r="6" spans="2:19" x14ac:dyDescent="0.2">
      <c r="B6" s="88" t="s">
        <v>143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2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4.5" thickBot="1" x14ac:dyDescent="0.2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2">
      <c r="B12" s="92" t="s">
        <v>144</v>
      </c>
      <c r="C12" s="96"/>
      <c r="D12" s="92" t="str">
        <f>B6</f>
        <v>TOTCO2</v>
      </c>
      <c r="E12" s="92" t="s">
        <v>145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EB1</vt:lpstr>
      <vt:lpstr>JRC-IDEES2023</vt:lpstr>
      <vt:lpstr>Pri_COA</vt:lpstr>
      <vt:lpstr>Pri_SHL</vt:lpstr>
      <vt:lpstr>Pri_GAS</vt:lpstr>
      <vt:lpstr>Pri_OIL</vt:lpstr>
      <vt:lpstr>Pri_NUC</vt:lpstr>
      <vt:lpstr>Pri_RNW</vt:lpstr>
      <vt:lpstr>Pri_WST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2026-09-25T14:11:22Z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