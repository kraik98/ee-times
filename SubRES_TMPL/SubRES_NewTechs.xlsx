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309F4561-CB01-4649-B761-C06A2C8B23CB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4" l="1"/>
  <c r="J31" i="4"/>
  <c r="J29" i="4"/>
  <c r="I30" i="4"/>
  <c r="I31" i="4"/>
  <c r="I29" i="4"/>
  <c r="B31" i="4"/>
  <c r="B30" i="4"/>
  <c r="B29" i="4"/>
  <c r="J27" i="4"/>
  <c r="J28" i="4"/>
  <c r="J26" i="4"/>
  <c r="I27" i="4"/>
  <c r="I28" i="4"/>
  <c r="I26" i="4"/>
  <c r="B27" i="4"/>
  <c r="B28" i="4"/>
  <c r="B26" i="4"/>
  <c r="J24" i="4"/>
  <c r="J25" i="4"/>
  <c r="J23" i="4"/>
  <c r="I24" i="4"/>
  <c r="I25" i="4"/>
  <c r="I23" i="4"/>
  <c r="B24" i="4"/>
  <c r="B25" i="4"/>
  <c r="B23" i="4"/>
  <c r="J21" i="4"/>
  <c r="J22" i="4"/>
  <c r="J20" i="4"/>
  <c r="I21" i="4"/>
  <c r="I22" i="4"/>
  <c r="I20" i="4"/>
  <c r="I19" i="4"/>
  <c r="I18" i="4"/>
  <c r="I17" i="4"/>
  <c r="B21" i="4"/>
  <c r="B22" i="4"/>
  <c r="B20" i="4"/>
  <c r="J18" i="4" l="1"/>
  <c r="J19" i="4"/>
  <c r="J17" i="4"/>
  <c r="B18" i="4"/>
  <c r="B19" i="4"/>
  <c r="B17" i="4"/>
  <c r="J14" i="4"/>
  <c r="J15" i="4"/>
  <c r="J16" i="4"/>
  <c r="B15" i="4" l="1"/>
  <c r="B16" i="4"/>
  <c r="B1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G14" authorId="0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I14" authorId="1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J14" authorId="2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K14" authorId="3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<sst xmlns="http://schemas.openxmlformats.org/spreadsheetml/2006/main" count="171" uniqueCount="109">
  <si>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</si>
  <si>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</si>
  <si>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</si>
  <si>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</si>
  <si>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</si>
  <si>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</si>
  <si>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</si>
  <si>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</si>
  <si>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</si>
  <si>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</si>
  <si>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</si>
  <si>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</si>
  <si>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</si>
  <si>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</si>
  <si>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</si>
  <si>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</si>
  <si>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</si>
  <si>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</si>
  <si>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</si>
  <si>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</si>
  <si>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</si>
  <si>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</si>
  <si>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</si>
  <si>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</si>
  <si>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</si>
  <si>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</si>
  <si>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</si>
  <si>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</si>
  <si>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</si>
  <si>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</si>
  <si>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</si>
  <si>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</si>
  <si>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</si>
  <si>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</si>
  <si>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</si>
  <si>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</si>
  <si>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</si>
  <si>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</si>
  <si>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</si>
  <si>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</si>
  <si>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</si>
  <si>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</si>
  <si>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</si>
  <si>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</si>
  <si>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</si>
  <si>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</si>
  <si>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</si>
  <si>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</si>
  <si>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</si>
  <si>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</si>
  <si>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</si>
  <si>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</si>
  <si>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</si>
  <si>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</si>
  <si>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</si>
  <si>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</si>
  <si>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</si>
  <si>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</si>
  <si>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</si>
  <si>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</si>
  <si>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</si>
  <si>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</si>
  <si>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</si>
  <si>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</si>
  <si>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</si>
  <si>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</si>
  <si>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</si>
  <si>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</si>
  <si>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</si>
  <si>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</si>
  <si>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</si>
  <si>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</si>
  <si>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</si>
  <si>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</si>
  <si>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</si>
  <si>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</si>
  <si>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</si>
  <si>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</si>
  <si>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</si>
  <si>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</si>
  <si>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ELCGAS</t>
  </si>
  <si>
    <t>*</t>
  </si>
  <si>
    <t>Year</t>
  </si>
  <si>
    <t>Yes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</si>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</sst>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\Te\x\t"/>
  </numFmts>
  <fonts count="24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86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6" fontId="2" fillId="0" borderId="0" xfId="0" applyNumberFormat="1" applyFont="1"/>
    <xf numFmtId="166" fontId="3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3" xfId="0" applyNumberFormat="1" applyFont="1" applyFill="1" applyBorder="1" applyAlignment="1">
      <alignment horizontal="left"/>
    </xf>
    <xf numFmtId="166" fontId="20" fillId="3" borderId="2" xfId="1" applyNumberFormat="1" applyFont="1" applyBorder="1" applyAlignment="1">
      <alignment horizontal="left" wrapText="1"/>
    </xf>
    <xf numFmtId="166" fontId="20" fillId="3" borderId="1" xfId="1" applyNumberFormat="1" applyFont="1" applyBorder="1" applyAlignment="1">
      <alignment horizontal="left" wrapText="1"/>
    </xf>
    <xf numFmtId="166" fontId="0" fillId="0" borderId="0" xfId="0" applyNumberFormat="1"/>
    <xf numFmtId="166" fontId="11" fillId="0" borderId="0" xfId="32" applyNumberFormat="1" applyFont="1"/>
    <xf numFmtId="166" fontId="3" fillId="0" borderId="0" xfId="15" applyNumberFormat="1"/>
    <xf numFmtId="165" fontId="3" fillId="0" borderId="0" xfId="15" applyNumberFormat="1"/>
    <xf numFmtId="0" fontId="23" fillId="0" borderId="0" xfId="0" applyFont="1"/>
    <xf numFmtId="0" fontId="20" fillId="3" borderId="1" xfId="1" applyFont="1" applyBorder="1" applyAlignment="1">
      <alignment horizontal="right" vertical="top" wrapText="1"/>
    </xf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4" dT="2026-10-19T10:21:04.55" personId="{40B0B2C0-D4F7-40AE-B370-CC0D231C0275}" id="{9A97F4CE-0467-4677-8B57-18CDF16525F8}">
    <text>Google otsing</text>
  </threadedComment>
  <threadedComment ref="I14" dT="2026-10-19T10:23:13.18" personId="{40B0B2C0-D4F7-40AE-B370-CC0D231C0275}" id="{D5D738E1-1D01-4540-9F11-10D499C0D688}">
    <text>18 MUSD/MW</text>
  </threadedComment>
  <threadedComment ref="J14" dT="2026-10-19T10:37:46.35" personId="{40B0B2C0-D4F7-40AE-B370-CC0D231C0275}" id="{A3E54751-892C-48B6-A7DF-516DEC7FED8F}">
    <text xml:space="preserve">Fermil oli antud 27 €/MWh kohta, mis sisaldas 6 €/Mwh kütusekulu </text>
  </threadedComment>
  <threadedComment ref="K14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31"/>
  <sheetViews>
    <sheetView tabSelected="1" topLeftCell="A8" zoomScale="103" workbookViewId="0">
      <selection activeCell="H23" sqref="H23:H25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7" width="13.140625" style="20" bestFit="1" customWidth="1"/>
    <col min="8" max="8" width="9.7109375" style="20" customWidth="1"/>
    <col min="9" max="9" width="10" style="20" bestFit="1" customWidth="1"/>
    <col min="10" max="10" width="8.28515625" style="20" customWidth="1"/>
    <col min="11" max="11" width="8.5703125" style="20" bestFit="1" customWidth="1"/>
    <col min="12" max="12" width="15" style="20" bestFit="1" customWidth="1"/>
    <col min="13" max="13" width="11.5703125" style="20" bestFit="1" customWidth="1"/>
    <col min="14" max="15" width="11.5703125" style="20" customWidth="1"/>
    <col min="16" max="16" width="2" style="20" bestFit="1" customWidth="1"/>
    <col min="17" max="17" width="12.7109375" bestFit="1" customWidth="1"/>
    <col min="18" max="18" width="7.5703125" customWidth="1"/>
    <col min="19" max="19" width="20.855468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/>
    </row>
    <row r="2" spans="1:25" x14ac:dyDescent="0.2">
      <c r="Q2" s="27"/>
      <c r="R2" s="27"/>
      <c r="S2" s="27"/>
      <c r="T2" s="27"/>
      <c r="U2" s="27"/>
      <c r="V2" s="27"/>
      <c r="W2" s="27"/>
      <c r="X2" s="27"/>
      <c r="Y2" s="27"/>
    </row>
    <row r="3" spans="1:25" ht="30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H3" s="19" t="s">
        <v>46</v>
      </c>
    </row>
    <row r="4" spans="1:25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88</v>
      </c>
      <c r="H4" s="8" t="s">
        <v>52</v>
      </c>
      <c r="Q4" s="28" t="s">
        <v>7</v>
      </c>
      <c r="R4" s="28"/>
      <c r="S4" s="29"/>
      <c r="T4" s="29"/>
      <c r="U4" s="29"/>
      <c r="V4" s="29"/>
      <c r="W4" s="29"/>
      <c r="X4" s="29"/>
      <c r="Y4" s="29"/>
    </row>
    <row r="5" spans="1:25" x14ac:dyDescent="0.2">
      <c r="Q5" s="30" t="s">
        <v>8</v>
      </c>
      <c r="R5" s="31" t="s">
        <v>53</v>
      </c>
      <c r="S5" s="30" t="s">
        <v>6</v>
      </c>
      <c r="T5" s="30" t="s">
        <v>9</v>
      </c>
      <c r="U5" s="30" t="s">
        <v>10</v>
      </c>
      <c r="V5" s="30" t="s">
        <v>11</v>
      </c>
      <c r="W5" s="30" t="s">
        <v>12</v>
      </c>
      <c r="X5" s="30" t="s">
        <v>13</v>
      </c>
      <c r="Y5" s="30" t="s">
        <v>14</v>
      </c>
    </row>
    <row r="6" spans="1:25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G6" s="26"/>
      <c r="Q6" s="32" t="s">
        <v>58</v>
      </c>
      <c r="R6" s="32" t="s">
        <v>59</v>
      </c>
      <c r="S6" s="32" t="s">
        <v>24</v>
      </c>
      <c r="T6" s="32" t="s">
        <v>25</v>
      </c>
      <c r="U6" s="32" t="s">
        <v>10</v>
      </c>
      <c r="V6" s="32" t="s">
        <v>60</v>
      </c>
      <c r="W6" s="32" t="s">
        <v>61</v>
      </c>
      <c r="X6" s="32" t="s">
        <v>26</v>
      </c>
      <c r="Y6" s="32" t="s">
        <v>27</v>
      </c>
    </row>
    <row r="7" spans="1:25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G7" s="25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5" t="s">
        <v>0</v>
      </c>
      <c r="F10" s="5"/>
      <c r="H10" s="5"/>
      <c r="I10" s="6"/>
      <c r="J10" s="6"/>
      <c r="K10" s="4"/>
      <c r="Q10" s="28" t="s">
        <v>18</v>
      </c>
      <c r="R10" s="28"/>
      <c r="S10" s="29"/>
      <c r="T10" s="29"/>
      <c r="U10" s="29"/>
      <c r="V10" s="29"/>
      <c r="W10" s="29"/>
      <c r="X10" s="29"/>
      <c r="Y10" s="29"/>
    </row>
    <row r="11" spans="1:25" x14ac:dyDescent="0.2">
      <c r="B11" s="11" t="s">
        <v>1</v>
      </c>
      <c r="C11" s="11" t="s">
        <v>3</v>
      </c>
      <c r="D11" s="11" t="s">
        <v>4</v>
      </c>
      <c r="E11" s="11" t="s">
        <v>82</v>
      </c>
      <c r="F11" s="14" t="s">
        <v>15</v>
      </c>
      <c r="G11" s="14" t="s">
        <v>17</v>
      </c>
      <c r="H11" s="14" t="s">
        <v>35</v>
      </c>
      <c r="I11" s="14" t="s">
        <v>39</v>
      </c>
      <c r="J11" s="14" t="s">
        <v>5</v>
      </c>
      <c r="K11" s="14" t="s">
        <v>36</v>
      </c>
      <c r="L11" s="13" t="s">
        <v>66</v>
      </c>
      <c r="M11" s="13" t="s">
        <v>85</v>
      </c>
      <c r="N11" s="13" t="s">
        <v>67</v>
      </c>
      <c r="O11" s="13" t="s">
        <v>95</v>
      </c>
      <c r="P11" s="21"/>
      <c r="Q11" s="30" t="s">
        <v>16</v>
      </c>
      <c r="R11" s="31" t="s">
        <v>53</v>
      </c>
      <c r="S11" s="30" t="s">
        <v>1</v>
      </c>
      <c r="T11" s="30" t="s">
        <v>2</v>
      </c>
      <c r="U11" s="30" t="s">
        <v>19</v>
      </c>
      <c r="V11" s="30" t="s">
        <v>20</v>
      </c>
      <c r="W11" s="30" t="s">
        <v>21</v>
      </c>
      <c r="X11" s="30" t="s">
        <v>22</v>
      </c>
      <c r="Y11" s="30" t="s">
        <v>23</v>
      </c>
    </row>
    <row r="12" spans="1:25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97</v>
      </c>
      <c r="G12" s="15" t="s">
        <v>37</v>
      </c>
      <c r="H12" s="16" t="s">
        <v>69</v>
      </c>
      <c r="I12" s="15" t="s">
        <v>70</v>
      </c>
      <c r="J12" s="15" t="s">
        <v>40</v>
      </c>
      <c r="K12" s="15" t="s">
        <v>41</v>
      </c>
      <c r="L12" s="15" t="s">
        <v>86</v>
      </c>
      <c r="M12" s="15" t="s">
        <v>38</v>
      </c>
      <c r="N12" s="15" t="s">
        <v>71</v>
      </c>
      <c r="O12" s="39" t="s">
        <v>96</v>
      </c>
      <c r="Q12" s="33" t="s">
        <v>72</v>
      </c>
      <c r="R12" s="33" t="s">
        <v>59</v>
      </c>
      <c r="S12" s="33" t="s">
        <v>28</v>
      </c>
      <c r="T12" s="33" t="s">
        <v>29</v>
      </c>
      <c r="U12" s="33" t="s">
        <v>30</v>
      </c>
      <c r="V12" s="33" t="s">
        <v>31</v>
      </c>
      <c r="W12" s="33" t="s">
        <v>73</v>
      </c>
      <c r="X12" s="33" t="s">
        <v>74</v>
      </c>
      <c r="Y12" s="33" t="s">
        <v>32</v>
      </c>
    </row>
    <row r="13" spans="1:25" ht="23.25" thickBot="1" x14ac:dyDescent="0.25">
      <c r="B13" s="9" t="s">
        <v>75</v>
      </c>
      <c r="C13" s="9"/>
      <c r="D13" s="9"/>
      <c r="E13" s="9"/>
      <c r="F13" s="17"/>
      <c r="G13" s="17"/>
      <c r="H13" s="18"/>
      <c r="I13" s="17" t="s">
        <v>76</v>
      </c>
      <c r="J13" s="17" t="s">
        <v>76</v>
      </c>
      <c r="K13" s="17" t="s">
        <v>93</v>
      </c>
      <c r="L13" s="17" t="s">
        <v>77</v>
      </c>
      <c r="M13" s="17" t="s">
        <v>78</v>
      </c>
      <c r="N13" s="17"/>
      <c r="O13" s="17"/>
      <c r="Q13" s="32" t="s">
        <v>81</v>
      </c>
      <c r="R13" s="32"/>
      <c r="S13" s="32"/>
      <c r="T13" s="32"/>
      <c r="U13" s="32"/>
      <c r="V13" s="32"/>
      <c r="W13" s="32"/>
      <c r="X13" s="32"/>
      <c r="Y13" s="32"/>
    </row>
    <row r="14" spans="1:25" x14ac:dyDescent="0.2">
      <c r="B14" s="36" t="str">
        <f>$S$14</f>
        <v>ELC_FERMI_SMR</v>
      </c>
      <c r="C14" s="20" t="s">
        <v>87</v>
      </c>
      <c r="D14" s="20" t="s">
        <v>47</v>
      </c>
      <c r="E14" s="20">
        <v>2036</v>
      </c>
      <c r="F14" s="20">
        <v>2036</v>
      </c>
      <c r="G14" s="22">
        <v>0.3</v>
      </c>
      <c r="H14" s="20">
        <v>0.92</v>
      </c>
      <c r="I14" s="20">
        <v>15000</v>
      </c>
      <c r="J14" s="22">
        <f>21*H14*8760*1000/1000000</f>
        <v>169.2432</v>
      </c>
      <c r="K14" s="22">
        <v>3.15</v>
      </c>
      <c r="L14" s="20">
        <v>60</v>
      </c>
      <c r="M14" s="20">
        <v>31.536000000000001</v>
      </c>
      <c r="N14" s="22">
        <v>1</v>
      </c>
      <c r="O14" s="22"/>
      <c r="Q14" s="35" t="s">
        <v>79</v>
      </c>
      <c r="R14" s="34"/>
      <c r="S14" s="36" t="s">
        <v>92</v>
      </c>
      <c r="T14" s="34" t="s">
        <v>91</v>
      </c>
      <c r="U14" s="34" t="s">
        <v>89</v>
      </c>
      <c r="V14" s="34" t="s">
        <v>51</v>
      </c>
      <c r="W14" t="s">
        <v>90</v>
      </c>
      <c r="X14" s="34"/>
      <c r="Y14" s="34" t="s">
        <v>83</v>
      </c>
    </row>
    <row r="15" spans="1:25" x14ac:dyDescent="0.2">
      <c r="B15" s="36" t="str">
        <f>$S$14</f>
        <v>ELC_FERMI_SMR</v>
      </c>
      <c r="C15" s="20" t="s">
        <v>87</v>
      </c>
      <c r="D15" s="20" t="s">
        <v>47</v>
      </c>
      <c r="E15" s="20">
        <v>2040</v>
      </c>
      <c r="G15" s="20">
        <v>0.3</v>
      </c>
      <c r="H15" s="20">
        <v>0.92</v>
      </c>
      <c r="I15" s="20">
        <v>15000</v>
      </c>
      <c r="J15" s="22">
        <f t="shared" ref="J15:J16" si="0">169243*1000/1000000</f>
        <v>169.24299999999999</v>
      </c>
      <c r="K15" s="22">
        <v>3.15</v>
      </c>
      <c r="L15" s="20">
        <v>60</v>
      </c>
      <c r="M15" s="20">
        <v>31.536000000000001</v>
      </c>
      <c r="N15" s="22">
        <v>1</v>
      </c>
      <c r="O15" s="22"/>
      <c r="Q15" s="38" t="s">
        <v>79</v>
      </c>
      <c r="S15" s="20" t="s">
        <v>100</v>
      </c>
      <c r="T15" t="s">
        <v>94</v>
      </c>
      <c r="U15" s="34" t="s">
        <v>89</v>
      </c>
      <c r="V15" s="34" t="s">
        <v>51</v>
      </c>
      <c r="W15" t="s">
        <v>90</v>
      </c>
      <c r="X15" s="34"/>
      <c r="Y15" s="34" t="s">
        <v>83</v>
      </c>
    </row>
    <row r="16" spans="1:25" x14ac:dyDescent="0.2">
      <c r="B16" s="36" t="str">
        <f>$S$14</f>
        <v>ELC_FERMI_SMR</v>
      </c>
      <c r="C16" s="20" t="s">
        <v>87</v>
      </c>
      <c r="D16" s="20" t="s">
        <v>47</v>
      </c>
      <c r="E16" s="20">
        <v>2050</v>
      </c>
      <c r="G16" s="20">
        <v>0.3</v>
      </c>
      <c r="H16" s="20">
        <v>0.92</v>
      </c>
      <c r="I16" s="20">
        <v>15000</v>
      </c>
      <c r="J16" s="22">
        <f t="shared" si="0"/>
        <v>169.24299999999999</v>
      </c>
      <c r="K16" s="22">
        <v>3.15</v>
      </c>
      <c r="L16" s="20">
        <v>60</v>
      </c>
      <c r="M16" s="20">
        <v>31.536000000000001</v>
      </c>
      <c r="N16" s="22">
        <v>1</v>
      </c>
      <c r="O16" s="22"/>
      <c r="Q16" s="38" t="s">
        <v>79</v>
      </c>
      <c r="S16" s="38" t="s">
        <v>101</v>
      </c>
      <c r="T16" s="38" t="s">
        <v>107</v>
      </c>
      <c r="U16" s="34" t="s">
        <v>89</v>
      </c>
      <c r="V16" s="34" t="s">
        <v>51</v>
      </c>
      <c r="W16" t="s">
        <v>90</v>
      </c>
      <c r="X16" s="34"/>
      <c r="Y16" s="34" t="s">
        <v>83</v>
      </c>
    </row>
    <row r="17" spans="2:25" x14ac:dyDescent="0.2">
      <c r="B17" s="20" t="str">
        <f>$S$15</f>
        <v>ELC_CCGT_PP</v>
      </c>
      <c r="C17" s="20" t="s">
        <v>80</v>
      </c>
      <c r="D17" s="20" t="s">
        <v>47</v>
      </c>
      <c r="E17" s="20">
        <v>2030</v>
      </c>
      <c r="F17" s="20">
        <v>2030</v>
      </c>
      <c r="G17" s="20">
        <v>0.56000000000000005</v>
      </c>
      <c r="H17" s="20">
        <v>0.97</v>
      </c>
      <c r="I17" s="20">
        <f>1.2*1000</f>
        <v>1200</v>
      </c>
      <c r="J17" s="22">
        <f>39143*1000/1000000</f>
        <v>39.143000000000001</v>
      </c>
      <c r="K17" s="20">
        <v>5.9</v>
      </c>
      <c r="L17" s="20">
        <v>25</v>
      </c>
      <c r="M17" s="20">
        <v>31.536000000000001</v>
      </c>
      <c r="N17" s="22">
        <v>1</v>
      </c>
      <c r="O17" s="22">
        <v>2.5</v>
      </c>
      <c r="Q17" s="38" t="s">
        <v>79</v>
      </c>
      <c r="S17" s="38" t="s">
        <v>99</v>
      </c>
      <c r="T17" s="38" t="s">
        <v>98</v>
      </c>
      <c r="U17" s="34" t="s">
        <v>89</v>
      </c>
      <c r="V17" s="34" t="s">
        <v>51</v>
      </c>
      <c r="W17" t="s">
        <v>90</v>
      </c>
      <c r="X17" s="34"/>
      <c r="Y17" s="34" t="s">
        <v>83</v>
      </c>
    </row>
    <row r="18" spans="2:25" ht="13.5" customHeight="1" x14ac:dyDescent="0.2">
      <c r="B18" s="20" t="str">
        <f>$S$15</f>
        <v>ELC_CCGT_PP</v>
      </c>
      <c r="C18" s="20" t="s">
        <v>80</v>
      </c>
      <c r="D18" s="20" t="s">
        <v>47</v>
      </c>
      <c r="E18" s="20">
        <v>2040</v>
      </c>
      <c r="G18" s="20">
        <v>0.56000000000000005</v>
      </c>
      <c r="H18" s="20">
        <v>0.97</v>
      </c>
      <c r="I18" s="20">
        <f>1.2*1000</f>
        <v>1200</v>
      </c>
      <c r="J18" s="22">
        <f t="shared" ref="J18:J19" si="1">39143*1000/1000000</f>
        <v>39.143000000000001</v>
      </c>
      <c r="K18" s="20">
        <v>5.9</v>
      </c>
      <c r="L18" s="20">
        <v>25</v>
      </c>
      <c r="M18" s="20">
        <v>31.536000000000001</v>
      </c>
      <c r="N18" s="22">
        <v>1</v>
      </c>
      <c r="O18" s="22">
        <v>2.5</v>
      </c>
      <c r="Q18" s="38" t="s">
        <v>79</v>
      </c>
      <c r="S18" s="20" t="s">
        <v>102</v>
      </c>
      <c r="T18" s="20" t="s">
        <v>103</v>
      </c>
      <c r="U18" s="34" t="s">
        <v>89</v>
      </c>
      <c r="V18" s="34" t="s">
        <v>51</v>
      </c>
      <c r="W18" t="s">
        <v>90</v>
      </c>
      <c r="X18" s="34"/>
      <c r="Y18" s="34" t="s">
        <v>83</v>
      </c>
    </row>
    <row r="19" spans="2:25" ht="13.5" customHeight="1" x14ac:dyDescent="0.2">
      <c r="B19" s="20" t="str">
        <f>$S$15</f>
        <v>ELC_CCGT_PP</v>
      </c>
      <c r="C19" s="20" t="s">
        <v>80</v>
      </c>
      <c r="D19" s="20" t="s">
        <v>47</v>
      </c>
      <c r="E19" s="20">
        <v>2050</v>
      </c>
      <c r="G19" s="20">
        <v>0.56000000000000005</v>
      </c>
      <c r="H19" s="20">
        <v>0.97</v>
      </c>
      <c r="I19" s="20">
        <f>1.2*1000</f>
        <v>1200</v>
      </c>
      <c r="J19" s="22">
        <f t="shared" si="1"/>
        <v>39.143000000000001</v>
      </c>
      <c r="K19" s="20">
        <v>5.9</v>
      </c>
      <c r="L19" s="20">
        <v>25</v>
      </c>
      <c r="M19" s="20">
        <v>31.536000000000001</v>
      </c>
      <c r="N19" s="22">
        <v>1</v>
      </c>
      <c r="O19" s="22">
        <v>2.5</v>
      </c>
      <c r="Q19" s="38" t="s">
        <v>79</v>
      </c>
      <c r="S19" s="38" t="s">
        <v>105</v>
      </c>
      <c r="T19" s="38" t="s">
        <v>106</v>
      </c>
      <c r="U19" s="34" t="s">
        <v>89</v>
      </c>
      <c r="V19" s="34" t="s">
        <v>51</v>
      </c>
      <c r="W19" t="s">
        <v>90</v>
      </c>
      <c r="X19" s="34"/>
      <c r="Y19" s="34" t="s">
        <v>83</v>
      </c>
    </row>
    <row r="20" spans="2:25" x14ac:dyDescent="0.2">
      <c r="B20" s="20" t="str">
        <f>$S$16</f>
        <v>ELC_OCGT_PP</v>
      </c>
      <c r="C20" s="20" t="s">
        <v>80</v>
      </c>
      <c r="D20" s="20" t="s">
        <v>47</v>
      </c>
      <c r="E20" s="20">
        <v>2030</v>
      </c>
      <c r="F20" s="20">
        <v>2030</v>
      </c>
      <c r="G20" s="20">
        <v>0.4</v>
      </c>
      <c r="H20" s="20">
        <v>0.99</v>
      </c>
      <c r="I20" s="20">
        <f>0.6*1000</f>
        <v>600</v>
      </c>
      <c r="J20" s="22">
        <f>10778*1000/1000000</f>
        <v>10.778</v>
      </c>
      <c r="K20" s="37">
        <v>6</v>
      </c>
      <c r="L20" s="20">
        <v>25</v>
      </c>
      <c r="M20" s="20">
        <v>31.536000000000001</v>
      </c>
      <c r="N20" s="22">
        <v>1</v>
      </c>
      <c r="O20" s="20">
        <v>0.2</v>
      </c>
    </row>
    <row r="21" spans="2:25" x14ac:dyDescent="0.2">
      <c r="B21" s="20" t="str">
        <f t="shared" ref="B21:B22" si="2">$S$16</f>
        <v>ELC_OCGT_PP</v>
      </c>
      <c r="C21" s="20" t="s">
        <v>80</v>
      </c>
      <c r="D21" s="20" t="s">
        <v>47</v>
      </c>
      <c r="E21" s="20">
        <v>2040</v>
      </c>
      <c r="G21" s="20">
        <v>0.4</v>
      </c>
      <c r="H21" s="20">
        <v>0.99</v>
      </c>
      <c r="I21" s="20">
        <f t="shared" ref="I21:I22" si="3">0.6*1000</f>
        <v>600</v>
      </c>
      <c r="J21" s="22">
        <f t="shared" ref="J21:J22" si="4">10778*1000/1000000</f>
        <v>10.778</v>
      </c>
      <c r="K21" s="37">
        <v>6</v>
      </c>
      <c r="L21" s="20">
        <v>25</v>
      </c>
      <c r="M21" s="20">
        <v>31.536000000000001</v>
      </c>
      <c r="N21" s="22">
        <v>1</v>
      </c>
      <c r="O21" s="20">
        <v>0.2</v>
      </c>
    </row>
    <row r="22" spans="2:25" x14ac:dyDescent="0.2">
      <c r="B22" s="20" t="str">
        <f t="shared" si="2"/>
        <v>ELC_OCGT_PP</v>
      </c>
      <c r="C22" s="20" t="s">
        <v>80</v>
      </c>
      <c r="D22" s="20" t="s">
        <v>47</v>
      </c>
      <c r="E22" s="20">
        <v>2050</v>
      </c>
      <c r="G22" s="20">
        <v>0.4</v>
      </c>
      <c r="H22" s="20">
        <v>0.99</v>
      </c>
      <c r="I22" s="20">
        <f t="shared" si="3"/>
        <v>600</v>
      </c>
      <c r="J22" s="22">
        <f t="shared" si="4"/>
        <v>10.778</v>
      </c>
      <c r="K22" s="37">
        <v>6</v>
      </c>
      <c r="L22" s="20">
        <v>25</v>
      </c>
      <c r="M22" s="20">
        <v>31.536000000000001</v>
      </c>
      <c r="N22" s="22">
        <v>1</v>
      </c>
      <c r="O22" s="20">
        <v>0.2</v>
      </c>
    </row>
    <row r="23" spans="2:25" x14ac:dyDescent="0.2">
      <c r="B23" s="20" t="str">
        <f>$S$17</f>
        <v>ELC_PV_UTIL</v>
      </c>
      <c r="C23" s="20" t="s">
        <v>84</v>
      </c>
      <c r="D23" s="20" t="s">
        <v>47</v>
      </c>
      <c r="E23" s="20">
        <v>2030</v>
      </c>
      <c r="F23" s="20">
        <v>2030</v>
      </c>
      <c r="G23" s="20">
        <v>1</v>
      </c>
      <c r="H23" s="20">
        <v>0.3</v>
      </c>
      <c r="I23" s="20">
        <f>0.7*1000</f>
        <v>700</v>
      </c>
      <c r="J23" s="22">
        <f>12601*1000/1000000</f>
        <v>12.601000000000001</v>
      </c>
      <c r="K23" s="20">
        <v>0</v>
      </c>
      <c r="L23" s="20">
        <v>40</v>
      </c>
      <c r="M23" s="20">
        <v>31.536000000000001</v>
      </c>
      <c r="N23" s="22">
        <v>0.15</v>
      </c>
      <c r="O23" s="20">
        <v>0.5</v>
      </c>
    </row>
    <row r="24" spans="2:25" x14ac:dyDescent="0.2">
      <c r="B24" s="20" t="str">
        <f t="shared" ref="B24:B25" si="5">$S$17</f>
        <v>ELC_PV_UTIL</v>
      </c>
      <c r="C24" s="20" t="s">
        <v>84</v>
      </c>
      <c r="D24" s="20" t="s">
        <v>47</v>
      </c>
      <c r="E24" s="20">
        <v>2040</v>
      </c>
      <c r="G24" s="20">
        <v>1</v>
      </c>
      <c r="H24" s="20">
        <v>0.3</v>
      </c>
      <c r="I24" s="20">
        <f t="shared" ref="I24:I25" si="6">0.7*1000</f>
        <v>700</v>
      </c>
      <c r="J24" s="22">
        <f t="shared" ref="J24:J25" si="7">12601*1000/1000000</f>
        <v>12.601000000000001</v>
      </c>
      <c r="K24" s="20">
        <v>0</v>
      </c>
      <c r="L24" s="20">
        <v>40</v>
      </c>
      <c r="M24" s="20">
        <v>31.536000000000001</v>
      </c>
      <c r="N24" s="22">
        <v>0.15</v>
      </c>
      <c r="O24" s="20">
        <v>0.5</v>
      </c>
    </row>
    <row r="25" spans="2:25" x14ac:dyDescent="0.2">
      <c r="B25" s="20" t="str">
        <f t="shared" si="5"/>
        <v>ELC_PV_UTIL</v>
      </c>
      <c r="C25" s="20" t="s">
        <v>84</v>
      </c>
      <c r="D25" s="20" t="s">
        <v>47</v>
      </c>
      <c r="E25" s="20">
        <v>2050</v>
      </c>
      <c r="G25" s="20">
        <v>1</v>
      </c>
      <c r="H25" s="20">
        <v>0.3</v>
      </c>
      <c r="I25" s="20">
        <f t="shared" si="6"/>
        <v>700</v>
      </c>
      <c r="J25" s="22">
        <f t="shared" si="7"/>
        <v>12.601000000000001</v>
      </c>
      <c r="K25" s="20">
        <v>0</v>
      </c>
      <c r="L25" s="20">
        <v>40</v>
      </c>
      <c r="M25" s="20">
        <v>31.536000000000001</v>
      </c>
      <c r="N25" s="22">
        <v>0.15</v>
      </c>
      <c r="O25" s="20">
        <v>0.5</v>
      </c>
    </row>
    <row r="26" spans="2:25" x14ac:dyDescent="0.2">
      <c r="B26" s="20" t="str">
        <f>$S$18</f>
        <v>ELC_WON_PP</v>
      </c>
      <c r="C26" s="20" t="s">
        <v>104</v>
      </c>
      <c r="D26" s="20" t="s">
        <v>47</v>
      </c>
      <c r="E26" s="20">
        <v>2030</v>
      </c>
      <c r="F26" s="20">
        <v>2030</v>
      </c>
      <c r="G26" s="20">
        <v>1</v>
      </c>
      <c r="H26" s="20">
        <v>0.3</v>
      </c>
      <c r="I26" s="20">
        <f>1.5*1000</f>
        <v>1500</v>
      </c>
      <c r="J26" s="22">
        <f>21843*1000/1000000</f>
        <v>21.843</v>
      </c>
      <c r="K26" s="20">
        <v>2.6</v>
      </c>
      <c r="L26" s="20">
        <v>27</v>
      </c>
      <c r="M26" s="20">
        <v>31.536000000000001</v>
      </c>
      <c r="N26" s="22">
        <v>0.4</v>
      </c>
      <c r="O26" s="20">
        <v>1.5</v>
      </c>
    </row>
    <row r="27" spans="2:25" x14ac:dyDescent="0.2">
      <c r="B27" s="20" t="str">
        <f t="shared" ref="B27:B28" si="8">$S$18</f>
        <v>ELC_WON_PP</v>
      </c>
      <c r="C27" s="20" t="s">
        <v>104</v>
      </c>
      <c r="D27" s="20" t="s">
        <v>47</v>
      </c>
      <c r="E27" s="20">
        <v>2040</v>
      </c>
      <c r="G27" s="20">
        <v>1</v>
      </c>
      <c r="H27" s="20">
        <v>0.3</v>
      </c>
      <c r="I27" s="20">
        <f t="shared" ref="I27:I28" si="9">1.5*1000</f>
        <v>1500</v>
      </c>
      <c r="J27" s="22">
        <f t="shared" ref="J27:J28" si="10">21843*1000/1000000</f>
        <v>21.843</v>
      </c>
      <c r="K27" s="20">
        <v>2.6</v>
      </c>
      <c r="L27" s="20">
        <v>27</v>
      </c>
      <c r="M27" s="20">
        <v>31.536000000000001</v>
      </c>
      <c r="N27" s="22">
        <v>0.4</v>
      </c>
      <c r="O27" s="20">
        <v>1.5</v>
      </c>
    </row>
    <row r="28" spans="2:25" x14ac:dyDescent="0.2">
      <c r="B28" s="20" t="str">
        <f t="shared" si="8"/>
        <v>ELC_WON_PP</v>
      </c>
      <c r="C28" s="20" t="s">
        <v>104</v>
      </c>
      <c r="D28" s="20" t="s">
        <v>47</v>
      </c>
      <c r="E28" s="20">
        <v>2050</v>
      </c>
      <c r="G28" s="20">
        <v>1</v>
      </c>
      <c r="H28" s="20">
        <v>0.3</v>
      </c>
      <c r="I28" s="20">
        <f t="shared" si="9"/>
        <v>1500</v>
      </c>
      <c r="J28" s="22">
        <f t="shared" si="10"/>
        <v>21.843</v>
      </c>
      <c r="K28" s="20">
        <v>2.6</v>
      </c>
      <c r="L28" s="20">
        <v>27</v>
      </c>
      <c r="M28" s="20">
        <v>31.536000000000001</v>
      </c>
      <c r="N28" s="22">
        <v>0.4</v>
      </c>
      <c r="O28" s="20">
        <v>1.5</v>
      </c>
    </row>
    <row r="29" spans="2:25" x14ac:dyDescent="0.2">
      <c r="B29" s="20" t="str">
        <f>$S$19</f>
        <v>ELC_WOF_PP</v>
      </c>
      <c r="C29" s="20" t="s">
        <v>108</v>
      </c>
      <c r="D29" s="20" t="s">
        <v>47</v>
      </c>
      <c r="E29" s="20">
        <v>2030</v>
      </c>
      <c r="F29" s="20">
        <v>2030</v>
      </c>
      <c r="G29" s="20">
        <v>1</v>
      </c>
      <c r="H29" s="20">
        <v>0.3</v>
      </c>
      <c r="I29" s="20">
        <f>3.5*1000</f>
        <v>3500</v>
      </c>
      <c r="J29" s="22">
        <f>55278*1000/1000000</f>
        <v>55.277999999999999</v>
      </c>
      <c r="K29" s="20">
        <v>5.5</v>
      </c>
      <c r="L29" s="20">
        <v>30</v>
      </c>
      <c r="M29" s="20">
        <v>31.536000000000001</v>
      </c>
      <c r="N29" s="22">
        <v>0.4</v>
      </c>
      <c r="O29" s="20">
        <v>3.5</v>
      </c>
    </row>
    <row r="30" spans="2:25" x14ac:dyDescent="0.2">
      <c r="B30" s="20" t="str">
        <f>$S$19</f>
        <v>ELC_WOF_PP</v>
      </c>
      <c r="C30" s="20" t="s">
        <v>108</v>
      </c>
      <c r="D30" s="20" t="s">
        <v>47</v>
      </c>
      <c r="E30" s="20">
        <v>2040</v>
      </c>
      <c r="G30" s="20">
        <v>1</v>
      </c>
      <c r="H30" s="20">
        <v>0.3</v>
      </c>
      <c r="I30" s="20">
        <f t="shared" ref="I30:I31" si="11">3.5*1000</f>
        <v>3500</v>
      </c>
      <c r="J30" s="22">
        <f t="shared" ref="J30:J31" si="12">55278*1000/1000000</f>
        <v>55.277999999999999</v>
      </c>
      <c r="K30" s="20">
        <v>5.5</v>
      </c>
      <c r="L30" s="20">
        <v>30</v>
      </c>
      <c r="M30" s="20">
        <v>31.536000000000001</v>
      </c>
      <c r="N30" s="22">
        <v>0.4</v>
      </c>
      <c r="O30" s="20">
        <v>3.5</v>
      </c>
    </row>
    <row r="31" spans="2:25" x14ac:dyDescent="0.2">
      <c r="B31" s="20" t="str">
        <f>$S$19</f>
        <v>ELC_WOF_PP</v>
      </c>
      <c r="C31" s="20" t="s">
        <v>108</v>
      </c>
      <c r="D31" s="20" t="s">
        <v>47</v>
      </c>
      <c r="E31" s="20">
        <v>2050</v>
      </c>
      <c r="G31" s="20">
        <v>1</v>
      </c>
      <c r="H31" s="20">
        <v>0.3</v>
      </c>
      <c r="I31" s="20">
        <f t="shared" si="11"/>
        <v>3500</v>
      </c>
      <c r="J31" s="22">
        <f t="shared" si="12"/>
        <v>55.277999999999999</v>
      </c>
      <c r="K31" s="20">
        <v>5.5</v>
      </c>
      <c r="L31" s="20">
        <v>30</v>
      </c>
      <c r="M31" s="20">
        <v>31.536000000000001</v>
      </c>
      <c r="N31" s="22">
        <v>0.4</v>
      </c>
      <c r="O31" s="20">
        <v>3.5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2026-10-20T07:25:16Z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